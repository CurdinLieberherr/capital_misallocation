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gend" sheetId="1" state="visible" r:id="rId1"/>
    <sheet name="I_IT" sheetId="849" state="visible" r:id="rId2"/>
    <sheet name="I_CT" sheetId="850" state="visible" r:id="rId3"/>
    <sheet name="I_Soft_DB" sheetId="851" state="visible" r:id="rId4"/>
    <sheet name="I_TraEq" sheetId="852" state="visible" r:id="rId5"/>
    <sheet name="I_OMach" sheetId="853" state="visible" r:id="rId6"/>
    <sheet name="I_OCon" sheetId="854" state="visible" r:id="rId7"/>
    <sheet name="I_Rstruc" sheetId="855" state="visible" r:id="rId8"/>
    <sheet name="I_Cult" sheetId="856" state="visible" r:id="rId9"/>
    <sheet name="I_RD" sheetId="857" state="visible" r:id="rId10"/>
    <sheet name="I_OIPP" sheetId="858" state="visible" r:id="rId11"/>
    <sheet name="I_GFCF" sheetId="859" state="visible" r:id="rId12"/>
    <sheet name="Ipyp_IT" sheetId="860" state="visible" r:id="rId13"/>
    <sheet name="Ipyp_CT" sheetId="861" state="visible" r:id="rId14"/>
    <sheet name="Ipyp_Soft_DB" sheetId="862" state="visible" r:id="rId15"/>
    <sheet name="Ipyp_TraEq" sheetId="863" state="visible" r:id="rId16"/>
    <sheet name="Ipyp_OMach" sheetId="864" state="visible" r:id="rId17"/>
    <sheet name="Ipyp_OCon" sheetId="865" state="visible" r:id="rId18"/>
    <sheet name="Ipyp_Rstruc" sheetId="866" state="visible" r:id="rId19"/>
    <sheet name="Ipyp_Cult" sheetId="867" state="visible" r:id="rId20"/>
    <sheet name="Ipyp_RD" sheetId="868" state="visible" r:id="rId21"/>
    <sheet name="Ipyp_OIPP" sheetId="869" state="visible" r:id="rId22"/>
    <sheet name="Ipyp_GFCF" sheetId="870" state="visible" r:id="rId23"/>
    <sheet name="Ip_IT" sheetId="871" state="visible" r:id="rId24"/>
    <sheet name="Ip_CT" sheetId="872" state="visible" r:id="rId25"/>
    <sheet name="Ip_Soft_DB" sheetId="873" state="visible" r:id="rId26"/>
    <sheet name="Ip_TraEq" sheetId="874" state="visible" r:id="rId27"/>
    <sheet name="Ip_OMach" sheetId="875" state="visible" r:id="rId28"/>
    <sheet name="Ip_OCon" sheetId="876" state="visible" r:id="rId29"/>
    <sheet name="Ip_Rstruc" sheetId="877" state="visible" r:id="rId30"/>
    <sheet name="Ip_Cult" sheetId="878" state="visible" r:id="rId31"/>
    <sheet name="Ip_RD" sheetId="879" state="visible" r:id="rId32"/>
    <sheet name="Ip_OIPP" sheetId="880" state="visible" r:id="rId33"/>
    <sheet name="Ip_GFCF" sheetId="881" state="visible" r:id="rId34"/>
    <sheet name="K_IT" sheetId="882" state="visible" r:id="rId35"/>
    <sheet name="K_CT" sheetId="883" state="visible" r:id="rId36"/>
    <sheet name="K_Soft_DB" sheetId="884" state="visible" r:id="rId37"/>
    <sheet name="K_TraEq" sheetId="885" state="visible" r:id="rId38"/>
    <sheet name="K_OMach" sheetId="886" state="visible" r:id="rId39"/>
    <sheet name="K_OCon" sheetId="887" state="visible" r:id="rId40"/>
    <sheet name="K_Rstruc" sheetId="888" state="visible" r:id="rId41"/>
    <sheet name="K_Cult" sheetId="889" state="visible" r:id="rId42"/>
    <sheet name="K_RD" sheetId="890" state="visible" r:id="rId43"/>
    <sheet name="K_OIPP" sheetId="891" state="visible" r:id="rId44"/>
    <sheet name="K_GFCF" sheetId="892" state="visible" r:id="rId45"/>
    <sheet name="Kpyp_IT" sheetId="893" state="visible" r:id="rId46"/>
    <sheet name="Kpyp_CT" sheetId="894" state="visible" r:id="rId47"/>
    <sheet name="Kpyp_Soft_DB" sheetId="895" state="visible" r:id="rId48"/>
    <sheet name="Kpyp_TraEq" sheetId="896" state="visible" r:id="rId49"/>
    <sheet name="Kpyp_OMach" sheetId="897" state="visible" r:id="rId50"/>
    <sheet name="Kpyp_OCon" sheetId="898" state="visible" r:id="rId51"/>
    <sheet name="Kpyp_Rstruc" sheetId="899" state="visible" r:id="rId52"/>
    <sheet name="Kpyp_Cult" sheetId="900" state="visible" r:id="rId53"/>
    <sheet name="Kpyp_RD" sheetId="901" state="visible" r:id="rId54"/>
    <sheet name="Kpyp_OIPP" sheetId="902" state="visible" r:id="rId55"/>
    <sheet name="Kpyp_GFCF" sheetId="903" state="visible" r:id="rId56"/>
    <sheet name="Iq_IT" sheetId="904" state="visible" r:id="rId57"/>
    <sheet name="Iq_CT" sheetId="905" state="visible" r:id="rId58"/>
    <sheet name="Iq_Soft_DB" sheetId="906" state="visible" r:id="rId59"/>
    <sheet name="Iq_TraEq" sheetId="907" state="visible" r:id="rId60"/>
    <sheet name="Iq_OMach" sheetId="908" state="visible" r:id="rId61"/>
    <sheet name="Iq_OCon" sheetId="909" state="visible" r:id="rId62"/>
    <sheet name="Iq_Rstruc" sheetId="910" state="visible" r:id="rId63"/>
    <sheet name="Iq_Cult" sheetId="911" state="visible" r:id="rId64"/>
    <sheet name="Iq_RD" sheetId="912" state="visible" r:id="rId65"/>
    <sheet name="Iq_OIPP" sheetId="913" state="visible" r:id="rId66"/>
    <sheet name="Iq_GFCF" sheetId="914" state="visible" r:id="rId67"/>
    <sheet name="Kq_IT" sheetId="915" state="visible" r:id="rId68"/>
    <sheet name="Kq_CT" sheetId="916" state="visible" r:id="rId69"/>
    <sheet name="Kq_Soft_DB" sheetId="917" state="visible" r:id="rId70"/>
    <sheet name="Kq_TraEq" sheetId="918" state="visible" r:id="rId71"/>
    <sheet name="Kq_OMach" sheetId="919" state="visible" r:id="rId72"/>
    <sheet name="Kq_OCon" sheetId="920" state="visible" r:id="rId73"/>
    <sheet name="Kq_Rstruc" sheetId="921" state="visible" r:id="rId74"/>
    <sheet name="Kq_Cult" sheetId="922" state="visible" r:id="rId75"/>
    <sheet name="Kq_RD" sheetId="923" state="visible" r:id="rId76"/>
    <sheet name="Kq_OIPP" sheetId="924" state="visible" r:id="rId77"/>
    <sheet name="Kq_GFCF" sheetId="925" state="visible" r:id="rId78"/>
  </sheets>
</workbook>
</file>

<file path=xl/sharedStrings.xml><?xml version="1.0" encoding="utf-8"?>
<sst xmlns="http://schemas.openxmlformats.org/spreadsheetml/2006/main" count="390" uniqueCount="390">
  <si>
    <t xml:space="preserve">Variable</t>
  </si>
  <si>
    <t xml:space="preserve">Description</t>
  </si>
  <si>
    <t xml:space="preserve">GFCF, current prices, millions of national currency</t>
  </si>
  <si>
    <t xml:space="preserve">I_IT</t>
  </si>
  <si>
    <t xml:space="preserve">Computing equipment</t>
  </si>
  <si>
    <t xml:space="preserve">I_CT</t>
  </si>
  <si>
    <t xml:space="preserve">Communications equipment</t>
  </si>
  <si>
    <t xml:space="preserve">I_Soft_DB</t>
  </si>
  <si>
    <t xml:space="preserve">Computer software and databases</t>
  </si>
  <si>
    <t xml:space="preserve">I_TraEq</t>
  </si>
  <si>
    <t xml:space="preserve">Transport equipment</t>
  </si>
  <si>
    <t xml:space="preserve">I_OMach</t>
  </si>
  <si>
    <t xml:space="preserve">Other Machinery and Equipment</t>
  </si>
  <si>
    <t xml:space="preserve">I_OCon</t>
  </si>
  <si>
    <t xml:space="preserve">Total non-residential investment</t>
  </si>
  <si>
    <t xml:space="preserve">I_Rstruc</t>
  </si>
  <si>
    <t xml:space="preserve">Residential structures</t>
  </si>
  <si>
    <t xml:space="preserve">I_Cult</t>
  </si>
  <si>
    <t xml:space="preserve">Cultivated assets</t>
  </si>
  <si>
    <t xml:space="preserve">I_RD</t>
  </si>
  <si>
    <t xml:space="preserve">Research and development</t>
  </si>
  <si>
    <t xml:space="preserve">I_OIPP</t>
  </si>
  <si>
    <t xml:space="preserve">Other IPP assets</t>
  </si>
  <si>
    <t xml:space="preserve">I_GFCF</t>
  </si>
  <si>
    <t xml:space="preserve">All assets</t>
  </si>
  <si>
    <t xml:space="preserve">GFCF, previous year prices, millions of national currency</t>
  </si>
  <si>
    <t xml:space="preserve">Ipyp_IT</t>
  </si>
  <si>
    <t xml:space="preserve">Computing equipment previous year prices</t>
  </si>
  <si>
    <t xml:space="preserve">Ipyp_CT</t>
  </si>
  <si>
    <t xml:space="preserve">Communications equipment previous year prices</t>
  </si>
  <si>
    <t xml:space="preserve">Ipyp_Soft_DB</t>
  </si>
  <si>
    <t xml:space="preserve">Computer software and databases previous year prices</t>
  </si>
  <si>
    <t xml:space="preserve">Ipyp_TraEq</t>
  </si>
  <si>
    <t xml:space="preserve">Transport equipment previous year prices</t>
  </si>
  <si>
    <t xml:space="preserve">Ipyp_OMach</t>
  </si>
  <si>
    <t xml:space="preserve">Other machinery and equipment previous year prices</t>
  </si>
  <si>
    <t xml:space="preserve">Ipyp_OCon</t>
  </si>
  <si>
    <t xml:space="preserve">Total non-residential investment previous year prices</t>
  </si>
  <si>
    <t xml:space="preserve">Ipyp_Rstruc</t>
  </si>
  <si>
    <t xml:space="preserve">Residential structures previous year prices</t>
  </si>
  <si>
    <t xml:space="preserve">Ipyp_Cult</t>
  </si>
  <si>
    <t xml:space="preserve">Cultivated assets previous year prices</t>
  </si>
  <si>
    <t xml:space="preserve">Ipyp_RD</t>
  </si>
  <si>
    <t xml:space="preserve">Research and development previous year prices</t>
  </si>
  <si>
    <t xml:space="preserve">Ipyp_OIPP</t>
  </si>
  <si>
    <t xml:space="preserve">Other IPP assets previous year prices</t>
  </si>
  <si>
    <t xml:space="preserve">Ipyp_GFCF</t>
  </si>
  <si>
    <t xml:space="preserve">All assets previous year prices</t>
  </si>
  <si>
    <t xml:space="preserve">GFCF, chained linked volumes (2020), millions of national currency</t>
  </si>
  <si>
    <t xml:space="preserve">Iq_IT</t>
  </si>
  <si>
    <t xml:space="preserve">Computing equipment, chained linked volumes (2020)</t>
  </si>
  <si>
    <t xml:space="preserve">Iq_CT</t>
  </si>
  <si>
    <t xml:space="preserve">Communications equipment, chained linked volumes (2020)</t>
  </si>
  <si>
    <t xml:space="preserve">Iq_Soft_DB</t>
  </si>
  <si>
    <t xml:space="preserve">Computer software and databases, chained linked volumes (2020)</t>
  </si>
  <si>
    <t xml:space="preserve">Iq_TraEq</t>
  </si>
  <si>
    <t xml:space="preserve">Transport equipment, chained linked volumes (2020)</t>
  </si>
  <si>
    <t xml:space="preserve">Iq_OMach</t>
  </si>
  <si>
    <t xml:space="preserve">Other Machinery and Equipment, chained linked volumes (2020)</t>
  </si>
  <si>
    <t xml:space="preserve">Iq_OCon</t>
  </si>
  <si>
    <t xml:space="preserve">Total non-residential investment, chained linked volumes (2020)</t>
  </si>
  <si>
    <t xml:space="preserve">Iq_Rstruc</t>
  </si>
  <si>
    <t xml:space="preserve">Residential structures, chained linked volumes (2020)</t>
  </si>
  <si>
    <t xml:space="preserve">Iq_Cult</t>
  </si>
  <si>
    <t xml:space="preserve">Cultivated assets, chained linked volumes (2020)</t>
  </si>
  <si>
    <t xml:space="preserve">Iq_RD</t>
  </si>
  <si>
    <t xml:space="preserve">Research and development, chained linked volumes (2020)</t>
  </si>
  <si>
    <t xml:space="preserve">Iq_OIPP</t>
  </si>
  <si>
    <t xml:space="preserve">Other IPP assets, chained linked volumes (2020)</t>
  </si>
  <si>
    <t xml:space="preserve">Iq_GFCF</t>
  </si>
  <si>
    <t xml:space="preserve">All assets, chained linked volumes (2020)</t>
  </si>
  <si>
    <t xml:space="preserve">GFCF, price indexes (2020)</t>
  </si>
  <si>
    <t xml:space="preserve">Ip_IT</t>
  </si>
  <si>
    <t xml:space="preserve">Computing equipment price index (2020)</t>
  </si>
  <si>
    <t xml:space="preserve">Ip_CT</t>
  </si>
  <si>
    <t xml:space="preserve">Communications equipment price index (2020)</t>
  </si>
  <si>
    <t xml:space="preserve">Ip_Soft_DB</t>
  </si>
  <si>
    <t xml:space="preserve">Computer software and databases price index (2020)</t>
  </si>
  <si>
    <t xml:space="preserve">Ip_TraEq</t>
  </si>
  <si>
    <t xml:space="preserve">Transport equipment price index (2020)</t>
  </si>
  <si>
    <t xml:space="preserve">Ip_OMach</t>
  </si>
  <si>
    <t xml:space="preserve">Other machinery and equipment price index (2020)</t>
  </si>
  <si>
    <t xml:space="preserve">Ip_OCon</t>
  </si>
  <si>
    <t xml:space="preserve">Total non-residential investment price index (2020)</t>
  </si>
  <si>
    <t xml:space="preserve">Ip_Rstruc</t>
  </si>
  <si>
    <t xml:space="preserve">Residential structures price index (2020)</t>
  </si>
  <si>
    <t xml:space="preserve">Ip_Cult</t>
  </si>
  <si>
    <t xml:space="preserve">Cultivated assets price index (2020)</t>
  </si>
  <si>
    <t xml:space="preserve">Ip_RD</t>
  </si>
  <si>
    <t xml:space="preserve">Research and development price index (2020)</t>
  </si>
  <si>
    <t xml:space="preserve">Ip_OIPP</t>
  </si>
  <si>
    <t xml:space="preserve">Other IPP assets price index (2020)</t>
  </si>
  <si>
    <t xml:space="preserve">Ip_GFCF</t>
  </si>
  <si>
    <t xml:space="preserve">All assets price index (2020)</t>
  </si>
  <si>
    <t xml:space="preserve">Capital stock net, current replacement stock, millions of national currency</t>
  </si>
  <si>
    <t xml:space="preserve">K_IT</t>
  </si>
  <si>
    <t xml:space="preserve">Computing equipment capital stock</t>
  </si>
  <si>
    <t xml:space="preserve">K_CT</t>
  </si>
  <si>
    <t xml:space="preserve">Communications equipment capital stock</t>
  </si>
  <si>
    <t xml:space="preserve">K_Soft_DB</t>
  </si>
  <si>
    <t xml:space="preserve">Computer software and databases capital stock</t>
  </si>
  <si>
    <t xml:space="preserve">K_TraEq</t>
  </si>
  <si>
    <t xml:space="preserve">Transport equipment capital stock</t>
  </si>
  <si>
    <t xml:space="preserve">K_OMach</t>
  </si>
  <si>
    <t xml:space="preserve">Other machinery and equipment capital stock</t>
  </si>
  <si>
    <t xml:space="preserve">K_OCon</t>
  </si>
  <si>
    <t xml:space="preserve">Total non-residential investment capital stock</t>
  </si>
  <si>
    <t xml:space="preserve">K_Rstruc</t>
  </si>
  <si>
    <t xml:space="preserve">Residential structures capital stock</t>
  </si>
  <si>
    <t xml:space="preserve">K_Cult</t>
  </si>
  <si>
    <t xml:space="preserve">Cultivated assets capital stock</t>
  </si>
  <si>
    <t xml:space="preserve">K_RD</t>
  </si>
  <si>
    <t xml:space="preserve">Research and development capital stock</t>
  </si>
  <si>
    <t xml:space="preserve">K_OIPP</t>
  </si>
  <si>
    <t xml:space="preserve">Other IPP assets capital stock</t>
  </si>
  <si>
    <t xml:space="preserve">K_GFCF</t>
  </si>
  <si>
    <t xml:space="preserve">All assets capital stock</t>
  </si>
  <si>
    <t xml:space="preserve">Capital stock net, previous year replacement stock, millions of national currency</t>
  </si>
  <si>
    <t xml:space="preserve">Kpyp_IT</t>
  </si>
  <si>
    <t xml:space="preserve">Computing equipment capital stock prev. year replac. cost</t>
  </si>
  <si>
    <t xml:space="preserve">Kpyp_CT</t>
  </si>
  <si>
    <t xml:space="preserve">Communications equipment capital stock prev. year replac. cost</t>
  </si>
  <si>
    <t xml:space="preserve">Kpyp_Soft_DB</t>
  </si>
  <si>
    <t xml:space="preserve">Computer software and databases capital stock prev. year replac. cost</t>
  </si>
  <si>
    <t xml:space="preserve">Kpyp_TraEq</t>
  </si>
  <si>
    <t xml:space="preserve">Transport equipment capital stock prev. year replac. cost</t>
  </si>
  <si>
    <t xml:space="preserve">Kpyp_OMach</t>
  </si>
  <si>
    <t xml:space="preserve">Other machinery and equipment capital stock prev. year replac. cost</t>
  </si>
  <si>
    <t xml:space="preserve">Kpyp_OCon</t>
  </si>
  <si>
    <t xml:space="preserve">Total non-residential investment capital stock prev. year replac. cost</t>
  </si>
  <si>
    <t xml:space="preserve">Kpyp_Rstruc</t>
  </si>
  <si>
    <t xml:space="preserve">Residential structures capital stock prev. year replac. cost</t>
  </si>
  <si>
    <t xml:space="preserve">Kpyp_Cult</t>
  </si>
  <si>
    <t xml:space="preserve">Cultivated assets capital stock prev. year replac. cost</t>
  </si>
  <si>
    <t xml:space="preserve">Kpyp_RD</t>
  </si>
  <si>
    <t xml:space="preserve">Research and development capital stock prev. year replac. cost</t>
  </si>
  <si>
    <t xml:space="preserve">Kpyp_OIPP</t>
  </si>
  <si>
    <t xml:space="preserve">Other IPP assets capital stock prev. year replac. cost</t>
  </si>
  <si>
    <t xml:space="preserve">Kpyp_GFCF</t>
  </si>
  <si>
    <t xml:space="preserve">All assets capital stock prev. year replac. cost</t>
  </si>
  <si>
    <t xml:space="preserve">Capital stock net, chained linked volumes (2020), millions of national currency</t>
  </si>
  <si>
    <t xml:space="preserve">Kq_IT</t>
  </si>
  <si>
    <t xml:space="preserve">Kq_CT</t>
  </si>
  <si>
    <t xml:space="preserve">Kq_Soft_DB</t>
  </si>
  <si>
    <t xml:space="preserve">Kq_TraEq</t>
  </si>
  <si>
    <t xml:space="preserve">Kq_OMach</t>
  </si>
  <si>
    <t xml:space="preserve">Kq_OCon</t>
  </si>
  <si>
    <t xml:space="preserve">Kq_Rstruc</t>
  </si>
  <si>
    <t xml:space="preserve">Kq_Cult</t>
  </si>
  <si>
    <t xml:space="preserve">Kq_RD</t>
  </si>
  <si>
    <t xml:space="preserve">Kq_OIPP</t>
  </si>
  <si>
    <t xml:space="preserve">Kq_GFCF</t>
  </si>
  <si>
    <t xml:space="preserve">Capital Accounts</t>
  </si>
  <si>
    <t xml:space="preserve">Source: Euklems &amp; INTANProd database, 2024 release</t>
  </si>
  <si>
    <t xml:space="preserve">When using this database please quote: Bontadini F., Corrado C., Haskel J., Iommi M., Jona-Lasinio C. (2023), EUKLEMS &amp; INTANProd: industry productivity accounts with intangibles - Sources of growth and productivity trends: methods and main measurement challenges</t>
  </si>
  <si>
    <t xml:space="preserve"/>
  </si>
  <si>
    <t xml:space="preserve">Notes</t>
  </si>
  <si>
    <t xml:space="preserve">Numbers displayed are in accordance with the industry classification (NACE Rev. 2/ISIC Rev. 4) and the European System of Capital Accounts (ESA 2010).</t>
  </si>
  <si>
    <t xml:space="preserve">Extracted from Eurostat:		08/04/2024</t>
  </si>
  <si>
    <t xml:space="preserve">For more information and updates, see: https://euklems-intanprod-llee.luiss.it/</t>
  </si>
  <si>
    <t xml:space="preserve">Acknowledgements and disclaimer</t>
  </si>
  <si>
    <t xml:space="preserve">This update of the EUKLEMS &amp; INTANProd database 2024 has been funded by the WIPO:</t>
  </si>
  <si>
    <t xml:space="preserve">Procurement procedure ECFIN/2020/OP/0001 – Provision of Industry level growth and productivity data with special focus on intangible assets – 2020/S 114-275561</t>
  </si>
  <si>
    <t xml:space="preserve">Any errors or omissions are entirely the responsibility of the Luiss Lab of European Economics - LLEE</t>
  </si>
  <si>
    <t xml:space="preserve">For comments and suggestions please send an email to euklems-intanprod@luiss.it</t>
  </si>
  <si>
    <t xml:space="preserve">var</t>
  </si>
  <si>
    <t xml:space="preserve">nace_r2_code</t>
  </si>
  <si>
    <t xml:space="preserve">geo_code</t>
  </si>
  <si>
    <t xml:space="preserve">nace_r2_name</t>
  </si>
  <si>
    <t xml:space="preserve">geo_name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</si>
  <si>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</si>
  <si>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</si>
  <si>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</si>
  <si>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</si>
  <si>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</si>
  <si>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</si>
  <si>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</si>
  <si>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</si>
  <si>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</si>
  <si>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</si>
  <si>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</si>
  <si>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</si>
  <si>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</si>
  <si>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</si>
  <si>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</si>
  <si>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</si>
  <si>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</si>
  <si>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</si>
  <si>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</si>
  <si>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</si>
  <si>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</si>
  <si>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</si>
  <si>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</si>
  <si>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</si>
  <si>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</si>
  <si>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</si>
  <si>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</si>
  <si>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A</t>
  </si>
  <si>
    <t xml:space="preserve">AT</t>
  </si>
  <si>
    <t xml:space="preserve">Agriculture, forestry and fishing</t>
  </si>
  <si>
    <t xml:space="preserve">Austria</t>
  </si>
  <si>
    <t xml:space="preserve">BE</t>
  </si>
  <si>
    <t xml:space="preserve">Belgium</t>
  </si>
  <si>
    <t xml:space="preserve">BG</t>
  </si>
  <si>
    <t xml:space="preserve">Bulgaria</t>
  </si>
  <si>
    <t xml:space="preserve">CY</t>
  </si>
  <si>
    <t xml:space="preserve">Cyprus</t>
  </si>
  <si>
    <t xml:space="preserve">CZ</t>
  </si>
  <si>
    <t xml:space="preserve">Czechia</t>
  </si>
  <si>
    <t xml:space="preserve">DE</t>
  </si>
  <si>
    <t xml:space="preserve">Germany</t>
  </si>
  <si>
    <t xml:space="preserve">DK</t>
  </si>
  <si>
    <t xml:space="preserve">Denmark</t>
  </si>
  <si>
    <t xml:space="preserve">EA19</t>
  </si>
  <si>
    <t xml:space="preserve">Euro area - 19 countries  (from 2020)</t>
  </si>
  <si>
    <t xml:space="preserve">EE</t>
  </si>
  <si>
    <t xml:space="preserve">Estonia</t>
  </si>
  <si>
    <t xml:space="preserve">EL</t>
  </si>
  <si>
    <t xml:space="preserve">Greece</t>
  </si>
  <si>
    <t xml:space="preserve">ES</t>
  </si>
  <si>
    <t xml:space="preserve">Spain</t>
  </si>
  <si>
    <t xml:space="preserve">EU11</t>
  </si>
  <si>
    <t xml:space="preserve">EU12 without UK</t>
  </si>
  <si>
    <t xml:space="preserve">EU12</t>
  </si>
  <si>
    <t xml:space="preserve">AT, BE, CZ, DE, DK, ES, FI, FR, IT, NL, SE and UK</t>
  </si>
  <si>
    <t xml:space="preserve">EU15</t>
  </si>
  <si>
    <t xml:space="preserve">European Union - 15 countries (1995-2004)</t>
  </si>
  <si>
    <t xml:space="preserve">EU19</t>
  </si>
  <si>
    <t xml:space="preserve">EU20 without the UK</t>
  </si>
  <si>
    <t xml:space="preserve">EU20</t>
  </si>
  <si>
    <t xml:space="preserve">AT, BE, CZ, DE, DK, EE, ES, FI, FR, HU, IT, LT, LU, LV, NL, RO, SE, SI, SK and UK</t>
  </si>
  <si>
    <t xml:space="preserve">EU27</t>
  </si>
  <si>
    <t xml:space="preserve">European Union - 27 countries (from 2020)</t>
  </si>
  <si>
    <t xml:space="preserve">EU27_2020</t>
  </si>
  <si>
    <t xml:space="preserve">EU28</t>
  </si>
  <si>
    <t xml:space="preserve">European Union - 28 countries (2013-2020)</t>
  </si>
  <si>
    <t xml:space="preserve">FI</t>
  </si>
  <si>
    <t xml:space="preserve">Finland</t>
  </si>
  <si>
    <t xml:space="preserve">FR</t>
  </si>
  <si>
    <t xml:space="preserve">France</t>
  </si>
  <si>
    <t xml:space="preserve">HR</t>
  </si>
  <si>
    <t xml:space="preserve">Croatia</t>
  </si>
  <si>
    <t xml:space="preserve">HU</t>
  </si>
  <si>
    <t xml:space="preserve">Hungary</t>
  </si>
  <si>
    <t xml:space="preserve">IE</t>
  </si>
  <si>
    <t xml:space="preserve">Ireland</t>
  </si>
  <si>
    <t xml:space="preserve">IT</t>
  </si>
  <si>
    <t xml:space="preserve">Italy</t>
  </si>
  <si>
    <t xml:space="preserve">JP</t>
  </si>
  <si>
    <t xml:space="preserve">Japan</t>
  </si>
  <si>
    <t xml:space="preserve">LT</t>
  </si>
  <si>
    <t xml:space="preserve">Lithuania</t>
  </si>
  <si>
    <t xml:space="preserve">LU</t>
  </si>
  <si>
    <t xml:space="preserve">Luxembourg</t>
  </si>
  <si>
    <t xml:space="preserve">LV</t>
  </si>
  <si>
    <t xml:space="preserve">Latvia</t>
  </si>
  <si>
    <t xml:space="preserve">MT</t>
  </si>
  <si>
    <t xml:space="preserve">Malta</t>
  </si>
  <si>
    <t xml:space="preserve">NL</t>
  </si>
  <si>
    <t xml:space="preserve">Netherlands</t>
  </si>
  <si>
    <t xml:space="preserve">PL</t>
  </si>
  <si>
    <t xml:space="preserve">Poland</t>
  </si>
  <si>
    <t xml:space="preserve">PT</t>
  </si>
  <si>
    <t xml:space="preserve">Portugal</t>
  </si>
  <si>
    <t xml:space="preserve">RO</t>
  </si>
  <si>
    <t xml:space="preserve">Romania</t>
  </si>
  <si>
    <t xml:space="preserve">SE</t>
  </si>
  <si>
    <t xml:space="preserve">Sweden</t>
  </si>
  <si>
    <t xml:space="preserve">SI</t>
  </si>
  <si>
    <t xml:space="preserve">Slovenia</t>
  </si>
  <si>
    <t xml:space="preserve">SK</t>
  </si>
  <si>
    <t xml:space="preserve">Slovakia</t>
  </si>
  <si>
    <t xml:space="preserve">UK</t>
  </si>
  <si>
    <t xml:space="preserve">United Kingdom</t>
  </si>
  <si>
    <t xml:space="preserve">US</t>
  </si>
  <si>
    <t xml:space="preserve">United States</t>
  </si>
  <si>
    <t xml:space="preserve">B</t>
  </si>
  <si>
    <t xml:space="preserve">Mining and quarrying</t>
  </si>
  <si>
    <t xml:space="preserve">C</t>
  </si>
  <si>
    <t xml:space="preserve">Manufacturing</t>
  </si>
  <si>
    <t xml:space="preserve">C10-C12</t>
  </si>
  <si>
    <t xml:space="preserve">Manufacture of food products; beverages and tobacco products</t>
  </si>
  <si>
    <t xml:space="preserve">C13-C15</t>
  </si>
  <si>
    <t xml:space="preserve">Manufacture of textiles, wearing apparel, leather and related products</t>
  </si>
  <si>
    <t xml:space="preserve">C16-C18</t>
  </si>
  <si>
    <t xml:space="preserve">Manufacture of wood, paper, printing and reproduction</t>
  </si>
  <si>
    <t xml:space="preserve">C19</t>
  </si>
  <si>
    <t xml:space="preserve">Manufacture of coke and refined petroleum products</t>
  </si>
  <si>
    <t xml:space="preserve">C20</t>
  </si>
  <si>
    <t xml:space="preserve">Manufacture of chemicals and chemical products</t>
  </si>
  <si>
    <t xml:space="preserve">C20-C21</t>
  </si>
  <si>
    <t xml:space="preserve">Chemicals; basic pharmaceutical products</t>
  </si>
  <si>
    <t xml:space="preserve">C21</t>
  </si>
  <si>
    <t xml:space="preserve">Manufacture of basic pharmaceutical products and pharmaceutical preparations</t>
  </si>
  <si>
    <t xml:space="preserve">C22-C23</t>
  </si>
  <si>
    <t xml:space="preserve">Manufacture of rubber and plastic products and other non-metallic mineral products</t>
  </si>
  <si>
    <t xml:space="preserve">C24-C25</t>
  </si>
  <si>
    <t xml:space="preserve">Manufacture of basic metals and fabricated metal products, except machinery and equipment</t>
  </si>
  <si>
    <t xml:space="preserve">C26</t>
  </si>
  <si>
    <t xml:space="preserve">Manufacture of computer, electronic and optical products</t>
  </si>
  <si>
    <t xml:space="preserve">C26-C27</t>
  </si>
  <si>
    <t xml:space="preserve">Computer, electronic, optical products; electrical equipment</t>
  </si>
  <si>
    <t xml:space="preserve">C27</t>
  </si>
  <si>
    <t xml:space="preserve">Manufacture of electrical equipment</t>
  </si>
  <si>
    <t xml:space="preserve">C28</t>
  </si>
  <si>
    <t xml:space="preserve">Manufacture of machinery and equipment n.e.c.</t>
  </si>
  <si>
    <t xml:space="preserve">C29-C30</t>
  </si>
  <si>
    <t xml:space="preserve">Manufacture of motor vehicles, trailers, semi-trailers and of other transport equipment</t>
  </si>
  <si>
    <t xml:space="preserve">C31-C33</t>
  </si>
  <si>
    <t xml:space="preserve">Manufacture of furniture; jewellery, musical instruments, toys; repair and installation of machinery and equipment</t>
  </si>
  <si>
    <t xml:space="preserve">D</t>
  </si>
  <si>
    <t xml:space="preserve">Electricity, gas, steam and air conditioning supply</t>
  </si>
  <si>
    <t xml:space="preserve">D-E</t>
  </si>
  <si>
    <t xml:space="preserve">Electricity, gas, steam; water supply, sewerage, waste management</t>
  </si>
  <si>
    <t xml:space="preserve">E</t>
  </si>
  <si>
    <t xml:space="preserve">Water supply; sewerage, waste management and remediation activities</t>
  </si>
  <si>
    <t xml:space="preserve">F</t>
  </si>
  <si>
    <t xml:space="preserve">Construction</t>
  </si>
  <si>
    <t xml:space="preserve">G</t>
  </si>
  <si>
    <t xml:space="preserve">Wholesale and retail trade; repair of motor vehicles and motorcycles</t>
  </si>
  <si>
    <t xml:space="preserve">G45</t>
  </si>
  <si>
    <t xml:space="preserve">Wholesale and retail trade and repair of motor vehicles and motorcycles</t>
  </si>
  <si>
    <t xml:space="preserve">G46</t>
  </si>
  <si>
    <t xml:space="preserve">Wholesale trade, except of motor vehicles and motorcycles</t>
  </si>
  <si>
    <t xml:space="preserve">G47</t>
  </si>
  <si>
    <t xml:space="preserve">Retail trade, except of motor vehicles and motorcycles</t>
  </si>
  <si>
    <t xml:space="preserve">H</t>
  </si>
  <si>
    <t xml:space="preserve">Transportation and storage</t>
  </si>
  <si>
    <t xml:space="preserve">H49</t>
  </si>
  <si>
    <t xml:space="preserve">Land transport and transport via pipelines</t>
  </si>
  <si>
    <t xml:space="preserve">H50</t>
  </si>
  <si>
    <t xml:space="preserve">Water transport</t>
  </si>
  <si>
    <t xml:space="preserve">H51</t>
  </si>
  <si>
    <t xml:space="preserve">Air transport</t>
  </si>
  <si>
    <t xml:space="preserve">H52</t>
  </si>
  <si>
    <t xml:space="preserve">Warehousing and support activities for transportation</t>
  </si>
  <si>
    <t xml:space="preserve">H53</t>
  </si>
  <si>
    <t xml:space="preserve">Postal and courier activities</t>
  </si>
  <si>
    <t xml:space="preserve">I</t>
  </si>
  <si>
    <t xml:space="preserve">Accommodation and food service activities</t>
  </si>
  <si>
    <t xml:space="preserve">J</t>
  </si>
  <si>
    <t xml:space="preserve">Information and communication</t>
  </si>
  <si>
    <t xml:space="preserve">J58-J60</t>
  </si>
  <si>
    <t xml:space="preserve">Publishing, motion picture, video, television programme production; sound recording, programming and broadcasting activities</t>
  </si>
  <si>
    <t xml:space="preserve">J61</t>
  </si>
  <si>
    <t xml:space="preserve">Telecommunications</t>
  </si>
  <si>
    <t xml:space="preserve">J62-J63</t>
  </si>
  <si>
    <t xml:space="preserve">Computer programming, consultancy, and information service activities</t>
  </si>
  <si>
    <t xml:space="preserve">K</t>
  </si>
  <si>
    <t xml:space="preserve">Financial and insurance activities</t>
  </si>
  <si>
    <t xml:space="preserve">L</t>
  </si>
  <si>
    <t xml:space="preserve">Real estate activities</t>
  </si>
  <si>
    <t xml:space="preserve">L68A</t>
  </si>
  <si>
    <t xml:space="preserve">Imputed rents of owner-occupied dwellings</t>
  </si>
  <si>
    <t xml:space="preserve">M</t>
  </si>
  <si>
    <t xml:space="preserve">Professional, scientific and technical activities</t>
  </si>
  <si>
    <t xml:space="preserve">M-N</t>
  </si>
  <si>
    <t xml:space="preserve">Professional, scientific and technical activities; administrative and support service activities</t>
  </si>
  <si>
    <t xml:space="preserve">MARKT</t>
  </si>
  <si>
    <t xml:space="preserve">Market economy (all industries excluding L, O, P, Q, T and U)</t>
  </si>
  <si>
    <t xml:space="preserve">MARKTxAG</t>
  </si>
  <si>
    <t xml:space="preserve">Non-agricultural market economy (Market economy less industry A)</t>
  </si>
  <si>
    <t xml:space="preserve">N</t>
  </si>
  <si>
    <t xml:space="preserve">Administrative and support service activities</t>
  </si>
  <si>
    <t xml:space="preserve">O</t>
  </si>
  <si>
    <t xml:space="preserve">Public administration and defence; compulsory social security</t>
  </si>
  <si>
    <t xml:space="preserve">O-Q</t>
  </si>
  <si>
    <t xml:space="preserve">Public administration, defence, education, human health and social work activities</t>
  </si>
  <si>
    <t xml:space="preserve">P</t>
  </si>
  <si>
    <t xml:space="preserve">Education</t>
  </si>
  <si>
    <t xml:space="preserve">Q</t>
  </si>
  <si>
    <t xml:space="preserve">Human health and social work activities</t>
  </si>
  <si>
    <t xml:space="preserve">Q86</t>
  </si>
  <si>
    <t xml:space="preserve">Human health activities</t>
  </si>
  <si>
    <t xml:space="preserve">Q87-Q88</t>
  </si>
  <si>
    <t xml:space="preserve">Residential care activities and social work activities without accommodation</t>
  </si>
  <si>
    <t xml:space="preserve">R</t>
  </si>
  <si>
    <t xml:space="preserve">Arts, entertainment and recreation</t>
  </si>
  <si>
    <t xml:space="preserve">R-S</t>
  </si>
  <si>
    <t xml:space="preserve">Arts, entertainment, recreation; other services and service activities, etc.</t>
  </si>
  <si>
    <t xml:space="preserve">S</t>
  </si>
  <si>
    <t xml:space="preserve">Other service activities</t>
  </si>
  <si>
    <t xml:space="preserve">T</t>
  </si>
  <si>
    <t xml:space="preserve">Activities of households as employers; undifferentiated goods- and services-producing activities of households for own use</t>
  </si>
  <si>
    <t xml:space="preserve">TOT</t>
  </si>
  <si>
    <t xml:space="preserve">Total - all NACE activities</t>
  </si>
  <si>
    <t xml:space="preserve">TOT_IND</t>
  </si>
  <si>
    <t xml:space="preserve">Total industries (A-S)</t>
  </si>
  <si>
    <t xml:space="preserve">U</t>
  </si>
  <si>
    <t xml:space="preserve">Activities of extraterritorial organisations and bodies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</si>
</sst>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4"/>
      <color rgb="FFFFFFFF"/>
      <name val="Calibri"/>
      <b/>
    </font>
    <font>
      <sz val="14"/>
      <color rgb="FF000000"/>
      <name val="Calibri"/>
      <b/>
    </font>
    <font>
      <sz val="8"/>
      <color rgb="FF000000"/>
      <name val="Calibri"/>
    </font>
    <font>
      <sz val="11"/>
      <color theme="10"/>
      <name val="Calibri"/>
      <u val="single"/>
    </font>
  </fonts>
  <fills count="4">
    <fill>
      <patternFill patternType="none"/>
    </fill>
    <fill>
      <patternFill patternType="gray125"/>
    </fill>
    <fill>
      <patternFill patternType="solid">
        <fgColor rgb="FF093170"/>
      </patternFill>
    </fill>
    <fill>
      <patternFill patternType="solid">
        <fgColor rgb="FFD8DE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theme" Target="theme/theme1.xml"/><Relationship Id="rId80" Type="http://schemas.openxmlformats.org/officeDocument/2006/relationships/styles" Target="styles.xml"/><Relationship Id="rId8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 t="s">
        <v>152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t="s">
        <v>153</v>
      </c>
    </row>
    <row r="4">
      <c r="A4" s="2" t="s">
        <v>154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>
      <c r="A5" t="s">
        <v>155</v>
      </c>
    </row>
    <row r="6">
      <c r="A6" s="1" t="s">
        <v>0</v>
      </c>
      <c r="B6" s="1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2" t="s">
        <v>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>
      <c r="A8" s="4" t="str">
        <f>=HYPERLINK("#'I_IT'!A1", "I_IT")</f>
      </c>
      <c r="B8" t="s">
        <v>4</v>
      </c>
    </row>
    <row r="9">
      <c r="A9" s="4" t="str">
        <f>=HYPERLINK("#'I_CT'!A1", "I_CT")</f>
      </c>
      <c r="B9" t="s">
        <v>6</v>
      </c>
    </row>
    <row r="10">
      <c r="A10" s="4" t="str">
        <f>=HYPERLINK("#'I_Soft_DB'!A1", "I_Soft_DB")</f>
      </c>
      <c r="B10" t="s">
        <v>8</v>
      </c>
    </row>
    <row r="11">
      <c r="A11" s="4" t="str">
        <f>=HYPERLINK("#'I_TraEq'!A1", "I_TraEq")</f>
      </c>
      <c r="B11" t="s">
        <v>10</v>
      </c>
    </row>
    <row r="12">
      <c r="A12" s="4" t="str">
        <f>=HYPERLINK("#'I_OMach'!A1", "I_OMach")</f>
      </c>
      <c r="B12" t="s">
        <v>12</v>
      </c>
    </row>
    <row r="13">
      <c r="A13" s="4" t="str">
        <f>=HYPERLINK("#'I_OCon'!A1", "I_OCon")</f>
      </c>
      <c r="B13" t="s">
        <v>14</v>
      </c>
    </row>
    <row r="14">
      <c r="A14" s="4" t="str">
        <f>=HYPERLINK("#'I_Rstruc'!A1", "I_Rstruc")</f>
      </c>
      <c r="B14" t="s">
        <v>16</v>
      </c>
    </row>
    <row r="15">
      <c r="A15" s="4" t="str">
        <f>=HYPERLINK("#'I_Cult'!A1", "I_Cult")</f>
      </c>
      <c r="B15" t="s">
        <v>18</v>
      </c>
    </row>
    <row r="16">
      <c r="A16" s="4" t="str">
        <f>=HYPERLINK("#'I_RD'!A1", "I_RD")</f>
      </c>
      <c r="B16" t="s">
        <v>20</v>
      </c>
    </row>
    <row r="17">
      <c r="A17" s="4" t="str">
        <f>=HYPERLINK("#'I_OIPP'!A1", "I_OIPP")</f>
      </c>
      <c r="B17" t="s">
        <v>22</v>
      </c>
    </row>
    <row r="18">
      <c r="A18" s="4" t="str">
        <f>=HYPERLINK("#'I_GFCF'!A1", "I_GFCF")</f>
      </c>
      <c r="B18" t="s">
        <v>24</v>
      </c>
    </row>
    <row r="19">
      <c r="A19" s="2" t="s">
        <v>25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>
      <c r="A20" s="4" t="str">
        <f>=HYPERLINK("#'Ipyp_IT'!A1", "Ipyp_IT")</f>
      </c>
      <c r="B20" t="s">
        <v>27</v>
      </c>
    </row>
    <row r="21">
      <c r="A21" s="4" t="str">
        <f>=HYPERLINK("#'Ipyp_CT'!A1", "Ipyp_CT")</f>
      </c>
      <c r="B21" t="s">
        <v>29</v>
      </c>
    </row>
    <row r="22">
      <c r="A22" s="4" t="str">
        <f>=HYPERLINK("#'Ipyp_Soft_DB'!A1", "Ipyp_Soft_DB")</f>
      </c>
      <c r="B22" t="s">
        <v>31</v>
      </c>
    </row>
    <row r="23">
      <c r="A23" s="4" t="str">
        <f>=HYPERLINK("#'Ipyp_TraEq'!A1", "Ipyp_TraEq")</f>
      </c>
      <c r="B23" t="s">
        <v>33</v>
      </c>
    </row>
    <row r="24">
      <c r="A24" s="4" t="str">
        <f>=HYPERLINK("#'Ipyp_OMach'!A1", "Ipyp_OMach")</f>
      </c>
      <c r="B24" t="s">
        <v>35</v>
      </c>
    </row>
    <row r="25">
      <c r="A25" s="4" t="str">
        <f>=HYPERLINK("#'Ipyp_OCon'!A1", "Ipyp_OCon")</f>
      </c>
      <c r="B25" t="s">
        <v>37</v>
      </c>
    </row>
    <row r="26">
      <c r="A26" s="4" t="str">
        <f>=HYPERLINK("#'Ipyp_Rstruc'!A1", "Ipyp_Rstruc")</f>
      </c>
      <c r="B26" t="s">
        <v>39</v>
      </c>
    </row>
    <row r="27">
      <c r="A27" s="4" t="str">
        <f>=HYPERLINK("#'Ipyp_Cult'!A1", "Ipyp_Cult")</f>
      </c>
      <c r="B27" t="s">
        <v>41</v>
      </c>
    </row>
    <row r="28">
      <c r="A28" s="4" t="str">
        <f>=HYPERLINK("#'Ipyp_RD'!A1", "Ipyp_RD")</f>
      </c>
      <c r="B28" t="s">
        <v>43</v>
      </c>
    </row>
    <row r="29">
      <c r="A29" s="4" t="str">
        <f>=HYPERLINK("#'Ipyp_OIPP'!A1", "Ipyp_OIPP")</f>
      </c>
      <c r="B29" t="s">
        <v>45</v>
      </c>
    </row>
    <row r="30">
      <c r="A30" s="4" t="str">
        <f>=HYPERLINK("#'Ipyp_GFCF'!A1", "Ipyp_GFCF")</f>
      </c>
      <c r="B30" t="s">
        <v>47</v>
      </c>
    </row>
    <row r="31">
      <c r="A31" s="2" t="s">
        <v>48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>
      <c r="A32" s="4" t="str">
        <f>=HYPERLINK("#'Iq_IT'!A1", "Iq_IT")</f>
      </c>
      <c r="B32" t="s">
        <v>50</v>
      </c>
    </row>
    <row r="33">
      <c r="A33" s="4" t="str">
        <f>=HYPERLINK("#'Iq_CT'!A1", "Iq_CT")</f>
      </c>
      <c r="B33" t="s">
        <v>52</v>
      </c>
    </row>
    <row r="34">
      <c r="A34" s="4" t="str">
        <f>=HYPERLINK("#'Iq_Soft_DB'!A1", "Iq_Soft_DB")</f>
      </c>
      <c r="B34" t="s">
        <v>54</v>
      </c>
    </row>
    <row r="35">
      <c r="A35" s="4" t="str">
        <f>=HYPERLINK("#'Iq_TraEq'!A1", "Iq_TraEq")</f>
      </c>
      <c r="B35" t="s">
        <v>56</v>
      </c>
    </row>
    <row r="36">
      <c r="A36" s="4" t="str">
        <f>=HYPERLINK("#'Iq_OMach'!A1", "Iq_OMach")</f>
      </c>
      <c r="B36" t="s">
        <v>58</v>
      </c>
    </row>
    <row r="37">
      <c r="A37" s="4" t="str">
        <f>=HYPERLINK("#'Iq_OCon'!A1", "Iq_OCon")</f>
      </c>
      <c r="B37" t="s">
        <v>60</v>
      </c>
    </row>
    <row r="38">
      <c r="A38" s="4" t="str">
        <f>=HYPERLINK("#'Iq_Rstruc'!A1", "Iq_Rstruc")</f>
      </c>
      <c r="B38" t="s">
        <v>62</v>
      </c>
    </row>
    <row r="39">
      <c r="A39" s="4" t="str">
        <f>=HYPERLINK("#'Iq_Cult'!A1", "Iq_Cult")</f>
      </c>
      <c r="B39" t="s">
        <v>64</v>
      </c>
    </row>
    <row r="40">
      <c r="A40" s="4" t="str">
        <f>=HYPERLINK("#'Iq_RD'!A1", "Iq_RD")</f>
      </c>
      <c r="B40" t="s">
        <v>66</v>
      </c>
    </row>
    <row r="41">
      <c r="A41" s="4" t="str">
        <f>=HYPERLINK("#'Iq_OIPP'!A1", "Iq_OIPP")</f>
      </c>
      <c r="B41" t="s">
        <v>68</v>
      </c>
    </row>
    <row r="42">
      <c r="A42" s="4" t="str">
        <f>=HYPERLINK("#'Iq_GFCF'!A1", "Iq_GFCF")</f>
      </c>
      <c r="B42" t="s">
        <v>70</v>
      </c>
    </row>
    <row r="43">
      <c r="A43" s="2" t="s">
        <v>71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>
      <c r="A44" s="4" t="str">
        <f>=HYPERLINK("#'Ip_IT'!A1", "Ip_IT")</f>
      </c>
      <c r="B44" t="s">
        <v>73</v>
      </c>
    </row>
    <row r="45">
      <c r="A45" s="4" t="str">
        <f>=HYPERLINK("#'Ip_CT'!A1", "Ip_CT")</f>
      </c>
      <c r="B45" t="s">
        <v>75</v>
      </c>
    </row>
    <row r="46">
      <c r="A46" s="4" t="str">
        <f>=HYPERLINK("#'Ip_Soft_DB'!A1", "Ip_Soft_DB")</f>
      </c>
      <c r="B46" t="s">
        <v>77</v>
      </c>
    </row>
    <row r="47">
      <c r="A47" s="4" t="str">
        <f>=HYPERLINK("#'Ip_TraEq'!A1", "Ip_TraEq")</f>
      </c>
      <c r="B47" t="s">
        <v>79</v>
      </c>
    </row>
    <row r="48">
      <c r="A48" s="4" t="str">
        <f>=HYPERLINK("#'Ip_OMach'!A1", "Ip_OMach")</f>
      </c>
      <c r="B48" t="s">
        <v>81</v>
      </c>
    </row>
    <row r="49">
      <c r="A49" s="4" t="str">
        <f>=HYPERLINK("#'Ip_OCon'!A1", "Ip_OCon")</f>
      </c>
      <c r="B49" t="s">
        <v>83</v>
      </c>
    </row>
    <row r="50">
      <c r="A50" s="4" t="str">
        <f>=HYPERLINK("#'Ip_Rstruc'!A1", "Ip_Rstruc")</f>
      </c>
      <c r="B50" t="s">
        <v>85</v>
      </c>
    </row>
    <row r="51">
      <c r="A51" s="4" t="str">
        <f>=HYPERLINK("#'Ip_Cult'!A1", "Ip_Cult")</f>
      </c>
      <c r="B51" t="s">
        <v>87</v>
      </c>
    </row>
    <row r="52">
      <c r="A52" s="4" t="str">
        <f>=HYPERLINK("#'Ip_RD'!A1", "Ip_RD")</f>
      </c>
      <c r="B52" t="s">
        <v>89</v>
      </c>
    </row>
    <row r="53">
      <c r="A53" s="4" t="str">
        <f>=HYPERLINK("#'Ip_OIPP'!A1", "Ip_OIPP")</f>
      </c>
      <c r="B53" t="s">
        <v>91</v>
      </c>
    </row>
    <row r="54">
      <c r="A54" s="4" t="str">
        <f>=HYPERLINK("#'Ip_GFCF'!A1", "Ip_GFCF")</f>
      </c>
      <c r="B54" t="s">
        <v>93</v>
      </c>
    </row>
    <row r="55">
      <c r="A55" s="2" t="s">
        <v>94</v>
      </c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>
      <c r="A56" s="4" t="str">
        <f>=HYPERLINK("#'K_IT'!A1", "K_IT")</f>
      </c>
      <c r="B56" t="s">
        <v>96</v>
      </c>
    </row>
    <row r="57">
      <c r="A57" s="4" t="str">
        <f>=HYPERLINK("#'K_CT'!A1", "K_CT")</f>
      </c>
      <c r="B57" t="s">
        <v>98</v>
      </c>
    </row>
    <row r="58">
      <c r="A58" s="4" t="str">
        <f>=HYPERLINK("#'K_Soft_DB'!A1", "K_Soft_DB")</f>
      </c>
      <c r="B58" t="s">
        <v>100</v>
      </c>
    </row>
    <row r="59">
      <c r="A59" s="4" t="str">
        <f>=HYPERLINK("#'K_TraEq'!A1", "K_TraEq")</f>
      </c>
      <c r="B59" t="s">
        <v>102</v>
      </c>
    </row>
    <row r="60">
      <c r="A60" s="4" t="str">
        <f>=HYPERLINK("#'K_OMach'!A1", "K_OMach")</f>
      </c>
      <c r="B60" t="s">
        <v>104</v>
      </c>
    </row>
    <row r="61">
      <c r="A61" s="4" t="str">
        <f>=HYPERLINK("#'K_OCon'!A1", "K_OCon")</f>
      </c>
      <c r="B61" t="s">
        <v>106</v>
      </c>
    </row>
    <row r="62">
      <c r="A62" s="4" t="str">
        <f>=HYPERLINK("#'K_Rstruc'!A1", "K_Rstruc")</f>
      </c>
      <c r="B62" t="s">
        <v>108</v>
      </c>
    </row>
    <row r="63">
      <c r="A63" s="4" t="str">
        <f>=HYPERLINK("#'K_Cult'!A1", "K_Cult")</f>
      </c>
      <c r="B63" t="s">
        <v>110</v>
      </c>
    </row>
    <row r="64">
      <c r="A64" s="4" t="str">
        <f>=HYPERLINK("#'K_RD'!A1", "K_RD")</f>
      </c>
      <c r="B64" t="s">
        <v>112</v>
      </c>
    </row>
    <row r="65">
      <c r="A65" s="4" t="str">
        <f>=HYPERLINK("#'K_OIPP'!A1", "K_OIPP")</f>
      </c>
      <c r="B65" t="s">
        <v>114</v>
      </c>
    </row>
    <row r="66">
      <c r="A66" s="4" t="str">
        <f>=HYPERLINK("#'K_GFCF'!A1", "K_GFCF")</f>
      </c>
      <c r="B66" t="s">
        <v>116</v>
      </c>
    </row>
    <row r="67">
      <c r="A67" s="2" t="s">
        <v>117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>
      <c r="A68" s="4" t="str">
        <f>=HYPERLINK("#'Kpyp_IT'!A1", "Kpyp_IT")</f>
      </c>
      <c r="B68" t="s">
        <v>119</v>
      </c>
    </row>
    <row r="69">
      <c r="A69" s="4" t="str">
        <f>=HYPERLINK("#'Kpyp_CT'!A1", "Kpyp_CT")</f>
      </c>
      <c r="B69" t="s">
        <v>121</v>
      </c>
    </row>
    <row r="70">
      <c r="A70" s="4" t="str">
        <f>=HYPERLINK("#'Kpyp_Soft_DB'!A1", "Kpyp_Soft_DB")</f>
      </c>
      <c r="B70" t="s">
        <v>123</v>
      </c>
    </row>
    <row r="71">
      <c r="A71" s="4" t="str">
        <f>=HYPERLINK("#'Kpyp_TraEq'!A1", "Kpyp_TraEq")</f>
      </c>
      <c r="B71" t="s">
        <v>125</v>
      </c>
    </row>
    <row r="72">
      <c r="A72" s="4" t="str">
        <f>=HYPERLINK("#'Kpyp_OMach'!A1", "Kpyp_OMach")</f>
      </c>
      <c r="B72" t="s">
        <v>127</v>
      </c>
    </row>
    <row r="73">
      <c r="A73" s="4" t="str">
        <f>=HYPERLINK("#'Kpyp_OCon'!A1", "Kpyp_OCon")</f>
      </c>
      <c r="B73" t="s">
        <v>129</v>
      </c>
    </row>
    <row r="74">
      <c r="A74" s="4" t="str">
        <f>=HYPERLINK("#'Kpyp_Rstruc'!A1", "Kpyp_Rstruc")</f>
      </c>
      <c r="B74" t="s">
        <v>131</v>
      </c>
    </row>
    <row r="75">
      <c r="A75" s="4" t="str">
        <f>=HYPERLINK("#'Kpyp_Cult'!A1", "Kpyp_Cult")</f>
      </c>
      <c r="B75" t="s">
        <v>133</v>
      </c>
    </row>
    <row r="76">
      <c r="A76" s="4" t="str">
        <f>=HYPERLINK("#'Kpyp_RD'!A1", "Kpyp_RD")</f>
      </c>
      <c r="B76" t="s">
        <v>135</v>
      </c>
    </row>
    <row r="77">
      <c r="A77" s="4" t="str">
        <f>=HYPERLINK("#'Kpyp_OIPP'!A1", "Kpyp_OIPP")</f>
      </c>
      <c r="B77" t="s">
        <v>137</v>
      </c>
    </row>
    <row r="78">
      <c r="A78" s="4" t="str">
        <f>=HYPERLINK("#'Kpyp_GFCF'!A1", "Kpyp_GFCF")</f>
      </c>
      <c r="B78" t="s">
        <v>139</v>
      </c>
    </row>
    <row r="79">
      <c r="A79" s="2" t="s">
        <v>140</v>
      </c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>
      <c r="A80" s="4" t="str">
        <f>=HYPERLINK("#'Kq_IT'!A1", "Kq_IT")</f>
      </c>
      <c r="B80" t="s">
        <v>50</v>
      </c>
    </row>
    <row r="81">
      <c r="A81" s="4" t="str">
        <f>=HYPERLINK("#'Kq_CT'!A1", "Kq_CT")</f>
      </c>
      <c r="B81" t="s">
        <v>52</v>
      </c>
    </row>
    <row r="82">
      <c r="A82" s="4" t="str">
        <f>=HYPERLINK("#'Kq_Soft_DB'!A1", "Kq_Soft_DB")</f>
      </c>
      <c r="B82" t="s">
        <v>54</v>
      </c>
    </row>
    <row r="83">
      <c r="A83" s="4" t="str">
        <f>=HYPERLINK("#'Kq_TraEq'!A1", "Kq_TraEq")</f>
      </c>
      <c r="B83" t="s">
        <v>56</v>
      </c>
    </row>
    <row r="84">
      <c r="A84" s="4" t="str">
        <f>=HYPERLINK("#'Kq_OMach'!A1", "Kq_OMach")</f>
      </c>
      <c r="B84" t="s">
        <v>58</v>
      </c>
    </row>
    <row r="85">
      <c r="A85" s="4" t="str">
        <f>=HYPERLINK("#'Kq_OCon'!A1", "Kq_OCon")</f>
      </c>
      <c r="B85" t="s">
        <v>60</v>
      </c>
    </row>
    <row r="86">
      <c r="A86" s="4" t="str">
        <f>=HYPERLINK("#'Kq_Rstruc'!A1", "Kq_Rstruc")</f>
      </c>
      <c r="B86" t="s">
        <v>62</v>
      </c>
    </row>
    <row r="87">
      <c r="A87" s="4" t="str">
        <f>=HYPERLINK("#'Kq_Cult'!A1", "Kq_Cult")</f>
      </c>
      <c r="B87" t="s">
        <v>64</v>
      </c>
    </row>
    <row r="88">
      <c r="A88" s="4" t="str">
        <f>=HYPERLINK("#'Kq_RD'!A1", "Kq_RD")</f>
      </c>
      <c r="B88" t="s">
        <v>66</v>
      </c>
    </row>
    <row r="89">
      <c r="A89" s="4" t="str">
        <f>=HYPERLINK("#'Kq_OIPP'!A1", "Kq_OIPP")</f>
      </c>
      <c r="B89" t="s">
        <v>68</v>
      </c>
    </row>
    <row r="90">
      <c r="A90" s="4" t="str">
        <f>=HYPERLINK("#'Kq_GFCF'!A1", "Kq_GFCF")</f>
      </c>
      <c r="B90" t="s">
        <v>70</v>
      </c>
    </row>
    <row r="91">
      <c r="A91" t="s">
        <v>155</v>
      </c>
    </row>
    <row r="92">
      <c r="A92" t="s">
        <v>155</v>
      </c>
    </row>
    <row r="93">
      <c r="A93" s="1" t="s">
        <v>156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3" t="s">
        <v>157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 t="s">
        <v>158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 t="s">
        <v>155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1" t="s">
        <v>159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t="s">
        <v>155</v>
      </c>
    </row>
    <row r="99">
      <c r="A99" s="1" t="s">
        <v>160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3" t="s">
        <v>161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 t="s">
        <v>162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 t="s">
        <v>163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 t="s">
        <v>164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</v>
      </c>
      <c r="B2" t="s">
        <v>197</v>
      </c>
      <c r="C2" t="s">
        <v>246</v>
      </c>
      <c r="D2" t="s">
        <v>199</v>
      </c>
      <c r="E2" t="s">
        <v>247</v>
      </c>
      <c r="F2" t="n">
        <v>21.8</v>
      </c>
      <c r="G2" t="n">
        <v>22.6</v>
      </c>
      <c r="H2" t="n">
        <v>16.6</v>
      </c>
      <c r="I2" t="n">
        <v>30.1</v>
      </c>
      <c r="J2" t="n">
        <v>29.1</v>
      </c>
      <c r="K2" t="n">
        <v>34.3</v>
      </c>
      <c r="L2" t="n">
        <v>37.4</v>
      </c>
      <c r="M2" t="n">
        <v>34</v>
      </c>
      <c r="N2" t="n">
        <v>39.5</v>
      </c>
      <c r="O2" t="n">
        <v>39.6</v>
      </c>
      <c r="P2" t="n">
        <v>39.3</v>
      </c>
      <c r="Q2" t="n">
        <v>42.2</v>
      </c>
      <c r="R2" t="n">
        <v>40.8</v>
      </c>
      <c r="S2" t="n">
        <v>36.2</v>
      </c>
      <c r="T2" t="n">
        <v>48.7</v>
      </c>
      <c r="U2" t="n">
        <v>28.3</v>
      </c>
      <c r="V2" t="n">
        <v>36.4</v>
      </c>
      <c r="W2" t="n">
        <v>24</v>
      </c>
      <c r="X2" t="n">
        <v>22.1</v>
      </c>
      <c r="Y2" t="n">
        <v>21.1</v>
      </c>
      <c r="Z2" t="n">
        <v>25.8</v>
      </c>
      <c r="AA2" t="n">
        <v>28.7</v>
      </c>
      <c r="AB2" t="n">
        <v>29.4</v>
      </c>
      <c r="AC2" t="n">
        <v>28.2</v>
      </c>
      <c r="AD2" t="n">
        <v>33.5</v>
      </c>
      <c r="AE2" t="n">
        <v>29.5</v>
      </c>
      <c r="AF2" t="n">
        <v>35.7</v>
      </c>
    </row>
    <row r="3">
      <c r="A3" t="s">
        <v>3</v>
      </c>
      <c r="B3" t="s">
        <v>276</v>
      </c>
      <c r="C3" t="s">
        <v>246</v>
      </c>
      <c r="D3" t="s">
        <v>277</v>
      </c>
      <c r="E3" t="s">
        <v>247</v>
      </c>
      <c r="F3" t="n">
        <v>6.3</v>
      </c>
      <c r="G3" t="n">
        <v>18.4</v>
      </c>
      <c r="H3" t="n">
        <v>212.5</v>
      </c>
      <c r="I3" t="n">
        <v>5.5</v>
      </c>
      <c r="J3" t="n">
        <v>10.6</v>
      </c>
      <c r="K3" t="n">
        <v>41.1</v>
      </c>
      <c r="L3" t="n">
        <v>41</v>
      </c>
      <c r="M3" t="n">
        <v>26.3</v>
      </c>
      <c r="N3" t="n">
        <v>19.6</v>
      </c>
      <c r="O3" t="n">
        <v>30.8</v>
      </c>
      <c r="P3" t="n">
        <v>23.7</v>
      </c>
      <c r="Q3" t="n">
        <v>31.1</v>
      </c>
      <c r="R3" t="n">
        <v>27.4</v>
      </c>
      <c r="S3" t="n">
        <v>12.5</v>
      </c>
      <c r="T3" t="n">
        <v>17.3</v>
      </c>
      <c r="U3" t="n">
        <v>22.6</v>
      </c>
      <c r="V3" t="n">
        <v>25.2</v>
      </c>
      <c r="W3" t="n">
        <v>16.3</v>
      </c>
      <c r="X3" t="n">
        <v>7</v>
      </c>
      <c r="Y3" t="n">
        <v>90.9</v>
      </c>
      <c r="Z3" t="n">
        <v>9.5</v>
      </c>
      <c r="AA3" t="n">
        <v>6.4</v>
      </c>
      <c r="AB3" t="n">
        <v>13.1</v>
      </c>
      <c r="AC3" t="n">
        <v>11.8</v>
      </c>
      <c r="AD3" t="n">
        <v>50.7</v>
      </c>
      <c r="AE3" t="n">
        <v>34.4</v>
      </c>
      <c r="AF3" t="n">
        <v>23.6</v>
      </c>
    </row>
    <row r="4">
      <c r="A4" t="s">
        <v>3</v>
      </c>
      <c r="B4" t="s">
        <v>278</v>
      </c>
      <c r="C4" t="s">
        <v>246</v>
      </c>
      <c r="D4" t="s">
        <v>279</v>
      </c>
      <c r="E4" t="s">
        <v>247</v>
      </c>
      <c r="F4" t="n">
        <v>630.8</v>
      </c>
      <c r="G4" t="n">
        <v>635.4</v>
      </c>
      <c r="H4" t="n">
        <v>747.8</v>
      </c>
      <c r="I4" t="n">
        <v>844.6</v>
      </c>
      <c r="J4" t="n">
        <v>900.7</v>
      </c>
      <c r="K4" t="n">
        <v>1101.2</v>
      </c>
      <c r="L4" t="n">
        <v>1212.6</v>
      </c>
      <c r="M4" t="n">
        <v>1113.4</v>
      </c>
      <c r="N4" t="n">
        <v>864.1</v>
      </c>
      <c r="O4" t="n">
        <v>1063.6</v>
      </c>
      <c r="P4" t="n">
        <v>1061.4</v>
      </c>
      <c r="Q4" t="n">
        <v>1179.7</v>
      </c>
      <c r="R4" t="n">
        <v>1226</v>
      </c>
      <c r="S4" t="n">
        <v>1190.7</v>
      </c>
      <c r="T4" t="n">
        <v>906</v>
      </c>
      <c r="U4" t="n">
        <v>874.1</v>
      </c>
      <c r="V4" t="n">
        <v>974.7</v>
      </c>
      <c r="W4" t="n">
        <v>1025</v>
      </c>
      <c r="X4" t="n">
        <v>930.8</v>
      </c>
      <c r="Y4" t="n">
        <v>956.5</v>
      </c>
      <c r="Z4" t="n">
        <v>1136.8</v>
      </c>
      <c r="AA4" t="n">
        <v>1076.4</v>
      </c>
      <c r="AB4" t="n">
        <v>1406.6</v>
      </c>
      <c r="AC4" t="n">
        <v>1332.7</v>
      </c>
      <c r="AD4" t="n">
        <v>1320.7</v>
      </c>
      <c r="AE4" t="n">
        <v>1161.8</v>
      </c>
      <c r="AF4" t="n">
        <v>1182.8</v>
      </c>
    </row>
    <row r="5">
      <c r="A5" t="s">
        <v>3</v>
      </c>
      <c r="B5" t="s">
        <v>280</v>
      </c>
      <c r="C5" t="s">
        <v>246</v>
      </c>
      <c r="D5" t="s">
        <v>281</v>
      </c>
      <c r="E5" t="s">
        <v>247</v>
      </c>
      <c r="F5" t="n">
        <v>134.5</v>
      </c>
      <c r="G5" t="n">
        <v>69.4</v>
      </c>
      <c r="H5" t="n">
        <v>96.6</v>
      </c>
      <c r="I5" t="n">
        <v>127.5</v>
      </c>
      <c r="J5" t="n">
        <v>181.8</v>
      </c>
      <c r="K5" t="n">
        <v>164</v>
      </c>
      <c r="L5" t="n">
        <v>187.2</v>
      </c>
      <c r="M5" t="n">
        <v>178.4</v>
      </c>
      <c r="N5" t="n">
        <v>140.7</v>
      </c>
      <c r="O5" t="n">
        <v>173.8</v>
      </c>
      <c r="P5" t="n">
        <v>174.8</v>
      </c>
      <c r="Q5" t="n">
        <v>193.9</v>
      </c>
      <c r="R5" t="n">
        <v>195.8</v>
      </c>
      <c r="S5" t="n">
        <v>192.1</v>
      </c>
      <c r="T5" t="n">
        <v>153.4</v>
      </c>
      <c r="U5" t="n">
        <v>143.9</v>
      </c>
      <c r="V5" t="n">
        <v>160.5</v>
      </c>
      <c r="W5" t="n">
        <v>172.7</v>
      </c>
      <c r="X5" t="n">
        <v>112.4</v>
      </c>
      <c r="Y5" t="n">
        <v>114.1</v>
      </c>
      <c r="Z5" t="n">
        <v>164.9</v>
      </c>
      <c r="AA5" t="n">
        <v>157.8</v>
      </c>
      <c r="AB5" t="n">
        <v>219.3</v>
      </c>
      <c r="AC5" t="n">
        <v>130.1</v>
      </c>
      <c r="AD5" t="n">
        <v>191</v>
      </c>
      <c r="AE5" t="n">
        <v>160.4</v>
      </c>
      <c r="AF5" t="n">
        <v>154</v>
      </c>
    </row>
    <row r="6">
      <c r="A6" t="s">
        <v>3</v>
      </c>
      <c r="B6" t="s">
        <v>282</v>
      </c>
      <c r="C6" t="s">
        <v>246</v>
      </c>
      <c r="D6" t="s">
        <v>283</v>
      </c>
      <c r="E6" t="s">
        <v>247</v>
      </c>
      <c r="F6" t="n">
        <v>61.8</v>
      </c>
      <c r="G6" t="n">
        <v>65.3</v>
      </c>
      <c r="H6" t="n">
        <v>41.1</v>
      </c>
      <c r="I6" t="n">
        <v>91.5</v>
      </c>
      <c r="J6" t="n">
        <v>84.6</v>
      </c>
      <c r="K6" t="n">
        <v>108.7</v>
      </c>
      <c r="L6" t="n">
        <v>116.8</v>
      </c>
      <c r="M6" t="n">
        <v>99.6</v>
      </c>
      <c r="N6" t="n">
        <v>90.9</v>
      </c>
      <c r="O6" t="n">
        <v>99.6</v>
      </c>
      <c r="P6" t="n">
        <v>112.7</v>
      </c>
      <c r="Q6" t="n">
        <v>120.4</v>
      </c>
      <c r="R6" t="n">
        <v>114.7</v>
      </c>
      <c r="S6" t="n">
        <v>71.9</v>
      </c>
      <c r="T6" t="n">
        <v>98.1</v>
      </c>
      <c r="U6" t="n">
        <v>85.1</v>
      </c>
      <c r="V6" t="n">
        <v>94.9</v>
      </c>
      <c r="W6" t="n">
        <v>146.2</v>
      </c>
      <c r="X6" t="n">
        <v>102</v>
      </c>
      <c r="Y6" t="n">
        <v>99.5</v>
      </c>
      <c r="Z6" t="n">
        <v>130.8</v>
      </c>
      <c r="AA6" t="n">
        <v>123</v>
      </c>
      <c r="AB6" t="n">
        <v>114.2</v>
      </c>
      <c r="AC6" t="n">
        <v>162.5</v>
      </c>
      <c r="AD6" t="n">
        <v>159.3</v>
      </c>
      <c r="AE6" t="n">
        <v>121.8</v>
      </c>
      <c r="AF6" t="n">
        <v>134.3</v>
      </c>
    </row>
    <row r="7">
      <c r="A7" t="s">
        <v>3</v>
      </c>
      <c r="B7" t="s">
        <v>284</v>
      </c>
      <c r="C7" t="s">
        <v>246</v>
      </c>
      <c r="D7" t="s">
        <v>285</v>
      </c>
      <c r="E7" t="s">
        <v>247</v>
      </c>
      <c r="F7" t="n">
        <v>40.7</v>
      </c>
      <c r="G7" t="n">
        <v>25.3</v>
      </c>
      <c r="H7" t="n">
        <v>24.3</v>
      </c>
      <c r="I7" t="n">
        <v>33</v>
      </c>
      <c r="J7" t="n">
        <v>45.5</v>
      </c>
      <c r="K7" t="n">
        <v>54.5</v>
      </c>
      <c r="L7" t="n">
        <v>52.7</v>
      </c>
      <c r="M7" t="n">
        <v>52.1</v>
      </c>
      <c r="N7" t="n">
        <v>41.6</v>
      </c>
      <c r="O7" t="n">
        <v>51.8</v>
      </c>
      <c r="P7" t="n">
        <v>54.4</v>
      </c>
      <c r="Q7" t="n">
        <v>47.6</v>
      </c>
      <c r="R7" t="n">
        <v>59.7</v>
      </c>
      <c r="S7" t="n">
        <v>40.3</v>
      </c>
      <c r="T7" t="n">
        <v>39.5</v>
      </c>
      <c r="U7" t="n">
        <v>40.2</v>
      </c>
      <c r="V7" t="n">
        <v>44.9</v>
      </c>
      <c r="W7" t="n">
        <v>40.3</v>
      </c>
      <c r="X7" t="n">
        <v>34.6</v>
      </c>
      <c r="Y7" t="n">
        <v>37.8</v>
      </c>
      <c r="Z7" t="n">
        <v>43.7</v>
      </c>
      <c r="AA7" t="n">
        <v>57.5</v>
      </c>
      <c r="AB7" t="n">
        <v>54.9</v>
      </c>
      <c r="AC7" t="n">
        <v>57.4</v>
      </c>
      <c r="AD7" t="n">
        <v>72</v>
      </c>
      <c r="AE7" t="n">
        <v>65.4</v>
      </c>
      <c r="AF7" t="n">
        <v>56.2</v>
      </c>
    </row>
    <row r="8">
      <c r="A8" t="s">
        <v>3</v>
      </c>
      <c r="B8" t="s">
        <v>286</v>
      </c>
      <c r="C8" t="s">
        <v>246</v>
      </c>
      <c r="D8" t="s">
        <v>287</v>
      </c>
      <c r="E8" t="s">
        <v>247</v>
      </c>
      <c r="F8" t="n">
        <v>12.2</v>
      </c>
      <c r="G8" t="n">
        <v>27.1</v>
      </c>
      <c r="H8" t="n">
        <v>50.9</v>
      </c>
      <c r="I8" t="n">
        <v>14.9</v>
      </c>
      <c r="J8" t="n">
        <v>28.9</v>
      </c>
      <c r="K8" t="n">
        <v>84.1</v>
      </c>
      <c r="L8" t="n">
        <v>71.7</v>
      </c>
      <c r="M8" t="n">
        <v>56.7</v>
      </c>
      <c r="N8" t="n">
        <v>45.3</v>
      </c>
      <c r="O8" t="n">
        <v>49.4</v>
      </c>
      <c r="P8" t="n">
        <v>35.2</v>
      </c>
      <c r="Q8" t="n">
        <v>64.1</v>
      </c>
      <c r="R8" t="n">
        <v>65.5</v>
      </c>
      <c r="S8" t="n">
        <v>178.4</v>
      </c>
      <c r="T8" t="n">
        <v>33.2</v>
      </c>
      <c r="U8" t="n">
        <v>44.2</v>
      </c>
      <c r="V8" t="n">
        <v>49.3</v>
      </c>
      <c r="W8" t="n">
        <v>38.8</v>
      </c>
      <c r="X8" t="n">
        <v>92.6</v>
      </c>
      <c r="Y8" t="n">
        <v>93.4</v>
      </c>
      <c r="Z8" t="n">
        <v>40</v>
      </c>
      <c r="AA8" t="n">
        <v>24.5</v>
      </c>
      <c r="AB8" t="n">
        <v>41.4</v>
      </c>
      <c r="AC8" t="n">
        <v>22</v>
      </c>
      <c r="AD8" t="n">
        <v>19.4</v>
      </c>
      <c r="AE8" t="n">
        <v>34.7</v>
      </c>
      <c r="AF8" t="n">
        <v>20.3</v>
      </c>
    </row>
    <row r="9">
      <c r="A9" t="s">
        <v>3</v>
      </c>
      <c r="B9" t="s">
        <v>288</v>
      </c>
      <c r="C9" t="s">
        <v>246</v>
      </c>
      <c r="D9" t="s">
        <v>289</v>
      </c>
      <c r="E9" t="s">
        <v>247</v>
      </c>
      <c r="F9" t="n">
        <v>35.8</v>
      </c>
      <c r="G9" t="n">
        <v>20.6</v>
      </c>
      <c r="H9" t="n">
        <v>34.2</v>
      </c>
      <c r="I9" t="n">
        <v>36</v>
      </c>
      <c r="J9" t="n">
        <v>41.7</v>
      </c>
      <c r="K9" t="n">
        <v>52.3</v>
      </c>
      <c r="L9" t="n">
        <v>71.4</v>
      </c>
      <c r="M9" t="n">
        <v>56.5</v>
      </c>
      <c r="N9" t="n">
        <v>42.1</v>
      </c>
      <c r="O9" t="n">
        <v>60.4</v>
      </c>
      <c r="P9" t="n">
        <v>53.7</v>
      </c>
      <c r="Q9" t="n">
        <v>64.6</v>
      </c>
      <c r="R9" t="n">
        <v>62.2</v>
      </c>
      <c r="S9" t="n">
        <v>47</v>
      </c>
      <c r="T9" t="n">
        <v>29.3</v>
      </c>
      <c r="U9" t="n">
        <v>44.4</v>
      </c>
      <c r="V9" t="n">
        <v>49.5</v>
      </c>
      <c r="W9" t="n">
        <v>37.1</v>
      </c>
      <c r="X9" t="n">
        <v>40.6</v>
      </c>
      <c r="Y9" t="n">
        <v>60.9</v>
      </c>
      <c r="Z9" t="n">
        <v>44.6</v>
      </c>
      <c r="AA9" t="n">
        <v>46.2</v>
      </c>
      <c r="AB9" t="n">
        <v>58.2</v>
      </c>
      <c r="AC9" t="n">
        <v>43.8</v>
      </c>
      <c r="AD9" t="n">
        <v>49.6</v>
      </c>
      <c r="AE9" t="n">
        <v>41.6</v>
      </c>
      <c r="AF9" t="n">
        <v>43.2</v>
      </c>
    </row>
    <row r="10">
      <c r="A10" t="s">
        <v>3</v>
      </c>
      <c r="B10" t="s">
        <v>290</v>
      </c>
      <c r="C10" t="s">
        <v>246</v>
      </c>
      <c r="D10" t="s">
        <v>291</v>
      </c>
      <c r="E10" t="s">
        <v>247</v>
      </c>
      <c r="F10" t="n">
        <v>53.5</v>
      </c>
      <c r="G10" t="n">
        <v>33.7</v>
      </c>
      <c r="H10" t="n">
        <v>41.3</v>
      </c>
      <c r="I10" t="n">
        <v>56.5</v>
      </c>
      <c r="J10" t="n">
        <v>64.6</v>
      </c>
      <c r="K10" t="n">
        <v>73.6</v>
      </c>
      <c r="L10" t="n">
        <v>98.6</v>
      </c>
      <c r="M10" t="n">
        <v>84.1</v>
      </c>
      <c r="N10" t="n">
        <v>57.5</v>
      </c>
      <c r="O10" t="n">
        <v>90.3</v>
      </c>
      <c r="P10" t="n">
        <v>72.4</v>
      </c>
      <c r="Q10" t="n">
        <v>95.7</v>
      </c>
      <c r="R10" t="n">
        <v>89.3</v>
      </c>
      <c r="S10" t="n">
        <v>61.8</v>
      </c>
      <c r="T10" t="n">
        <v>41.3</v>
      </c>
      <c r="U10" t="n">
        <v>63.2</v>
      </c>
      <c r="V10" t="n">
        <v>70.4</v>
      </c>
      <c r="W10" t="n">
        <v>76.6</v>
      </c>
      <c r="X10" t="n">
        <v>79.4</v>
      </c>
      <c r="Y10" t="n">
        <v>97.8</v>
      </c>
      <c r="Z10" t="n">
        <v>89.4</v>
      </c>
      <c r="AA10" t="n">
        <v>100.8</v>
      </c>
      <c r="AB10" t="n">
        <v>98.5</v>
      </c>
      <c r="AC10" t="n">
        <v>83.9</v>
      </c>
      <c r="AD10" t="n">
        <v>95</v>
      </c>
      <c r="AE10" t="n">
        <v>87.3</v>
      </c>
      <c r="AF10" t="n">
        <v>81.4</v>
      </c>
    </row>
    <row r="11">
      <c r="A11" t="s">
        <v>3</v>
      </c>
      <c r="B11" t="s">
        <v>292</v>
      </c>
      <c r="C11" t="s">
        <v>246</v>
      </c>
      <c r="D11" t="s">
        <v>293</v>
      </c>
      <c r="E11" t="s">
        <v>247</v>
      </c>
      <c r="F11" t="n">
        <v>17.7</v>
      </c>
      <c r="G11" t="n">
        <v>13.1</v>
      </c>
      <c r="H11" t="n">
        <v>7.1</v>
      </c>
      <c r="I11" t="n">
        <v>20.5</v>
      </c>
      <c r="J11" t="n">
        <v>22.9</v>
      </c>
      <c r="K11" t="n">
        <v>21.3</v>
      </c>
      <c r="L11" t="n">
        <v>27.2</v>
      </c>
      <c r="M11" t="n">
        <v>27.6</v>
      </c>
      <c r="N11" t="n">
        <v>15.4</v>
      </c>
      <c r="O11" t="n">
        <v>29.9</v>
      </c>
      <c r="P11" t="n">
        <v>18.7</v>
      </c>
      <c r="Q11" t="n">
        <v>31.1</v>
      </c>
      <c r="R11" t="n">
        <v>27.1</v>
      </c>
      <c r="S11" t="n">
        <v>14.8</v>
      </c>
      <c r="T11" t="n">
        <v>12</v>
      </c>
      <c r="U11" t="n">
        <v>18.8</v>
      </c>
      <c r="V11" t="n">
        <v>20.9</v>
      </c>
      <c r="W11" t="n">
        <v>39.5</v>
      </c>
      <c r="X11" t="n">
        <v>38.8</v>
      </c>
      <c r="Y11" t="n">
        <v>36.9</v>
      </c>
      <c r="Z11" t="n">
        <v>44.8</v>
      </c>
      <c r="AA11" t="n">
        <v>54.6</v>
      </c>
      <c r="AB11" t="n">
        <v>40.3</v>
      </c>
      <c r="AC11" t="n">
        <v>40.1</v>
      </c>
      <c r="AD11" t="n">
        <v>45.4</v>
      </c>
      <c r="AE11" t="n">
        <v>45.7</v>
      </c>
      <c r="AF11" t="n">
        <v>38.2</v>
      </c>
    </row>
    <row r="12">
      <c r="A12" t="s">
        <v>3</v>
      </c>
      <c r="B12" t="s">
        <v>294</v>
      </c>
      <c r="C12" t="s">
        <v>246</v>
      </c>
      <c r="D12" t="s">
        <v>295</v>
      </c>
      <c r="E12" t="s">
        <v>247</v>
      </c>
      <c r="F12" t="n">
        <v>29.8</v>
      </c>
      <c r="G12" t="n">
        <v>120.2</v>
      </c>
      <c r="H12" t="n">
        <v>258.2</v>
      </c>
      <c r="I12" t="n">
        <v>38.6</v>
      </c>
      <c r="J12" t="n">
        <v>63.2</v>
      </c>
      <c r="K12" t="n">
        <v>71.7</v>
      </c>
      <c r="L12" t="n">
        <v>79.3</v>
      </c>
      <c r="M12" t="n">
        <v>80</v>
      </c>
      <c r="N12" t="n">
        <v>59.4</v>
      </c>
      <c r="O12" t="n">
        <v>82.3</v>
      </c>
      <c r="P12" t="n">
        <v>86.7</v>
      </c>
      <c r="Q12" t="n">
        <v>78.9</v>
      </c>
      <c r="R12" t="n">
        <v>86</v>
      </c>
      <c r="S12" t="n">
        <v>80.5</v>
      </c>
      <c r="T12" t="n">
        <v>52.5</v>
      </c>
      <c r="U12" t="n">
        <v>62.3</v>
      </c>
      <c r="V12" t="n">
        <v>69.4</v>
      </c>
      <c r="W12" t="n">
        <v>81.1</v>
      </c>
      <c r="X12" t="n">
        <v>58.1</v>
      </c>
      <c r="Y12" t="n">
        <v>71.4</v>
      </c>
      <c r="Z12" t="n">
        <v>63.6</v>
      </c>
      <c r="AA12" t="n">
        <v>65.2</v>
      </c>
      <c r="AB12" t="n">
        <v>79.4</v>
      </c>
      <c r="AC12" t="n">
        <v>62.4</v>
      </c>
      <c r="AD12" t="n">
        <v>96.1</v>
      </c>
      <c r="AE12" t="n">
        <v>72.4</v>
      </c>
      <c r="AF12" t="n">
        <v>84.3</v>
      </c>
    </row>
    <row r="13">
      <c r="A13" t="s">
        <v>3</v>
      </c>
      <c r="B13" t="s">
        <v>296</v>
      </c>
      <c r="C13" t="s">
        <v>246</v>
      </c>
      <c r="D13" t="s">
        <v>297</v>
      </c>
      <c r="E13" t="s">
        <v>247</v>
      </c>
      <c r="F13" t="n">
        <v>57.4</v>
      </c>
      <c r="G13" t="n">
        <v>58.2</v>
      </c>
      <c r="H13" t="n">
        <v>27.9</v>
      </c>
      <c r="I13" t="n">
        <v>112.2</v>
      </c>
      <c r="J13" t="n">
        <v>85.3</v>
      </c>
      <c r="K13" t="n">
        <v>99.5</v>
      </c>
      <c r="L13" t="n">
        <v>111.6</v>
      </c>
      <c r="M13" t="n">
        <v>103</v>
      </c>
      <c r="N13" t="n">
        <v>80.6</v>
      </c>
      <c r="O13" t="n">
        <v>104.2</v>
      </c>
      <c r="P13" t="n">
        <v>108.7</v>
      </c>
      <c r="Q13" t="n">
        <v>116.3</v>
      </c>
      <c r="R13" t="n">
        <v>105.3</v>
      </c>
      <c r="S13" t="n">
        <v>114.9</v>
      </c>
      <c r="T13" t="n">
        <v>63.5</v>
      </c>
      <c r="U13" t="n">
        <v>83.4</v>
      </c>
      <c r="V13" t="n">
        <v>93</v>
      </c>
      <c r="W13" t="n">
        <v>73.4</v>
      </c>
      <c r="X13" t="n">
        <v>90</v>
      </c>
      <c r="Y13" t="n">
        <v>90.6</v>
      </c>
      <c r="Z13" t="n">
        <v>128.9</v>
      </c>
      <c r="AA13" t="n">
        <v>120</v>
      </c>
      <c r="AB13" t="n">
        <v>222.7</v>
      </c>
      <c r="AC13" t="n">
        <v>166.6</v>
      </c>
      <c r="AD13" t="n">
        <v>183.6</v>
      </c>
      <c r="AE13" t="n">
        <v>137</v>
      </c>
      <c r="AF13" t="n">
        <v>115.4</v>
      </c>
    </row>
    <row r="14">
      <c r="A14" t="s">
        <v>3</v>
      </c>
      <c r="B14" t="s">
        <v>298</v>
      </c>
      <c r="C14" t="s">
        <v>246</v>
      </c>
      <c r="D14" t="s">
        <v>299</v>
      </c>
      <c r="E14" t="s">
        <v>247</v>
      </c>
      <c r="F14" t="n">
        <v>11.9</v>
      </c>
      <c r="G14" t="n">
        <v>27.7</v>
      </c>
      <c r="H14" t="n">
        <v>20.6</v>
      </c>
      <c r="I14" t="n">
        <v>45.9</v>
      </c>
      <c r="J14" t="n">
        <v>41.3</v>
      </c>
      <c r="K14" t="n">
        <v>37.2</v>
      </c>
      <c r="L14" t="n">
        <v>64.4</v>
      </c>
      <c r="M14" t="n">
        <v>46.8</v>
      </c>
      <c r="N14" t="n">
        <v>45.4</v>
      </c>
      <c r="O14" t="n">
        <v>48.9</v>
      </c>
      <c r="P14" t="n">
        <v>54.7</v>
      </c>
      <c r="Q14" t="n">
        <v>56.5</v>
      </c>
      <c r="R14" t="n">
        <v>54.8</v>
      </c>
      <c r="S14" t="n">
        <v>42.9</v>
      </c>
      <c r="T14" t="n">
        <v>37.8</v>
      </c>
      <c r="U14" t="n">
        <v>40.9</v>
      </c>
      <c r="V14" t="n">
        <v>45.6</v>
      </c>
      <c r="W14" t="n">
        <v>49.3</v>
      </c>
      <c r="X14" t="n">
        <v>56.3</v>
      </c>
      <c r="Y14" t="n">
        <v>33.9</v>
      </c>
      <c r="Z14" t="n">
        <v>50.8</v>
      </c>
      <c r="AA14" t="n">
        <v>26</v>
      </c>
      <c r="AB14" t="n">
        <v>61.4</v>
      </c>
      <c r="AC14" t="n">
        <v>48.7</v>
      </c>
      <c r="AD14" t="n">
        <v>42.3</v>
      </c>
      <c r="AE14" t="n">
        <v>70.7</v>
      </c>
      <c r="AF14" t="n">
        <v>46.8</v>
      </c>
    </row>
    <row r="15">
      <c r="A15" t="s">
        <v>3</v>
      </c>
      <c r="B15" t="s">
        <v>300</v>
      </c>
      <c r="C15" t="s">
        <v>246</v>
      </c>
      <c r="D15" t="s">
        <v>301</v>
      </c>
      <c r="E15" t="s">
        <v>247</v>
      </c>
      <c r="F15" t="n">
        <v>42.5</v>
      </c>
      <c r="G15" t="n">
        <v>48.3</v>
      </c>
      <c r="H15" t="n">
        <v>68.3</v>
      </c>
      <c r="I15" t="n">
        <v>65.5</v>
      </c>
      <c r="J15" t="n">
        <v>95.6</v>
      </c>
      <c r="K15" t="n">
        <v>84.9</v>
      </c>
      <c r="L15" t="n">
        <v>120.8</v>
      </c>
      <c r="M15" t="n">
        <v>91.4</v>
      </c>
      <c r="N15" t="n">
        <v>88.9</v>
      </c>
      <c r="O15" t="n">
        <v>92.8</v>
      </c>
      <c r="P15" t="n">
        <v>109.5</v>
      </c>
      <c r="Q15" t="n">
        <v>112.8</v>
      </c>
      <c r="R15" t="n">
        <v>105.7</v>
      </c>
      <c r="S15" t="n">
        <v>87.6</v>
      </c>
      <c r="T15" t="n">
        <v>91.6</v>
      </c>
      <c r="U15" t="n">
        <v>80</v>
      </c>
      <c r="V15" t="n">
        <v>89.2</v>
      </c>
      <c r="W15" t="n">
        <v>92.8</v>
      </c>
      <c r="X15" t="n">
        <v>98</v>
      </c>
      <c r="Y15" t="n">
        <v>81.8</v>
      </c>
      <c r="Z15" t="n">
        <v>108.3</v>
      </c>
      <c r="AA15" t="n">
        <v>82.7</v>
      </c>
      <c r="AB15" t="n">
        <v>130.9</v>
      </c>
      <c r="AC15" t="n">
        <v>135.7</v>
      </c>
      <c r="AD15" t="n">
        <v>110.4</v>
      </c>
      <c r="AE15" t="n">
        <v>145</v>
      </c>
      <c r="AF15" t="n">
        <v>107.5</v>
      </c>
    </row>
    <row r="16">
      <c r="A16" t="s">
        <v>3</v>
      </c>
      <c r="B16" t="s">
        <v>302</v>
      </c>
      <c r="C16" t="s">
        <v>246</v>
      </c>
      <c r="D16" t="s">
        <v>303</v>
      </c>
      <c r="E16" t="s">
        <v>247</v>
      </c>
      <c r="F16" t="n">
        <v>30.6</v>
      </c>
      <c r="G16" t="n">
        <v>20.6</v>
      </c>
      <c r="H16" t="n">
        <v>47.7</v>
      </c>
      <c r="I16" t="n">
        <v>19.6</v>
      </c>
      <c r="J16" t="n">
        <v>54.3</v>
      </c>
      <c r="K16" t="n">
        <v>47.7</v>
      </c>
      <c r="L16" t="n">
        <v>56.4</v>
      </c>
      <c r="M16" t="n">
        <v>44.6</v>
      </c>
      <c r="N16" t="n">
        <v>43.5</v>
      </c>
      <c r="O16" t="n">
        <v>43.9</v>
      </c>
      <c r="P16" t="n">
        <v>54.8</v>
      </c>
      <c r="Q16" t="n">
        <v>56.3</v>
      </c>
      <c r="R16" t="n">
        <v>50.9</v>
      </c>
      <c r="S16" t="n">
        <v>44.7</v>
      </c>
      <c r="T16" t="n">
        <v>53.8</v>
      </c>
      <c r="U16" t="n">
        <v>39.1</v>
      </c>
      <c r="V16" t="n">
        <v>43.6</v>
      </c>
      <c r="W16" t="n">
        <v>43.5</v>
      </c>
      <c r="X16" t="n">
        <v>41.7</v>
      </c>
      <c r="Y16" t="n">
        <v>47.9</v>
      </c>
      <c r="Z16" t="n">
        <v>57.5</v>
      </c>
      <c r="AA16" t="n">
        <v>56.7</v>
      </c>
      <c r="AB16" t="n">
        <v>69.5</v>
      </c>
      <c r="AC16" t="n">
        <v>87</v>
      </c>
      <c r="AD16" t="n">
        <v>68.1</v>
      </c>
      <c r="AE16" t="n">
        <v>74.3</v>
      </c>
      <c r="AF16" t="n">
        <v>60.7</v>
      </c>
    </row>
    <row r="17">
      <c r="A17" t="s">
        <v>3</v>
      </c>
      <c r="B17" t="s">
        <v>304</v>
      </c>
      <c r="C17" t="s">
        <v>246</v>
      </c>
      <c r="D17" t="s">
        <v>305</v>
      </c>
      <c r="E17" t="s">
        <v>247</v>
      </c>
      <c r="F17" t="n">
        <v>47.1</v>
      </c>
      <c r="G17" t="n">
        <v>33.6</v>
      </c>
      <c r="H17" t="n">
        <v>46.9</v>
      </c>
      <c r="I17" t="n">
        <v>74.6</v>
      </c>
      <c r="J17" t="n">
        <v>68.4</v>
      </c>
      <c r="K17" t="n">
        <v>102.3</v>
      </c>
      <c r="L17" t="n">
        <v>100.3</v>
      </c>
      <c r="M17" t="n">
        <v>98.1</v>
      </c>
      <c r="N17" t="n">
        <v>71</v>
      </c>
      <c r="O17" t="n">
        <v>91.2</v>
      </c>
      <c r="P17" t="n">
        <v>82.9</v>
      </c>
      <c r="Q17" t="n">
        <v>104.5</v>
      </c>
      <c r="R17" t="n">
        <v>100.6</v>
      </c>
      <c r="S17" t="n">
        <v>97.3</v>
      </c>
      <c r="T17" t="n">
        <v>54.4</v>
      </c>
      <c r="U17" t="n">
        <v>73.7</v>
      </c>
      <c r="V17" t="n">
        <v>82.2</v>
      </c>
      <c r="W17" t="n">
        <v>140.1</v>
      </c>
      <c r="X17" t="n">
        <v>86.6</v>
      </c>
      <c r="Y17" t="n">
        <v>85.4</v>
      </c>
      <c r="Z17" t="n">
        <v>113.3</v>
      </c>
      <c r="AA17" t="n">
        <v>102.7</v>
      </c>
      <c r="AB17" t="n">
        <v>176.7</v>
      </c>
      <c r="AC17" t="n">
        <v>263.6</v>
      </c>
      <c r="AD17" t="n">
        <v>154.2</v>
      </c>
      <c r="AE17" t="n">
        <v>127.8</v>
      </c>
      <c r="AF17" t="n">
        <v>137.3</v>
      </c>
    </row>
    <row r="18">
      <c r="A18" t="s">
        <v>3</v>
      </c>
      <c r="B18" t="s">
        <v>306</v>
      </c>
      <c r="C18" t="s">
        <v>246</v>
      </c>
      <c r="D18" t="s">
        <v>307</v>
      </c>
      <c r="E18" t="s">
        <v>247</v>
      </c>
      <c r="F18" t="n">
        <v>108.5</v>
      </c>
      <c r="G18" t="n">
        <v>116.2</v>
      </c>
      <c r="H18" t="n">
        <v>62.1</v>
      </c>
      <c r="I18" t="n">
        <v>168.3</v>
      </c>
      <c r="J18" t="n">
        <v>120.3</v>
      </c>
      <c r="K18" t="n">
        <v>186.3</v>
      </c>
      <c r="L18" t="n">
        <v>193.7</v>
      </c>
      <c r="M18" t="n">
        <v>195.2</v>
      </c>
      <c r="N18" t="n">
        <v>125.5</v>
      </c>
      <c r="O18" t="n">
        <v>153</v>
      </c>
      <c r="P18" t="n">
        <v>150.3</v>
      </c>
      <c r="Q18" t="n">
        <v>168.1</v>
      </c>
      <c r="R18" t="n">
        <v>220.7</v>
      </c>
      <c r="S18" t="n">
        <v>204.5</v>
      </c>
      <c r="T18" t="n">
        <v>227.3</v>
      </c>
      <c r="U18" t="n">
        <v>138.1</v>
      </c>
      <c r="V18" t="n">
        <v>154</v>
      </c>
      <c r="W18" t="n">
        <v>107.4</v>
      </c>
      <c r="X18" t="n">
        <v>115.9</v>
      </c>
      <c r="Y18" t="n">
        <v>125.6</v>
      </c>
      <c r="Z18" t="n">
        <v>177.3</v>
      </c>
      <c r="AA18" t="n">
        <v>158.8</v>
      </c>
      <c r="AB18" t="n">
        <v>147.3</v>
      </c>
      <c r="AC18" t="n">
        <v>152.1</v>
      </c>
      <c r="AD18" t="n">
        <v>132.9</v>
      </c>
      <c r="AE18" t="n">
        <v>125.4</v>
      </c>
      <c r="AF18" t="n">
        <v>159</v>
      </c>
    </row>
    <row r="19">
      <c r="A19" t="s">
        <v>3</v>
      </c>
      <c r="B19" t="s">
        <v>308</v>
      </c>
      <c r="C19" t="s">
        <v>246</v>
      </c>
      <c r="D19" t="s">
        <v>309</v>
      </c>
      <c r="E19" t="s">
        <v>247</v>
      </c>
      <c r="F19" t="n">
        <v>42.8</v>
      </c>
      <c r="G19" t="n">
        <v>38.1</v>
      </c>
      <c r="H19" t="n">
        <v>30.2</v>
      </c>
      <c r="I19" t="n">
        <v>62</v>
      </c>
      <c r="J19" t="n">
        <v>62.5</v>
      </c>
      <c r="K19" t="n">
        <v>71.6</v>
      </c>
      <c r="L19" t="n">
        <v>79.9</v>
      </c>
      <c r="M19" t="n">
        <v>74.8</v>
      </c>
      <c r="N19" t="n">
        <v>62.7</v>
      </c>
      <c r="O19" t="n">
        <v>75.2</v>
      </c>
      <c r="P19" t="n">
        <v>73.8</v>
      </c>
      <c r="Q19" t="n">
        <v>77.4</v>
      </c>
      <c r="R19" t="n">
        <v>82.7</v>
      </c>
      <c r="S19" t="n">
        <v>61.4</v>
      </c>
      <c r="T19" t="n">
        <v>51.2</v>
      </c>
      <c r="U19" t="n">
        <v>60</v>
      </c>
      <c r="V19" t="n">
        <v>66.9</v>
      </c>
      <c r="W19" t="n">
        <v>55.6</v>
      </c>
      <c r="X19" t="n">
        <v>61.2</v>
      </c>
      <c r="Y19" t="n">
        <v>59.1</v>
      </c>
      <c r="Z19" t="n">
        <v>76.6</v>
      </c>
      <c r="AA19" t="n">
        <v>83.4</v>
      </c>
      <c r="AB19" t="n">
        <v>121.3</v>
      </c>
      <c r="AC19" t="n">
        <v>96.4</v>
      </c>
      <c r="AD19" t="n">
        <v>106.8</v>
      </c>
      <c r="AE19" t="n">
        <v>84.6</v>
      </c>
      <c r="AF19" t="n">
        <v>133.1</v>
      </c>
    </row>
    <row r="20">
      <c r="A20" t="s">
        <v>3</v>
      </c>
      <c r="B20" t="s">
        <v>310</v>
      </c>
      <c r="C20" t="s">
        <v>246</v>
      </c>
      <c r="D20" t="s">
        <v>311</v>
      </c>
      <c r="E20" t="s">
        <v>247</v>
      </c>
      <c r="F20" t="n">
        <v>44.5</v>
      </c>
      <c r="G20" t="n">
        <v>18.6</v>
      </c>
      <c r="H20" t="n">
        <v>20</v>
      </c>
      <c r="I20" t="n">
        <v>17.4</v>
      </c>
      <c r="J20" t="n">
        <v>38.5</v>
      </c>
      <c r="K20" t="n">
        <v>28.1</v>
      </c>
      <c r="L20" t="n">
        <v>36.9</v>
      </c>
      <c r="M20" t="n">
        <v>36.2</v>
      </c>
      <c r="N20" t="n">
        <v>37.1</v>
      </c>
      <c r="O20" t="n">
        <v>38.5</v>
      </c>
      <c r="P20" t="n">
        <v>29.8</v>
      </c>
      <c r="Q20" t="n">
        <v>38.7</v>
      </c>
      <c r="R20" t="n">
        <v>34.8</v>
      </c>
      <c r="S20" t="n">
        <v>33.2</v>
      </c>
      <c r="T20" t="n">
        <v>20.2</v>
      </c>
      <c r="U20" t="n">
        <v>26.9</v>
      </c>
      <c r="V20" t="n">
        <v>29.9</v>
      </c>
      <c r="W20" t="n">
        <v>24.8</v>
      </c>
      <c r="X20" t="n">
        <v>36.3</v>
      </c>
      <c r="Y20" t="n">
        <v>23</v>
      </c>
      <c r="Z20" t="n">
        <v>21.9</v>
      </c>
      <c r="AA20" t="n">
        <v>36</v>
      </c>
      <c r="AB20" t="n">
        <v>68.1</v>
      </c>
      <c r="AC20" t="n">
        <v>73.5</v>
      </c>
      <c r="AD20" t="n">
        <v>51</v>
      </c>
      <c r="AE20" t="n">
        <v>77.5</v>
      </c>
      <c r="AF20" t="n">
        <v>79.1</v>
      </c>
    </row>
    <row r="21">
      <c r="A21" t="s">
        <v>3</v>
      </c>
      <c r="B21" t="s">
        <v>312</v>
      </c>
      <c r="C21" t="s">
        <v>246</v>
      </c>
      <c r="D21" t="s">
        <v>313</v>
      </c>
      <c r="E21" t="s">
        <v>247</v>
      </c>
      <c r="F21" t="n">
        <v>60.8</v>
      </c>
      <c r="G21" t="n">
        <v>32</v>
      </c>
      <c r="H21" t="n">
        <v>28.8</v>
      </c>
      <c r="I21" t="n">
        <v>41.3</v>
      </c>
      <c r="J21" t="n">
        <v>59.6</v>
      </c>
      <c r="K21" t="n">
        <v>52</v>
      </c>
      <c r="L21" t="n">
        <v>61.8</v>
      </c>
      <c r="M21" t="n">
        <v>58.4</v>
      </c>
      <c r="N21" t="n">
        <v>60</v>
      </c>
      <c r="O21" t="n">
        <v>69.2</v>
      </c>
      <c r="P21" t="n">
        <v>52.8</v>
      </c>
      <c r="Q21" t="n">
        <v>68.7</v>
      </c>
      <c r="R21" t="n">
        <v>62.1</v>
      </c>
      <c r="S21" t="n">
        <v>51.9</v>
      </c>
      <c r="T21" t="n">
        <v>39.4</v>
      </c>
      <c r="U21" t="n">
        <v>46.8</v>
      </c>
      <c r="V21" t="n">
        <v>51.7</v>
      </c>
      <c r="W21" t="n">
        <v>87.3</v>
      </c>
      <c r="X21" t="n">
        <v>78.9</v>
      </c>
      <c r="Y21" t="n">
        <v>93.4</v>
      </c>
      <c r="Z21" t="n">
        <v>95.1</v>
      </c>
      <c r="AA21" t="n">
        <v>96.4</v>
      </c>
      <c r="AB21" t="n">
        <v>148</v>
      </c>
      <c r="AC21" t="n">
        <v>155.3</v>
      </c>
      <c r="AD21" t="n">
        <v>133</v>
      </c>
      <c r="AE21" t="n">
        <v>165.3</v>
      </c>
      <c r="AF21" t="n">
        <v>150.6</v>
      </c>
    </row>
    <row r="22">
      <c r="A22" t="s">
        <v>3</v>
      </c>
      <c r="B22" t="s">
        <v>314</v>
      </c>
      <c r="C22" t="s">
        <v>246</v>
      </c>
      <c r="D22" t="s">
        <v>315</v>
      </c>
      <c r="E22" t="s">
        <v>247</v>
      </c>
      <c r="F22" t="n">
        <v>16.3</v>
      </c>
      <c r="G22" t="n">
        <v>13.4</v>
      </c>
      <c r="H22" t="n">
        <v>8.8</v>
      </c>
      <c r="I22" t="n">
        <v>23.9</v>
      </c>
      <c r="J22" t="n">
        <v>21.1</v>
      </c>
      <c r="K22" t="n">
        <v>23.9</v>
      </c>
      <c r="L22" t="n">
        <v>24.9</v>
      </c>
      <c r="M22" t="n">
        <v>22.2</v>
      </c>
      <c r="N22" t="n">
        <v>22.9</v>
      </c>
      <c r="O22" t="n">
        <v>30.7</v>
      </c>
      <c r="P22" t="n">
        <v>23</v>
      </c>
      <c r="Q22" t="n">
        <v>30</v>
      </c>
      <c r="R22" t="n">
        <v>27.3</v>
      </c>
      <c r="S22" t="n">
        <v>18.7</v>
      </c>
      <c r="T22" t="n">
        <v>19.2</v>
      </c>
      <c r="U22" t="n">
        <v>19.9</v>
      </c>
      <c r="V22" t="n">
        <v>21.8</v>
      </c>
      <c r="W22" t="n">
        <v>62.5</v>
      </c>
      <c r="X22" t="n">
        <v>42.6</v>
      </c>
      <c r="Y22" t="n">
        <v>70.4</v>
      </c>
      <c r="Z22" t="n">
        <v>73.2</v>
      </c>
      <c r="AA22" t="n">
        <v>60.4</v>
      </c>
      <c r="AB22" t="n">
        <v>79.9</v>
      </c>
      <c r="AC22" t="n">
        <v>81.8</v>
      </c>
      <c r="AD22" t="n">
        <v>82</v>
      </c>
      <c r="AE22" t="n">
        <v>87.8</v>
      </c>
      <c r="AF22" t="n">
        <v>71.5</v>
      </c>
    </row>
    <row r="23">
      <c r="A23" t="s">
        <v>3</v>
      </c>
      <c r="B23" t="s">
        <v>316</v>
      </c>
      <c r="C23" t="s">
        <v>246</v>
      </c>
      <c r="D23" t="s">
        <v>317</v>
      </c>
      <c r="E23" t="s">
        <v>247</v>
      </c>
      <c r="F23" t="n">
        <v>60.5</v>
      </c>
      <c r="G23" t="n">
        <v>45.8</v>
      </c>
      <c r="H23" t="n">
        <v>49.6</v>
      </c>
      <c r="I23" t="n">
        <v>90.7</v>
      </c>
      <c r="J23" t="n">
        <v>98.6</v>
      </c>
      <c r="K23" t="n">
        <v>108.7</v>
      </c>
      <c r="L23" t="n">
        <v>106.3</v>
      </c>
      <c r="M23" t="n">
        <v>116.3</v>
      </c>
      <c r="N23" t="n">
        <v>112.7</v>
      </c>
      <c r="O23" t="n">
        <v>108.5</v>
      </c>
      <c r="P23" t="n">
        <v>88.4</v>
      </c>
      <c r="Q23" t="n">
        <v>98.7</v>
      </c>
      <c r="R23" t="n">
        <v>139.3</v>
      </c>
      <c r="S23" t="n">
        <v>92.3</v>
      </c>
      <c r="T23" t="n">
        <v>76.5</v>
      </c>
      <c r="U23" t="n">
        <v>90.9</v>
      </c>
      <c r="V23" t="n">
        <v>101.1</v>
      </c>
      <c r="W23" t="n">
        <v>91</v>
      </c>
      <c r="X23" t="n">
        <v>135.2</v>
      </c>
      <c r="Y23" t="n">
        <v>294.6</v>
      </c>
      <c r="Z23" t="n">
        <v>148.6</v>
      </c>
      <c r="AA23" t="n">
        <v>140.9</v>
      </c>
      <c r="AB23" t="n">
        <v>214</v>
      </c>
      <c r="AC23" t="n">
        <v>189.2</v>
      </c>
      <c r="AD23" t="n">
        <v>173.1</v>
      </c>
      <c r="AE23" t="n">
        <v>137</v>
      </c>
      <c r="AF23" t="n">
        <v>202.7</v>
      </c>
    </row>
    <row r="24">
      <c r="A24" t="s">
        <v>3</v>
      </c>
      <c r="B24" t="s">
        <v>318</v>
      </c>
      <c r="C24" t="s">
        <v>246</v>
      </c>
      <c r="D24" t="s">
        <v>319</v>
      </c>
      <c r="E24" t="s">
        <v>247</v>
      </c>
      <c r="F24" t="n">
        <v>474</v>
      </c>
      <c r="G24" t="n">
        <v>344.7</v>
      </c>
      <c r="H24" t="n">
        <v>370.2</v>
      </c>
      <c r="I24" t="n">
        <v>531.1</v>
      </c>
      <c r="J24" t="n">
        <v>529</v>
      </c>
      <c r="K24" t="n">
        <v>788.7</v>
      </c>
      <c r="L24" t="n">
        <v>766.6</v>
      </c>
      <c r="M24" t="n">
        <v>713</v>
      </c>
      <c r="N24" t="n">
        <v>641.8</v>
      </c>
      <c r="O24" t="n">
        <v>719.5</v>
      </c>
      <c r="P24" t="n">
        <v>711.2</v>
      </c>
      <c r="Q24" t="n">
        <v>758.4</v>
      </c>
      <c r="R24" t="n">
        <v>830.6</v>
      </c>
      <c r="S24" t="n">
        <v>672.7</v>
      </c>
      <c r="T24" t="n">
        <v>493.1</v>
      </c>
      <c r="U24" t="n">
        <v>597.1</v>
      </c>
      <c r="V24" t="n">
        <v>666.2</v>
      </c>
      <c r="W24" t="n">
        <v>910</v>
      </c>
      <c r="X24" t="n">
        <v>599.9</v>
      </c>
      <c r="Y24" t="n">
        <v>709.2</v>
      </c>
      <c r="Z24" t="n">
        <v>687.5</v>
      </c>
      <c r="AA24" t="n">
        <v>642.4</v>
      </c>
      <c r="AB24" t="n">
        <v>897.1</v>
      </c>
      <c r="AC24" t="n">
        <v>848.7</v>
      </c>
      <c r="AD24" t="n">
        <v>840.1</v>
      </c>
      <c r="AE24" t="n">
        <v>694.2</v>
      </c>
      <c r="AF24" t="n">
        <v>857.9</v>
      </c>
    </row>
    <row r="25">
      <c r="A25" t="s">
        <v>3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</v>
      </c>
      <c r="B28" t="s">
        <v>326</v>
      </c>
      <c r="C28" t="s">
        <v>246</v>
      </c>
      <c r="D28" t="s">
        <v>327</v>
      </c>
      <c r="E28" t="s">
        <v>247</v>
      </c>
      <c r="F28" t="n">
        <v>139.4</v>
      </c>
      <c r="G28" t="n">
        <v>312.3</v>
      </c>
      <c r="H28" t="n">
        <v>297</v>
      </c>
      <c r="I28" t="n">
        <v>157.1</v>
      </c>
      <c r="J28" t="n">
        <v>278.8</v>
      </c>
      <c r="K28" t="n">
        <v>295.5</v>
      </c>
      <c r="L28" t="n">
        <v>323.3</v>
      </c>
      <c r="M28" t="n">
        <v>423.3</v>
      </c>
      <c r="N28" t="n">
        <v>401.8</v>
      </c>
      <c r="O28" t="n">
        <v>324.8</v>
      </c>
      <c r="P28" t="n">
        <v>307.6</v>
      </c>
      <c r="Q28" t="n">
        <v>394.6</v>
      </c>
      <c r="R28" t="n">
        <v>376.2</v>
      </c>
      <c r="S28" t="n">
        <v>340.8</v>
      </c>
      <c r="T28" t="n">
        <v>279.9</v>
      </c>
      <c r="U28" t="n">
        <v>300.3</v>
      </c>
      <c r="V28" t="n">
        <v>328.5</v>
      </c>
      <c r="W28" t="n">
        <v>391.2</v>
      </c>
      <c r="X28" t="n">
        <v>333.3</v>
      </c>
      <c r="Y28" t="n">
        <v>281</v>
      </c>
      <c r="Z28" t="n">
        <v>438.4</v>
      </c>
      <c r="AA28" t="n">
        <v>335.8</v>
      </c>
      <c r="AB28" t="n">
        <v>289.1</v>
      </c>
      <c r="AC28" t="n">
        <v>239</v>
      </c>
      <c r="AD28" t="n">
        <v>398</v>
      </c>
      <c r="AE28" t="n">
        <v>404.2</v>
      </c>
      <c r="AF28" t="n">
        <v>671.1</v>
      </c>
    </row>
    <row r="29">
      <c r="A29" t="s">
        <v>3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</v>
      </c>
      <c r="B34" t="s">
        <v>338</v>
      </c>
      <c r="C34" t="s">
        <v>246</v>
      </c>
      <c r="D34" t="s">
        <v>339</v>
      </c>
      <c r="E34" t="s">
        <v>247</v>
      </c>
      <c r="F34" t="n">
        <v>205.5</v>
      </c>
      <c r="G34" t="n">
        <v>135.1</v>
      </c>
      <c r="H34" t="n">
        <v>198.4</v>
      </c>
      <c r="I34" t="n">
        <v>322.2</v>
      </c>
      <c r="J34" t="n">
        <v>247.1</v>
      </c>
      <c r="K34" t="n">
        <v>339.6</v>
      </c>
      <c r="L34" t="n">
        <v>299.4</v>
      </c>
      <c r="M34" t="n">
        <v>423.1</v>
      </c>
      <c r="N34" t="n">
        <v>299.6</v>
      </c>
      <c r="O34" t="n">
        <v>397.4</v>
      </c>
      <c r="P34" t="n">
        <v>384.1</v>
      </c>
      <c r="Q34" t="n">
        <v>413.1</v>
      </c>
      <c r="R34" t="n">
        <v>392.5</v>
      </c>
      <c r="S34" t="n">
        <v>249.9</v>
      </c>
      <c r="T34" t="n">
        <v>245.1</v>
      </c>
      <c r="U34" t="n">
        <v>303.6</v>
      </c>
      <c r="V34" t="n">
        <v>338.1</v>
      </c>
      <c r="W34" t="n">
        <v>195.7</v>
      </c>
      <c r="X34" t="n">
        <v>275.3</v>
      </c>
      <c r="Y34" t="n">
        <v>215.2</v>
      </c>
      <c r="Z34" t="n">
        <v>304.7</v>
      </c>
      <c r="AA34" t="n">
        <v>425.8</v>
      </c>
      <c r="AB34" t="n">
        <v>390.3</v>
      </c>
      <c r="AC34" t="n">
        <v>549.3</v>
      </c>
      <c r="AD34" t="n">
        <v>327.4</v>
      </c>
      <c r="AE34" t="n">
        <v>257.7</v>
      </c>
      <c r="AF34" t="n">
        <v>394.6</v>
      </c>
    </row>
    <row r="35">
      <c r="A35" t="s">
        <v>3</v>
      </c>
      <c r="B35" t="s">
        <v>340</v>
      </c>
      <c r="C35" t="s">
        <v>246</v>
      </c>
      <c r="D35" t="s">
        <v>341</v>
      </c>
      <c r="E35" t="s">
        <v>247</v>
      </c>
      <c r="F35" t="n">
        <v>452.4</v>
      </c>
      <c r="G35" t="n">
        <v>817.9</v>
      </c>
      <c r="H35" t="n">
        <v>871.3</v>
      </c>
      <c r="I35" t="n">
        <v>575.1</v>
      </c>
      <c r="J35" t="n">
        <v>841.7</v>
      </c>
      <c r="K35" t="n">
        <v>1515.8</v>
      </c>
      <c r="L35" t="n">
        <v>849.3</v>
      </c>
      <c r="M35" t="n">
        <v>1005.5</v>
      </c>
      <c r="N35" t="n">
        <v>943.8</v>
      </c>
      <c r="O35" t="n">
        <v>1269.2</v>
      </c>
      <c r="P35" t="n">
        <v>1544.3</v>
      </c>
      <c r="Q35" t="n">
        <v>1173.3</v>
      </c>
      <c r="R35" t="n">
        <v>1408.1</v>
      </c>
      <c r="S35" t="n">
        <v>940.4</v>
      </c>
      <c r="T35" t="n">
        <v>1013.6</v>
      </c>
      <c r="U35" t="n">
        <v>912.6</v>
      </c>
      <c r="V35" t="n">
        <v>1004.7</v>
      </c>
      <c r="W35" t="n">
        <v>751.4</v>
      </c>
      <c r="X35" t="n">
        <v>744.5</v>
      </c>
      <c r="Y35" t="n">
        <v>804</v>
      </c>
      <c r="Z35" t="n">
        <v>726.1</v>
      </c>
      <c r="AA35" t="n">
        <v>810</v>
      </c>
      <c r="AB35" t="n">
        <v>801.4</v>
      </c>
      <c r="AC35" t="n">
        <v>794.9</v>
      </c>
      <c r="AD35" t="n">
        <v>754.1</v>
      </c>
      <c r="AE35" t="n">
        <v>743.4</v>
      </c>
      <c r="AF35" t="n">
        <v>944.9</v>
      </c>
    </row>
    <row r="36">
      <c r="A36" t="s">
        <v>3</v>
      </c>
      <c r="B36" t="s">
        <v>342</v>
      </c>
      <c r="C36" t="s">
        <v>246</v>
      </c>
      <c r="D36" t="s">
        <v>343</v>
      </c>
      <c r="E36" t="s">
        <v>247</v>
      </c>
      <c r="F36" t="n">
        <v>13.8</v>
      </c>
      <c r="G36" t="n">
        <v>20</v>
      </c>
      <c r="H36" t="n">
        <v>12.6</v>
      </c>
      <c r="I36" t="n">
        <v>43.8</v>
      </c>
      <c r="J36" t="n">
        <v>25.6</v>
      </c>
      <c r="K36" t="n">
        <v>40.4</v>
      </c>
      <c r="L36" t="n">
        <v>39.4</v>
      </c>
      <c r="M36" t="n">
        <v>41.1</v>
      </c>
      <c r="N36" t="n">
        <v>34.5</v>
      </c>
      <c r="O36" t="n">
        <v>38.1</v>
      </c>
      <c r="P36" t="n">
        <v>41.7</v>
      </c>
      <c r="Q36" t="n">
        <v>36.8</v>
      </c>
      <c r="R36" t="n">
        <v>46</v>
      </c>
      <c r="S36" t="n">
        <v>48.5</v>
      </c>
      <c r="T36" t="n">
        <v>22.2</v>
      </c>
      <c r="U36" t="n">
        <v>31.5</v>
      </c>
      <c r="V36" t="n">
        <v>35.1</v>
      </c>
      <c r="W36" t="n">
        <v>40.3</v>
      </c>
      <c r="X36" t="n">
        <v>40</v>
      </c>
      <c r="Y36" t="n">
        <v>30.4</v>
      </c>
      <c r="Z36" t="n">
        <v>35.9</v>
      </c>
      <c r="AA36" t="n">
        <v>24.5</v>
      </c>
      <c r="AB36" t="n">
        <v>39.5</v>
      </c>
      <c r="AC36" t="n">
        <v>46.6</v>
      </c>
      <c r="AD36" t="n">
        <v>43.4</v>
      </c>
      <c r="AE36" t="n">
        <v>43.8</v>
      </c>
      <c r="AF36" t="n">
        <v>50.2</v>
      </c>
    </row>
    <row r="37">
      <c r="A37" t="s">
        <v>3</v>
      </c>
      <c r="B37" t="s">
        <v>344</v>
      </c>
      <c r="C37" t="s">
        <v>246</v>
      </c>
      <c r="D37" t="s">
        <v>345</v>
      </c>
      <c r="E37" t="s">
        <v>247</v>
      </c>
      <c r="F37" t="n">
        <v>301.3</v>
      </c>
      <c r="G37" t="n">
        <v>690.2</v>
      </c>
      <c r="H37" t="n">
        <v>715.1</v>
      </c>
      <c r="I37" t="n">
        <v>328</v>
      </c>
      <c r="J37" t="n">
        <v>602.8</v>
      </c>
      <c r="K37" t="n">
        <v>1227.5</v>
      </c>
      <c r="L37" t="n">
        <v>631.9</v>
      </c>
      <c r="M37" t="n">
        <v>709.2</v>
      </c>
      <c r="N37" t="n">
        <v>609.9</v>
      </c>
      <c r="O37" t="n">
        <v>921.5</v>
      </c>
      <c r="P37" t="n">
        <v>1262</v>
      </c>
      <c r="Q37" t="n">
        <v>862.6</v>
      </c>
      <c r="R37" t="n">
        <v>1042.3</v>
      </c>
      <c r="S37" t="n">
        <v>629.3</v>
      </c>
      <c r="T37" t="n">
        <v>709.6</v>
      </c>
      <c r="U37" t="n">
        <v>649.2</v>
      </c>
      <c r="V37" t="n">
        <v>723.8</v>
      </c>
      <c r="W37" t="n">
        <v>451.9</v>
      </c>
      <c r="X37" t="n">
        <v>479.3</v>
      </c>
      <c r="Y37" t="n">
        <v>513.1</v>
      </c>
      <c r="Z37" t="n">
        <v>298.4</v>
      </c>
      <c r="AA37" t="n">
        <v>495.1</v>
      </c>
      <c r="AB37" t="n">
        <v>400.3</v>
      </c>
      <c r="AC37" t="n">
        <v>523.6</v>
      </c>
      <c r="AD37" t="n">
        <v>446.2</v>
      </c>
      <c r="AE37" t="n">
        <v>343.4</v>
      </c>
      <c r="AF37" t="n">
        <v>664.9</v>
      </c>
    </row>
    <row r="38">
      <c r="A38" t="s">
        <v>3</v>
      </c>
      <c r="B38" t="s">
        <v>346</v>
      </c>
      <c r="C38" t="s">
        <v>246</v>
      </c>
      <c r="D38" t="s">
        <v>347</v>
      </c>
      <c r="E38" t="s">
        <v>247</v>
      </c>
      <c r="F38" t="n">
        <v>137.3</v>
      </c>
      <c r="G38" t="n">
        <v>107.7</v>
      </c>
      <c r="H38" t="n">
        <v>143.6</v>
      </c>
      <c r="I38" t="n">
        <v>203.3</v>
      </c>
      <c r="J38" t="n">
        <v>213.3</v>
      </c>
      <c r="K38" t="n">
        <v>247.9</v>
      </c>
      <c r="L38" t="n">
        <v>178</v>
      </c>
      <c r="M38" t="n">
        <v>255.2</v>
      </c>
      <c r="N38" t="n">
        <v>299.4</v>
      </c>
      <c r="O38" t="n">
        <v>309.6</v>
      </c>
      <c r="P38" t="n">
        <v>240.6</v>
      </c>
      <c r="Q38" t="n">
        <v>273.9</v>
      </c>
      <c r="R38" t="n">
        <v>319.8</v>
      </c>
      <c r="S38" t="n">
        <v>262.6</v>
      </c>
      <c r="T38" t="n">
        <v>281.8</v>
      </c>
      <c r="U38" t="n">
        <v>231.9</v>
      </c>
      <c r="V38" t="n">
        <v>245.8</v>
      </c>
      <c r="W38" t="n">
        <v>259.2</v>
      </c>
      <c r="X38" t="n">
        <v>225.2</v>
      </c>
      <c r="Y38" t="n">
        <v>260.5</v>
      </c>
      <c r="Z38" t="n">
        <v>391.8</v>
      </c>
      <c r="AA38" t="n">
        <v>290.4</v>
      </c>
      <c r="AB38" t="n">
        <v>361.6</v>
      </c>
      <c r="AC38" t="n">
        <v>224.7</v>
      </c>
      <c r="AD38" t="n">
        <v>264.5</v>
      </c>
      <c r="AE38" t="n">
        <v>356.2</v>
      </c>
      <c r="AF38" t="n">
        <v>229.8</v>
      </c>
    </row>
    <row r="39">
      <c r="A39" t="s">
        <v>3</v>
      </c>
      <c r="B39" t="s">
        <v>348</v>
      </c>
      <c r="C39" t="s">
        <v>246</v>
      </c>
      <c r="D39" t="s">
        <v>349</v>
      </c>
      <c r="E39" t="s">
        <v>247</v>
      </c>
      <c r="F39" t="n">
        <v>417.7</v>
      </c>
      <c r="G39" t="n">
        <v>422.5</v>
      </c>
      <c r="H39" t="n">
        <v>334.1</v>
      </c>
      <c r="I39" t="n">
        <v>731</v>
      </c>
      <c r="J39" t="n">
        <v>690.7</v>
      </c>
      <c r="K39" t="n">
        <v>685.5</v>
      </c>
      <c r="L39" t="n">
        <v>754.1</v>
      </c>
      <c r="M39" t="n">
        <v>766.4</v>
      </c>
      <c r="N39" t="n">
        <v>789.7</v>
      </c>
      <c r="O39" t="n">
        <v>904.8</v>
      </c>
      <c r="P39" t="n">
        <v>802.5</v>
      </c>
      <c r="Q39" t="n">
        <v>798.1</v>
      </c>
      <c r="R39" t="n">
        <v>734.5</v>
      </c>
      <c r="S39" t="n">
        <v>1160.7</v>
      </c>
      <c r="T39" t="n">
        <v>408.4</v>
      </c>
      <c r="U39" t="n">
        <v>1117.1</v>
      </c>
      <c r="V39" t="n">
        <v>676</v>
      </c>
      <c r="W39" t="n">
        <v>504.7</v>
      </c>
      <c r="X39" t="n">
        <v>588.6</v>
      </c>
      <c r="Y39" t="n">
        <v>439</v>
      </c>
      <c r="Z39" t="n">
        <v>574.1</v>
      </c>
      <c r="AA39" t="n">
        <v>635.1</v>
      </c>
      <c r="AB39" t="n">
        <v>542.3</v>
      </c>
      <c r="AC39" t="n">
        <v>400.3</v>
      </c>
      <c r="AD39" t="n">
        <v>509.6</v>
      </c>
      <c r="AE39" t="n">
        <v>540.3</v>
      </c>
      <c r="AF39" t="n">
        <v>573</v>
      </c>
    </row>
    <row r="40">
      <c r="A40" t="s">
        <v>3</v>
      </c>
      <c r="B40" t="s">
        <v>350</v>
      </c>
      <c r="C40" t="s">
        <v>246</v>
      </c>
      <c r="D40" t="s">
        <v>351</v>
      </c>
      <c r="E40" t="s">
        <v>247</v>
      </c>
      <c r="F40" t="n">
        <v>4.4</v>
      </c>
      <c r="G40" t="n">
        <v>4</v>
      </c>
      <c r="H40" t="n">
        <v>4.5</v>
      </c>
      <c r="I40" t="n">
        <v>6.9</v>
      </c>
      <c r="J40" t="n">
        <v>7.6</v>
      </c>
      <c r="K40" t="n">
        <v>10.1</v>
      </c>
      <c r="L40" t="n">
        <v>7.8</v>
      </c>
      <c r="M40" t="n">
        <v>9.1</v>
      </c>
      <c r="N40" t="n">
        <v>7.1</v>
      </c>
      <c r="O40" t="n">
        <v>10.6</v>
      </c>
      <c r="P40" t="n">
        <v>10.7</v>
      </c>
      <c r="Q40" t="n">
        <v>7.8</v>
      </c>
      <c r="R40" t="n">
        <v>8</v>
      </c>
      <c r="S40" t="n">
        <v>7</v>
      </c>
      <c r="T40" t="n">
        <v>5.3</v>
      </c>
      <c r="U40" t="n">
        <v>9.9</v>
      </c>
      <c r="V40" t="n">
        <v>7.7</v>
      </c>
      <c r="W40" t="n">
        <v>20</v>
      </c>
      <c r="X40" t="n">
        <v>10.3</v>
      </c>
      <c r="Y40" t="n">
        <v>9.3</v>
      </c>
      <c r="Z40" t="n">
        <v>8.5</v>
      </c>
      <c r="AA40" t="n">
        <v>16.3</v>
      </c>
      <c r="AB40" t="n">
        <v>13.1</v>
      </c>
      <c r="AC40" t="n">
        <v>7.9</v>
      </c>
      <c r="AD40" t="n">
        <v>36.8</v>
      </c>
      <c r="AE40" t="n">
        <v>26.2</v>
      </c>
      <c r="AF40" t="n">
        <v>24.2</v>
      </c>
    </row>
    <row r="41">
      <c r="A41" t="s">
        <v>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3</v>
      </c>
      <c r="B42" t="s">
        <v>354</v>
      </c>
      <c r="C42" t="s">
        <v>246</v>
      </c>
      <c r="D42" t="s">
        <v>355</v>
      </c>
      <c r="E42" t="s">
        <v>247</v>
      </c>
      <c r="F42" t="n">
        <v>281.1</v>
      </c>
      <c r="G42" t="n">
        <v>243.1</v>
      </c>
      <c r="H42" t="n">
        <v>293.8</v>
      </c>
      <c r="I42" t="n">
        <v>412.8</v>
      </c>
      <c r="J42" t="n">
        <v>425.1</v>
      </c>
      <c r="K42" t="n">
        <v>536.5</v>
      </c>
      <c r="L42" t="n">
        <v>562.7</v>
      </c>
      <c r="M42" t="n">
        <v>544.2</v>
      </c>
      <c r="N42" t="n">
        <v>483.4</v>
      </c>
      <c r="O42" t="n">
        <v>470.8</v>
      </c>
      <c r="P42" t="n">
        <v>515.2</v>
      </c>
      <c r="Q42" t="n">
        <v>583.2</v>
      </c>
      <c r="R42" t="n">
        <v>549.6</v>
      </c>
      <c r="S42" t="n">
        <v>505.2</v>
      </c>
      <c r="T42" t="n">
        <v>420.6</v>
      </c>
      <c r="U42" t="n">
        <v>437.9</v>
      </c>
      <c r="V42" t="n">
        <v>459.1</v>
      </c>
      <c r="W42" t="n">
        <v>357.4</v>
      </c>
      <c r="X42" t="n">
        <v>476.2</v>
      </c>
      <c r="Y42" t="n">
        <v>447.1</v>
      </c>
      <c r="Z42" t="n">
        <v>445.5</v>
      </c>
      <c r="AA42" t="n">
        <v>590.7</v>
      </c>
      <c r="AB42" t="n">
        <v>452.2</v>
      </c>
      <c r="AC42" t="n">
        <v>329.8</v>
      </c>
      <c r="AD42" t="n">
        <v>399.5</v>
      </c>
      <c r="AE42" t="n">
        <v>398.4</v>
      </c>
      <c r="AF42" t="n">
        <v>438.1</v>
      </c>
    </row>
    <row r="43">
      <c r="A43" t="s">
        <v>3</v>
      </c>
      <c r="B43" t="s">
        <v>356</v>
      </c>
      <c r="C43" t="s">
        <v>246</v>
      </c>
      <c r="D43" t="s">
        <v>357</v>
      </c>
      <c r="E43" t="s">
        <v>247</v>
      </c>
      <c r="F43" t="n">
        <v>343.2</v>
      </c>
      <c r="G43" t="n">
        <v>297.5</v>
      </c>
      <c r="H43" t="n">
        <v>360.4</v>
      </c>
      <c r="I43" t="n">
        <v>505.7</v>
      </c>
      <c r="J43" t="n">
        <v>525</v>
      </c>
      <c r="K43" t="n">
        <v>664.4</v>
      </c>
      <c r="L43" t="n">
        <v>685.6</v>
      </c>
      <c r="M43" t="n">
        <v>677.5</v>
      </c>
      <c r="N43" t="n">
        <v>590.7</v>
      </c>
      <c r="O43" t="n">
        <v>572.6</v>
      </c>
      <c r="P43" t="n">
        <v>626.2</v>
      </c>
      <c r="Q43" t="n">
        <v>716.4</v>
      </c>
      <c r="R43" t="n">
        <v>685.1</v>
      </c>
      <c r="S43" t="n">
        <v>640.4</v>
      </c>
      <c r="T43" t="n">
        <v>512.2</v>
      </c>
      <c r="U43" t="n">
        <v>540</v>
      </c>
      <c r="V43" t="n">
        <v>569.9</v>
      </c>
      <c r="W43" t="n">
        <v>507.7</v>
      </c>
      <c r="X43" t="n">
        <v>598.5</v>
      </c>
      <c r="Y43" t="n">
        <v>594.1</v>
      </c>
      <c r="Z43" t="n">
        <v>620.4</v>
      </c>
      <c r="AA43" t="n">
        <v>772</v>
      </c>
      <c r="AB43" t="n">
        <v>588.6</v>
      </c>
      <c r="AC43" t="n">
        <v>467.5</v>
      </c>
      <c r="AD43" t="n">
        <v>582.9</v>
      </c>
      <c r="AE43" t="n">
        <v>552.8</v>
      </c>
      <c r="AF43" t="n">
        <v>556.1</v>
      </c>
    </row>
    <row r="44">
      <c r="A44" t="s">
        <v>3</v>
      </c>
      <c r="B44" t="s">
        <v>358</v>
      </c>
      <c r="C44" t="s">
        <v>246</v>
      </c>
      <c r="D44" t="s">
        <v>359</v>
      </c>
      <c r="E44" t="s">
        <v>247</v>
      </c>
      <c r="F44" t="n">
        <v>2848.6</v>
      </c>
      <c r="G44" t="n">
        <v>3158.3</v>
      </c>
      <c r="H44" t="n">
        <v>3524.6</v>
      </c>
      <c r="I44" t="n">
        <v>4013.4</v>
      </c>
      <c r="J44" t="n">
        <v>4303.4</v>
      </c>
      <c r="K44" t="n">
        <v>5745.3</v>
      </c>
      <c r="L44" t="n">
        <v>5278.3</v>
      </c>
      <c r="M44" t="n">
        <v>5470.4</v>
      </c>
      <c r="N44" t="n">
        <v>4883.6</v>
      </c>
      <c r="O44" t="n">
        <v>5607.3</v>
      </c>
      <c r="P44" t="n">
        <v>5771.6</v>
      </c>
      <c r="Q44" t="n">
        <v>5799.7</v>
      </c>
      <c r="R44" t="n">
        <v>6057.9</v>
      </c>
      <c r="S44" t="n">
        <v>5529.2</v>
      </c>
      <c r="T44" t="n">
        <v>4128.8</v>
      </c>
      <c r="U44" t="n">
        <v>4931.5</v>
      </c>
      <c r="V44" t="n">
        <v>4876.7</v>
      </c>
      <c r="W44" t="n">
        <v>4647.5</v>
      </c>
      <c r="X44" t="n">
        <v>4452.2</v>
      </c>
      <c r="Y44" t="n">
        <v>4664.1</v>
      </c>
      <c r="Z44" t="n">
        <v>4894</v>
      </c>
      <c r="AA44" t="n">
        <v>5116.1</v>
      </c>
      <c r="AB44" t="n">
        <v>5588.4</v>
      </c>
      <c r="AC44" t="n">
        <v>5192.4</v>
      </c>
      <c r="AD44" t="n">
        <v>5319.6</v>
      </c>
      <c r="AE44" t="n">
        <v>4981.2</v>
      </c>
      <c r="AF44" t="n">
        <v>5884.1</v>
      </c>
    </row>
    <row r="45">
      <c r="A45" t="s">
        <v>3</v>
      </c>
      <c r="B45" t="s">
        <v>360</v>
      </c>
      <c r="C45" t="s">
        <v>246</v>
      </c>
      <c r="D45" t="s">
        <v>361</v>
      </c>
      <c r="E45" t="s">
        <v>247</v>
      </c>
      <c r="F45" t="n">
        <v>2826.8</v>
      </c>
      <c r="G45" t="n">
        <v>3135.7</v>
      </c>
      <c r="H45" t="n">
        <v>3508</v>
      </c>
      <c r="I45" t="n">
        <v>3983.3</v>
      </c>
      <c r="J45" t="n">
        <v>4274.3</v>
      </c>
      <c r="K45" t="n">
        <v>5711</v>
      </c>
      <c r="L45" t="n">
        <v>5240.9</v>
      </c>
      <c r="M45" t="n">
        <v>5436.4</v>
      </c>
      <c r="N45" t="n">
        <v>4844.1</v>
      </c>
      <c r="O45" t="n">
        <v>5567.7</v>
      </c>
      <c r="P45" t="n">
        <v>5732.3</v>
      </c>
      <c r="Q45" t="n">
        <v>5757.5</v>
      </c>
      <c r="R45" t="n">
        <v>6017.1</v>
      </c>
      <c r="S45" t="n">
        <v>5493</v>
      </c>
      <c r="T45" t="n">
        <v>4080.1</v>
      </c>
      <c r="U45" t="n">
        <v>4903.2</v>
      </c>
      <c r="V45" t="n">
        <v>4840.3</v>
      </c>
      <c r="W45" t="n">
        <v>4623.5</v>
      </c>
      <c r="X45" t="n">
        <v>4430.1</v>
      </c>
      <c r="Y45" t="n">
        <v>4643</v>
      </c>
      <c r="Z45" t="n">
        <v>4868.2</v>
      </c>
      <c r="AA45" t="n">
        <v>5087.4</v>
      </c>
      <c r="AB45" t="n">
        <v>5559</v>
      </c>
      <c r="AC45" t="n">
        <v>5164.2</v>
      </c>
      <c r="AD45" t="n">
        <v>5286.1</v>
      </c>
      <c r="AE45" t="n">
        <v>4951.7</v>
      </c>
      <c r="AF45" t="n">
        <v>5848.4</v>
      </c>
    </row>
    <row r="46">
      <c r="A46" t="s">
        <v>3</v>
      </c>
      <c r="B46" t="s">
        <v>362</v>
      </c>
      <c r="C46" t="s">
        <v>246</v>
      </c>
      <c r="D46" t="s">
        <v>363</v>
      </c>
      <c r="E46" t="s">
        <v>247</v>
      </c>
      <c r="F46" t="n">
        <v>62.1</v>
      </c>
      <c r="G46" t="n">
        <v>54.4</v>
      </c>
      <c r="H46" t="n">
        <v>66.6</v>
      </c>
      <c r="I46" t="n">
        <v>92.9</v>
      </c>
      <c r="J46" t="n">
        <v>99.9</v>
      </c>
      <c r="K46" t="n">
        <v>127.9</v>
      </c>
      <c r="L46" t="n">
        <v>122.9</v>
      </c>
      <c r="M46" t="n">
        <v>133.3</v>
      </c>
      <c r="N46" t="n">
        <v>107.3</v>
      </c>
      <c r="O46" t="n">
        <v>101.8</v>
      </c>
      <c r="P46" t="n">
        <v>111</v>
      </c>
      <c r="Q46" t="n">
        <v>133.2</v>
      </c>
      <c r="R46" t="n">
        <v>135.5</v>
      </c>
      <c r="S46" t="n">
        <v>135.2</v>
      </c>
      <c r="T46" t="n">
        <v>91.6</v>
      </c>
      <c r="U46" t="n">
        <v>102.1</v>
      </c>
      <c r="V46" t="n">
        <v>110.8</v>
      </c>
      <c r="W46" t="n">
        <v>150.3</v>
      </c>
      <c r="X46" t="n">
        <v>122.3</v>
      </c>
      <c r="Y46" t="n">
        <v>147</v>
      </c>
      <c r="Z46" t="n">
        <v>174.9</v>
      </c>
      <c r="AA46" t="n">
        <v>181.3</v>
      </c>
      <c r="AB46" t="n">
        <v>136.4</v>
      </c>
      <c r="AC46" t="n">
        <v>137.7</v>
      </c>
      <c r="AD46" t="n">
        <v>183.4</v>
      </c>
      <c r="AE46" t="n">
        <v>154.4</v>
      </c>
      <c r="AF46" t="n">
        <v>118</v>
      </c>
    </row>
    <row r="47">
      <c r="A47" t="s">
        <v>3</v>
      </c>
      <c r="B47" t="s">
        <v>364</v>
      </c>
      <c r="C47" t="s">
        <v>246</v>
      </c>
      <c r="D47" t="s">
        <v>365</v>
      </c>
      <c r="E47" t="s">
        <v>247</v>
      </c>
      <c r="F47" t="n">
        <v>154.9</v>
      </c>
      <c r="G47" t="n">
        <v>187.5</v>
      </c>
      <c r="H47" t="n">
        <v>202.1</v>
      </c>
      <c r="I47" t="n">
        <v>236.3</v>
      </c>
      <c r="J47" t="n">
        <v>277.9</v>
      </c>
      <c r="K47" t="n">
        <v>258.8</v>
      </c>
      <c r="L47" t="n">
        <v>266.5</v>
      </c>
      <c r="M47" t="n">
        <v>296.5</v>
      </c>
      <c r="N47" t="n">
        <v>394.3</v>
      </c>
      <c r="O47" t="n">
        <v>361.1</v>
      </c>
      <c r="P47" t="n">
        <v>401.8</v>
      </c>
      <c r="Q47" t="n">
        <v>425.3</v>
      </c>
      <c r="R47" t="n">
        <v>457.7</v>
      </c>
      <c r="S47" t="n">
        <v>522.9</v>
      </c>
      <c r="T47" t="n">
        <v>596.1</v>
      </c>
      <c r="U47" t="n">
        <v>400.1</v>
      </c>
      <c r="V47" t="n">
        <v>317.2</v>
      </c>
      <c r="W47" t="n">
        <v>286.1</v>
      </c>
      <c r="X47" t="n">
        <v>286.8</v>
      </c>
      <c r="Y47" t="n">
        <v>226.3</v>
      </c>
      <c r="Z47" t="n">
        <v>251</v>
      </c>
      <c r="AA47" t="n">
        <v>315.8</v>
      </c>
      <c r="AB47" t="n">
        <v>298.5</v>
      </c>
      <c r="AC47" t="n">
        <v>261.6</v>
      </c>
      <c r="AD47" t="n">
        <v>263.4</v>
      </c>
      <c r="AE47" t="n">
        <v>286</v>
      </c>
      <c r="AF47" t="n">
        <v>393.4</v>
      </c>
    </row>
    <row r="48">
      <c r="A48" t="s">
        <v>3</v>
      </c>
      <c r="B48" t="s">
        <v>366</v>
      </c>
      <c r="C48" t="s">
        <v>246</v>
      </c>
      <c r="D48" t="s">
        <v>367</v>
      </c>
      <c r="E48" t="s">
        <v>247</v>
      </c>
      <c r="F48" t="n">
        <v>207.5</v>
      </c>
      <c r="G48" t="n">
        <v>246.6</v>
      </c>
      <c r="H48" t="n">
        <v>261.7</v>
      </c>
      <c r="I48" t="n">
        <v>320.7</v>
      </c>
      <c r="J48" t="n">
        <v>368.4</v>
      </c>
      <c r="K48" t="n">
        <v>361.8</v>
      </c>
      <c r="L48" t="n">
        <v>389.3</v>
      </c>
      <c r="M48" t="n">
        <v>423</v>
      </c>
      <c r="N48" t="n">
        <v>503</v>
      </c>
      <c r="O48" t="n">
        <v>492.7</v>
      </c>
      <c r="P48" t="n">
        <v>535.7</v>
      </c>
      <c r="Q48" t="n">
        <v>589.6</v>
      </c>
      <c r="R48" t="n">
        <v>603.3</v>
      </c>
      <c r="S48" t="n">
        <v>657.3</v>
      </c>
      <c r="T48" t="n">
        <v>742.7</v>
      </c>
      <c r="U48" t="n">
        <v>536.3</v>
      </c>
      <c r="V48" t="n">
        <v>465.8</v>
      </c>
      <c r="W48" t="n">
        <v>389</v>
      </c>
      <c r="X48" t="n">
        <v>414.7</v>
      </c>
      <c r="Y48" t="n">
        <v>396.4</v>
      </c>
      <c r="Z48" t="n">
        <v>413.3</v>
      </c>
      <c r="AA48" t="n">
        <v>480.9</v>
      </c>
      <c r="AB48" t="n">
        <v>527.4</v>
      </c>
      <c r="AC48" t="n">
        <v>456.7</v>
      </c>
      <c r="AD48" t="n">
        <v>481.6</v>
      </c>
      <c r="AE48" t="n">
        <v>760.2</v>
      </c>
      <c r="AF48" t="n">
        <v>624.3</v>
      </c>
    </row>
    <row r="49">
      <c r="A49" t="s">
        <v>3</v>
      </c>
      <c r="B49" t="s">
        <v>368</v>
      </c>
      <c r="C49" t="s">
        <v>246</v>
      </c>
      <c r="D49" t="s">
        <v>369</v>
      </c>
      <c r="E49" t="s">
        <v>247</v>
      </c>
      <c r="F49" t="n">
        <v>22.2</v>
      </c>
      <c r="G49" t="n">
        <v>26.6</v>
      </c>
      <c r="H49" t="n">
        <v>26.8</v>
      </c>
      <c r="I49" t="n">
        <v>38.3</v>
      </c>
      <c r="J49" t="n">
        <v>37.3</v>
      </c>
      <c r="K49" t="n">
        <v>44.1</v>
      </c>
      <c r="L49" t="n">
        <v>57.5</v>
      </c>
      <c r="M49" t="n">
        <v>65.4</v>
      </c>
      <c r="N49" t="n">
        <v>50.9</v>
      </c>
      <c r="O49" t="n">
        <v>68.6</v>
      </c>
      <c r="P49" t="n">
        <v>62.3</v>
      </c>
      <c r="Q49" t="n">
        <v>93.5</v>
      </c>
      <c r="R49" t="n">
        <v>68.3</v>
      </c>
      <c r="S49" t="n">
        <v>63</v>
      </c>
      <c r="T49" t="n">
        <v>62.2</v>
      </c>
      <c r="U49" t="n">
        <v>57.9</v>
      </c>
      <c r="V49" t="n">
        <v>58.6</v>
      </c>
      <c r="W49" t="n">
        <v>52.9</v>
      </c>
      <c r="X49" t="n">
        <v>45.7</v>
      </c>
      <c r="Y49" t="n">
        <v>64.4</v>
      </c>
      <c r="Z49" t="n">
        <v>69.7</v>
      </c>
      <c r="AA49" t="n">
        <v>50.5</v>
      </c>
      <c r="AB49" t="n">
        <v>104.2</v>
      </c>
      <c r="AC49" t="n">
        <v>93</v>
      </c>
      <c r="AD49" t="n">
        <v>70.3</v>
      </c>
      <c r="AE49" t="n">
        <v>315.8</v>
      </c>
      <c r="AF49" t="n">
        <v>61.7</v>
      </c>
    </row>
    <row r="50">
      <c r="A50" t="s">
        <v>3</v>
      </c>
      <c r="B50" t="s">
        <v>370</v>
      </c>
      <c r="C50" t="s">
        <v>246</v>
      </c>
      <c r="D50" t="s">
        <v>371</v>
      </c>
      <c r="E50" t="s">
        <v>247</v>
      </c>
      <c r="F50" t="n">
        <v>30.4</v>
      </c>
      <c r="G50" t="n">
        <v>32.5</v>
      </c>
      <c r="H50" t="n">
        <v>32.8</v>
      </c>
      <c r="I50" t="n">
        <v>46.1</v>
      </c>
      <c r="J50" t="n">
        <v>53.2</v>
      </c>
      <c r="K50" t="n">
        <v>58.9</v>
      </c>
      <c r="L50" t="n">
        <v>65.3</v>
      </c>
      <c r="M50" t="n">
        <v>61.2</v>
      </c>
      <c r="N50" t="n">
        <v>57.8</v>
      </c>
      <c r="O50" t="n">
        <v>63.1</v>
      </c>
      <c r="P50" t="n">
        <v>71.5</v>
      </c>
      <c r="Q50" t="n">
        <v>70.9</v>
      </c>
      <c r="R50" t="n">
        <v>77.3</v>
      </c>
      <c r="S50" t="n">
        <v>71.4</v>
      </c>
      <c r="T50" t="n">
        <v>84.3</v>
      </c>
      <c r="U50" t="n">
        <v>78.2</v>
      </c>
      <c r="V50" t="n">
        <v>90</v>
      </c>
      <c r="W50" t="n">
        <v>49.9</v>
      </c>
      <c r="X50" t="n">
        <v>82.2</v>
      </c>
      <c r="Y50" t="n">
        <v>105.7</v>
      </c>
      <c r="Z50" t="n">
        <v>92.7</v>
      </c>
      <c r="AA50" t="n">
        <v>114.7</v>
      </c>
      <c r="AB50" t="n">
        <v>124.8</v>
      </c>
      <c r="AC50" t="n">
        <v>102.2</v>
      </c>
      <c r="AD50" t="n">
        <v>148</v>
      </c>
      <c r="AE50" t="n">
        <v>158.4</v>
      </c>
      <c r="AF50" t="n">
        <v>169.2</v>
      </c>
    </row>
    <row r="51">
      <c r="A51" t="s">
        <v>3</v>
      </c>
      <c r="B51" t="s">
        <v>372</v>
      </c>
      <c r="C51" t="s">
        <v>246</v>
      </c>
      <c r="D51" t="s">
        <v>373</v>
      </c>
      <c r="E51" t="s">
        <v>247</v>
      </c>
      <c r="F51" t="n">
        <v>25.4</v>
      </c>
      <c r="G51" t="n">
        <v>28</v>
      </c>
      <c r="H51" t="n">
        <v>28.5</v>
      </c>
      <c r="I51" t="n">
        <v>38.5</v>
      </c>
      <c r="J51" t="n">
        <v>41.9</v>
      </c>
      <c r="K51" t="n">
        <v>48.2</v>
      </c>
      <c r="L51" t="n">
        <v>52</v>
      </c>
      <c r="M51" t="n">
        <v>47.8</v>
      </c>
      <c r="N51" t="n">
        <v>49.4</v>
      </c>
      <c r="O51" t="n">
        <v>50.9</v>
      </c>
      <c r="P51" t="n">
        <v>58</v>
      </c>
      <c r="Q51" t="n">
        <v>56.7</v>
      </c>
      <c r="R51" t="n">
        <v>61.7</v>
      </c>
      <c r="S51" t="n">
        <v>61</v>
      </c>
      <c r="T51" t="n">
        <v>73.3</v>
      </c>
      <c r="U51" t="n">
        <v>71</v>
      </c>
      <c r="V51" t="n">
        <v>78.3</v>
      </c>
      <c r="W51" t="n">
        <v>32.8</v>
      </c>
      <c r="X51" t="n">
        <v>61.7</v>
      </c>
      <c r="Y51" t="n">
        <v>77.7</v>
      </c>
      <c r="Z51" t="n">
        <v>70.2</v>
      </c>
      <c r="AA51" t="n">
        <v>89</v>
      </c>
      <c r="AB51" t="n">
        <v>102.9</v>
      </c>
      <c r="AC51" t="n">
        <v>79.5</v>
      </c>
      <c r="AD51" t="n">
        <v>119.3</v>
      </c>
      <c r="AE51" t="n">
        <v>133.3</v>
      </c>
      <c r="AF51" t="n">
        <v>149.7</v>
      </c>
    </row>
    <row r="52">
      <c r="A52" t="s">
        <v>3</v>
      </c>
      <c r="B52" t="s">
        <v>374</v>
      </c>
      <c r="C52" t="s">
        <v>246</v>
      </c>
      <c r="D52" t="s">
        <v>375</v>
      </c>
      <c r="E52" t="s">
        <v>247</v>
      </c>
      <c r="F52" t="n">
        <v>5</v>
      </c>
      <c r="G52" t="n">
        <v>4.5</v>
      </c>
      <c r="H52" t="n">
        <v>4.3</v>
      </c>
      <c r="I52" t="n">
        <v>7.6</v>
      </c>
      <c r="J52" t="n">
        <v>11.3</v>
      </c>
      <c r="K52" t="n">
        <v>10.7</v>
      </c>
      <c r="L52" t="n">
        <v>13.3</v>
      </c>
      <c r="M52" t="n">
        <v>13.4</v>
      </c>
      <c r="N52" t="n">
        <v>8.4</v>
      </c>
      <c r="O52" t="n">
        <v>12.2</v>
      </c>
      <c r="P52" t="n">
        <v>13.5</v>
      </c>
      <c r="Q52" t="n">
        <v>14.2</v>
      </c>
      <c r="R52" t="n">
        <v>15.6</v>
      </c>
      <c r="S52" t="n">
        <v>10.4</v>
      </c>
      <c r="T52" t="n">
        <v>11</v>
      </c>
      <c r="U52" t="n">
        <v>7.2</v>
      </c>
      <c r="V52" t="n">
        <v>11.7</v>
      </c>
      <c r="W52" t="n">
        <v>17.1</v>
      </c>
      <c r="X52" t="n">
        <v>20.5</v>
      </c>
      <c r="Y52" t="n">
        <v>28</v>
      </c>
      <c r="Z52" t="n">
        <v>22.5</v>
      </c>
      <c r="AA52" t="n">
        <v>25.7</v>
      </c>
      <c r="AB52" t="n">
        <v>21.9</v>
      </c>
      <c r="AC52" t="n">
        <v>22.7</v>
      </c>
      <c r="AD52" t="n">
        <v>28.7</v>
      </c>
      <c r="AE52" t="n">
        <v>25.1</v>
      </c>
      <c r="AF52" t="n">
        <v>19.5</v>
      </c>
    </row>
    <row r="53">
      <c r="A53" t="s">
        <v>3</v>
      </c>
      <c r="B53" t="s">
        <v>376</v>
      </c>
      <c r="C53" t="s">
        <v>246</v>
      </c>
      <c r="D53" t="s">
        <v>377</v>
      </c>
      <c r="E53" t="s">
        <v>247</v>
      </c>
      <c r="F53" t="n">
        <v>23.6</v>
      </c>
      <c r="G53" t="n">
        <v>38.8</v>
      </c>
      <c r="H53" t="n">
        <v>24.2</v>
      </c>
      <c r="I53" t="n">
        <v>85.7</v>
      </c>
      <c r="J53" t="n">
        <v>49.8</v>
      </c>
      <c r="K53" t="n">
        <v>52.5</v>
      </c>
      <c r="L53" t="n">
        <v>67.9</v>
      </c>
      <c r="M53" t="n">
        <v>63.1</v>
      </c>
      <c r="N53" t="n">
        <v>59</v>
      </c>
      <c r="O53" t="n">
        <v>50.9</v>
      </c>
      <c r="P53" t="n">
        <v>70.2</v>
      </c>
      <c r="Q53" t="n">
        <v>58.2</v>
      </c>
      <c r="R53" t="n">
        <v>69.9</v>
      </c>
      <c r="S53" t="n">
        <v>53.3</v>
      </c>
      <c r="T53" t="n">
        <v>48.5</v>
      </c>
      <c r="U53" t="n">
        <v>49.5</v>
      </c>
      <c r="V53" t="n">
        <v>50.2</v>
      </c>
      <c r="W53" t="n">
        <v>34.5</v>
      </c>
      <c r="X53" t="n">
        <v>39.6</v>
      </c>
      <c r="Y53" t="n">
        <v>50.2</v>
      </c>
      <c r="Z53" t="n">
        <v>43.8</v>
      </c>
      <c r="AA53" t="n">
        <v>32.7</v>
      </c>
      <c r="AB53" t="n">
        <v>44.5</v>
      </c>
      <c r="AC53" t="n">
        <v>41.1</v>
      </c>
      <c r="AD53" t="n">
        <v>50.2</v>
      </c>
      <c r="AE53" t="n">
        <v>41.4</v>
      </c>
      <c r="AF53" t="n">
        <v>141.3</v>
      </c>
    </row>
    <row r="54">
      <c r="A54" t="s">
        <v>3</v>
      </c>
      <c r="B54" t="s">
        <v>378</v>
      </c>
      <c r="C54" t="s">
        <v>246</v>
      </c>
      <c r="D54" t="s">
        <v>379</v>
      </c>
      <c r="E54" t="s">
        <v>247</v>
      </c>
      <c r="F54" t="n">
        <v>36.2</v>
      </c>
      <c r="G54" t="n">
        <v>74.1</v>
      </c>
      <c r="H54" t="n">
        <v>37.9</v>
      </c>
      <c r="I54" t="n">
        <v>179</v>
      </c>
      <c r="J54" t="n">
        <v>92.5</v>
      </c>
      <c r="K54" t="n">
        <v>118.5</v>
      </c>
      <c r="L54" t="n">
        <v>140.9</v>
      </c>
      <c r="M54" t="n">
        <v>113.2</v>
      </c>
      <c r="N54" t="n">
        <v>120.3</v>
      </c>
      <c r="O54" t="n">
        <v>107.3</v>
      </c>
      <c r="P54" t="n">
        <v>130.1</v>
      </c>
      <c r="Q54" t="n">
        <v>125.4</v>
      </c>
      <c r="R54" t="n">
        <v>135.3</v>
      </c>
      <c r="S54" t="n">
        <v>140.7</v>
      </c>
      <c r="T54" t="n">
        <v>88.6</v>
      </c>
      <c r="U54" t="n">
        <v>98.1</v>
      </c>
      <c r="V54" t="n">
        <v>104.2</v>
      </c>
      <c r="W54" t="n">
        <v>143.2</v>
      </c>
      <c r="X54" t="n">
        <v>138.1</v>
      </c>
      <c r="Y54" t="n">
        <v>165.1</v>
      </c>
      <c r="Z54" t="n">
        <v>127</v>
      </c>
      <c r="AA54" t="n">
        <v>146.2</v>
      </c>
      <c r="AB54" t="n">
        <v>268.5</v>
      </c>
      <c r="AC54" t="n">
        <v>175.5</v>
      </c>
      <c r="AD54" t="n">
        <v>196.5</v>
      </c>
      <c r="AE54" t="n">
        <v>260.6</v>
      </c>
      <c r="AF54" t="n">
        <v>291.1</v>
      </c>
    </row>
    <row r="55">
      <c r="A55" t="s">
        <v>3</v>
      </c>
      <c r="B55" t="s">
        <v>380</v>
      </c>
      <c r="C55" t="s">
        <v>246</v>
      </c>
      <c r="D55" t="s">
        <v>381</v>
      </c>
      <c r="E55" t="s">
        <v>247</v>
      </c>
      <c r="F55" t="n">
        <v>12.6</v>
      </c>
      <c r="G55" t="n">
        <v>35.3</v>
      </c>
      <c r="H55" t="n">
        <v>13.7</v>
      </c>
      <c r="I55" t="n">
        <v>93.3</v>
      </c>
      <c r="J55" t="n">
        <v>42.7</v>
      </c>
      <c r="K55" t="n">
        <v>66</v>
      </c>
      <c r="L55" t="n">
        <v>73</v>
      </c>
      <c r="M55" t="n">
        <v>50.1</v>
      </c>
      <c r="N55" t="n">
        <v>61.3</v>
      </c>
      <c r="O55" t="n">
        <v>56.4</v>
      </c>
      <c r="P55" t="n">
        <v>59.9</v>
      </c>
      <c r="Q55" t="n">
        <v>67.2</v>
      </c>
      <c r="R55" t="n">
        <v>65.4</v>
      </c>
      <c r="S55" t="n">
        <v>87.4</v>
      </c>
      <c r="T55" t="n">
        <v>40.1</v>
      </c>
      <c r="U55" t="n">
        <v>48.6</v>
      </c>
      <c r="V55" t="n">
        <v>54</v>
      </c>
      <c r="W55" t="n">
        <v>108.7</v>
      </c>
      <c r="X55" t="n">
        <v>98.5</v>
      </c>
      <c r="Y55" t="n">
        <v>114.9</v>
      </c>
      <c r="Z55" t="n">
        <v>83.2</v>
      </c>
      <c r="AA55" t="n">
        <v>113.5</v>
      </c>
      <c r="AB55" t="n">
        <v>224</v>
      </c>
      <c r="AC55" t="n">
        <v>134.4</v>
      </c>
      <c r="AD55" t="n">
        <v>146.3</v>
      </c>
      <c r="AE55" t="n">
        <v>219.2</v>
      </c>
      <c r="AF55" t="n">
        <v>149.8</v>
      </c>
    </row>
    <row r="56">
      <c r="A56" t="s">
        <v>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</v>
      </c>
      <c r="B57" t="s">
        <v>384</v>
      </c>
      <c r="C57" t="s">
        <v>246</v>
      </c>
      <c r="D57" t="s">
        <v>385</v>
      </c>
      <c r="E57" t="s">
        <v>247</v>
      </c>
      <c r="F57" t="n">
        <v>3060.5</v>
      </c>
      <c r="G57" t="n">
        <v>3408.9</v>
      </c>
      <c r="H57" t="n">
        <v>3790.8</v>
      </c>
      <c r="I57" t="n">
        <v>4341</v>
      </c>
      <c r="J57" t="n">
        <v>4679.4</v>
      </c>
      <c r="K57" t="n">
        <v>6117.2</v>
      </c>
      <c r="L57" t="n">
        <v>5675.4</v>
      </c>
      <c r="M57" t="n">
        <v>5902.6</v>
      </c>
      <c r="N57" t="n">
        <v>5393.7</v>
      </c>
      <c r="O57" t="n">
        <v>6110.7</v>
      </c>
      <c r="P57" t="n">
        <v>6317.9</v>
      </c>
      <c r="Q57" t="n">
        <v>6397.2</v>
      </c>
      <c r="R57" t="n">
        <v>6669.2</v>
      </c>
      <c r="S57" t="n">
        <v>6193.5</v>
      </c>
      <c r="T57" t="n">
        <v>4876.7</v>
      </c>
      <c r="U57" t="n">
        <v>5477.6</v>
      </c>
      <c r="V57" t="n">
        <v>5350.2</v>
      </c>
      <c r="W57" t="n">
        <v>5056.4</v>
      </c>
      <c r="X57" t="n">
        <v>4877.2</v>
      </c>
      <c r="Y57" t="n">
        <v>5069.8</v>
      </c>
      <c r="Z57" t="n">
        <v>5315.9</v>
      </c>
      <c r="AA57" t="n">
        <v>5613.4</v>
      </c>
      <c r="AB57" t="n">
        <v>6129</v>
      </c>
      <c r="AC57" t="n">
        <v>5657.1</v>
      </c>
      <c r="AD57" t="n">
        <v>5838.1</v>
      </c>
      <c r="AE57" t="n">
        <v>5767.6</v>
      </c>
      <c r="AF57" t="n">
        <v>6532.6</v>
      </c>
    </row>
    <row r="58">
      <c r="A58" t="s">
        <v>3</v>
      </c>
      <c r="B58" t="s">
        <v>386</v>
      </c>
      <c r="C58" t="s">
        <v>246</v>
      </c>
      <c r="D58" t="s">
        <v>387</v>
      </c>
      <c r="E58" t="s">
        <v>247</v>
      </c>
      <c r="F58" t="n">
        <v>3060.5</v>
      </c>
      <c r="G58" t="n">
        <v>3408.9</v>
      </c>
      <c r="H58" t="n">
        <v>3790.8</v>
      </c>
      <c r="I58" t="n">
        <v>4341</v>
      </c>
      <c r="J58" t="n">
        <v>4679.4</v>
      </c>
      <c r="K58" t="n">
        <v>6117.2</v>
      </c>
      <c r="L58" t="n">
        <v>5675.4</v>
      </c>
      <c r="M58" t="n">
        <v>5902.6</v>
      </c>
      <c r="N58" t="n">
        <v>5393.7</v>
      </c>
      <c r="O58" t="n">
        <v>6110.7</v>
      </c>
      <c r="P58" t="n">
        <v>6317.9</v>
      </c>
      <c r="Q58" t="n">
        <v>6397.2</v>
      </c>
      <c r="R58" t="n">
        <v>6669.2</v>
      </c>
      <c r="S58" t="n">
        <v>6193.5</v>
      </c>
      <c r="T58" t="n">
        <v>4876.7</v>
      </c>
      <c r="U58" t="n">
        <v>5477.6</v>
      </c>
      <c r="V58" t="n">
        <v>5350.2</v>
      </c>
      <c r="W58" t="n">
        <v>5056.4</v>
      </c>
      <c r="X58" t="n">
        <v>4877.2</v>
      </c>
      <c r="Y58" t="n">
        <v>5069.8</v>
      </c>
      <c r="Z58" t="n">
        <v>5315.9</v>
      </c>
      <c r="AA58" t="n">
        <v>5613.4</v>
      </c>
      <c r="AB58" t="n">
        <v>6129</v>
      </c>
      <c r="AC58" t="n">
        <v>5657.1</v>
      </c>
      <c r="AD58" t="n">
        <v>5838.1</v>
      </c>
      <c r="AE58" t="n">
        <v>5767.6</v>
      </c>
      <c r="AF58" t="n">
        <v>6532.6</v>
      </c>
    </row>
    <row r="59">
      <c r="A59" t="s">
        <v>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</v>
      </c>
      <c r="B2" t="s">
        <v>197</v>
      </c>
      <c r="C2" t="s">
        <v>246</v>
      </c>
      <c r="D2" t="s">
        <v>199</v>
      </c>
      <c r="E2" t="s">
        <v>247</v>
      </c>
      <c r="F2" t="n">
        <v>5.5</v>
      </c>
      <c r="G2" t="n">
        <v>3.4</v>
      </c>
      <c r="H2" t="n">
        <v>5.5</v>
      </c>
      <c r="I2" t="n">
        <v>3.8</v>
      </c>
      <c r="J2" t="n">
        <v>3.5</v>
      </c>
      <c r="K2" t="n">
        <v>5.8</v>
      </c>
      <c r="L2" t="n">
        <v>5.7</v>
      </c>
      <c r="M2" t="n">
        <v>5.1</v>
      </c>
      <c r="N2" t="n">
        <v>7.3</v>
      </c>
      <c r="O2" t="n">
        <v>9</v>
      </c>
      <c r="P2" t="n">
        <v>7.7</v>
      </c>
      <c r="Q2" t="n">
        <v>6.4</v>
      </c>
      <c r="R2" t="n">
        <v>4.9</v>
      </c>
      <c r="S2" t="n">
        <v>8</v>
      </c>
      <c r="T2" t="n">
        <v>6.8</v>
      </c>
      <c r="U2" t="n">
        <v>7.4</v>
      </c>
      <c r="V2" t="n">
        <v>7.8</v>
      </c>
      <c r="W2" t="n">
        <v>6.6</v>
      </c>
      <c r="X2" t="n">
        <v>5.5</v>
      </c>
      <c r="Y2" t="n">
        <v>4.5</v>
      </c>
      <c r="Z2" t="n">
        <v>5.3</v>
      </c>
      <c r="AA2" t="n">
        <v>6.2</v>
      </c>
      <c r="AB2" t="n">
        <v>5.2</v>
      </c>
      <c r="AC2" t="n">
        <v>5</v>
      </c>
      <c r="AD2" t="n">
        <v>4.9</v>
      </c>
      <c r="AE2" t="n">
        <v>4.4</v>
      </c>
      <c r="AF2" t="n">
        <v>4.2</v>
      </c>
    </row>
    <row r="3">
      <c r="A3" t="s">
        <v>5</v>
      </c>
      <c r="B3" t="s">
        <v>276</v>
      </c>
      <c r="C3" t="s">
        <v>246</v>
      </c>
      <c r="D3" t="s">
        <v>277</v>
      </c>
      <c r="E3" t="s">
        <v>247</v>
      </c>
      <c r="F3" t="n">
        <v>71.4</v>
      </c>
      <c r="G3" t="n">
        <v>19.3</v>
      </c>
      <c r="H3" t="n">
        <v>13.1</v>
      </c>
      <c r="I3" t="n">
        <v>15.3</v>
      </c>
      <c r="J3" t="n">
        <v>29.4</v>
      </c>
      <c r="K3" t="n">
        <v>44</v>
      </c>
      <c r="L3" t="n">
        <v>29.2</v>
      </c>
      <c r="M3" t="n">
        <v>12.9</v>
      </c>
      <c r="N3" t="n">
        <v>14.9</v>
      </c>
      <c r="O3" t="n">
        <v>51.4</v>
      </c>
      <c r="P3" t="n">
        <v>36.2</v>
      </c>
      <c r="Q3" t="n">
        <v>26.9</v>
      </c>
      <c r="R3" t="n">
        <v>21.8</v>
      </c>
      <c r="S3" t="n">
        <v>10.8</v>
      </c>
      <c r="T3" t="n">
        <v>17.7</v>
      </c>
      <c r="U3" t="n">
        <v>30</v>
      </c>
      <c r="V3" t="n">
        <v>31.2</v>
      </c>
      <c r="W3" t="n">
        <v>83.9</v>
      </c>
      <c r="X3" t="n">
        <v>71.6</v>
      </c>
      <c r="Y3" t="n">
        <v>379.1</v>
      </c>
      <c r="Z3" t="n">
        <v>148.5</v>
      </c>
      <c r="AA3" t="n">
        <v>299.1</v>
      </c>
      <c r="AB3" t="n">
        <v>205.2</v>
      </c>
      <c r="AC3" t="n">
        <v>766.1</v>
      </c>
      <c r="AD3" t="n">
        <v>1093.4</v>
      </c>
      <c r="AE3" t="n">
        <v>560.2</v>
      </c>
      <c r="AF3" t="n">
        <v>544.2</v>
      </c>
    </row>
    <row r="4">
      <c r="A4" t="s">
        <v>5</v>
      </c>
      <c r="B4" t="s">
        <v>278</v>
      </c>
      <c r="C4" t="s">
        <v>246</v>
      </c>
      <c r="D4" t="s">
        <v>279</v>
      </c>
      <c r="E4" t="s">
        <v>247</v>
      </c>
      <c r="F4" t="n">
        <v>509.1</v>
      </c>
      <c r="G4" t="n">
        <v>399.7</v>
      </c>
      <c r="H4" t="n">
        <v>678.8</v>
      </c>
      <c r="I4" t="n">
        <v>563.9</v>
      </c>
      <c r="J4" t="n">
        <v>484.7</v>
      </c>
      <c r="K4" t="n">
        <v>644.8</v>
      </c>
      <c r="L4" t="n">
        <v>740.1</v>
      </c>
      <c r="M4" t="n">
        <v>520.4</v>
      </c>
      <c r="N4" t="n">
        <v>605.5</v>
      </c>
      <c r="O4" t="n">
        <v>754.1</v>
      </c>
      <c r="P4" t="n">
        <v>632.4</v>
      </c>
      <c r="Q4" t="n">
        <v>719.6</v>
      </c>
      <c r="R4" t="n">
        <v>674.7</v>
      </c>
      <c r="S4" t="n">
        <v>596.5</v>
      </c>
      <c r="T4" t="n">
        <v>440.9</v>
      </c>
      <c r="U4" t="n">
        <v>685.1</v>
      </c>
      <c r="V4" t="n">
        <v>711.7</v>
      </c>
      <c r="W4" t="n">
        <v>553.3</v>
      </c>
      <c r="X4" t="n">
        <v>465.8</v>
      </c>
      <c r="Y4" t="n">
        <v>442.1</v>
      </c>
      <c r="Z4" t="n">
        <v>461.9</v>
      </c>
      <c r="AA4" t="n">
        <v>591.7</v>
      </c>
      <c r="AB4" t="n">
        <v>451.8</v>
      </c>
      <c r="AC4" t="n">
        <v>462.7</v>
      </c>
      <c r="AD4" t="n">
        <v>451.4</v>
      </c>
      <c r="AE4" t="n">
        <v>404</v>
      </c>
      <c r="AF4" t="n">
        <v>352.8</v>
      </c>
    </row>
    <row r="5">
      <c r="A5" t="s">
        <v>5</v>
      </c>
      <c r="B5" t="s">
        <v>280</v>
      </c>
      <c r="C5" t="s">
        <v>246</v>
      </c>
      <c r="D5" t="s">
        <v>281</v>
      </c>
      <c r="E5" t="s">
        <v>247</v>
      </c>
      <c r="F5" t="n">
        <v>74.2</v>
      </c>
      <c r="G5" t="n">
        <v>52.9</v>
      </c>
      <c r="H5" t="n">
        <v>67.8</v>
      </c>
      <c r="I5" t="n">
        <v>60.7</v>
      </c>
      <c r="J5" t="n">
        <v>79.4</v>
      </c>
      <c r="K5" t="n">
        <v>84.9</v>
      </c>
      <c r="L5" t="n">
        <v>95.5</v>
      </c>
      <c r="M5" t="n">
        <v>63</v>
      </c>
      <c r="N5" t="n">
        <v>80.2</v>
      </c>
      <c r="O5" t="n">
        <v>111.4</v>
      </c>
      <c r="P5" t="n">
        <v>92.1</v>
      </c>
      <c r="Q5" t="n">
        <v>103.3</v>
      </c>
      <c r="R5" t="n">
        <v>93.6</v>
      </c>
      <c r="S5" t="n">
        <v>87.9</v>
      </c>
      <c r="T5" t="n">
        <v>74.9</v>
      </c>
      <c r="U5" t="n">
        <v>92</v>
      </c>
      <c r="V5" t="n">
        <v>95.6</v>
      </c>
      <c r="W5" t="n">
        <v>92.9</v>
      </c>
      <c r="X5" t="n">
        <v>74.8</v>
      </c>
      <c r="Y5" t="n">
        <v>78.6</v>
      </c>
      <c r="Z5" t="n">
        <v>97.3</v>
      </c>
      <c r="AA5" t="n">
        <v>123.7</v>
      </c>
      <c r="AB5" t="n">
        <v>82.9</v>
      </c>
      <c r="AC5" t="n">
        <v>67.6</v>
      </c>
      <c r="AD5" t="n">
        <v>117.4</v>
      </c>
      <c r="AE5" t="n">
        <v>112.2</v>
      </c>
      <c r="AF5" t="n">
        <v>83.1</v>
      </c>
    </row>
    <row r="6">
      <c r="A6" t="s">
        <v>5</v>
      </c>
      <c r="B6" t="s">
        <v>282</v>
      </c>
      <c r="C6" t="s">
        <v>246</v>
      </c>
      <c r="D6" t="s">
        <v>283</v>
      </c>
      <c r="E6" t="s">
        <v>247</v>
      </c>
      <c r="F6" t="n">
        <v>51.8</v>
      </c>
      <c r="G6" t="n">
        <v>31.6</v>
      </c>
      <c r="H6" t="n">
        <v>55.8</v>
      </c>
      <c r="I6" t="n">
        <v>65.4</v>
      </c>
      <c r="J6" t="n">
        <v>45.3</v>
      </c>
      <c r="K6" t="n">
        <v>67.9</v>
      </c>
      <c r="L6" t="n">
        <v>82.7</v>
      </c>
      <c r="M6" t="n">
        <v>48.6</v>
      </c>
      <c r="N6" t="n">
        <v>61</v>
      </c>
      <c r="O6" t="n">
        <v>64.4</v>
      </c>
      <c r="P6" t="n">
        <v>59.5</v>
      </c>
      <c r="Q6" t="n">
        <v>71.1</v>
      </c>
      <c r="R6" t="n">
        <v>94.1</v>
      </c>
      <c r="S6" t="n">
        <v>32.2</v>
      </c>
      <c r="T6" t="n">
        <v>49.9</v>
      </c>
      <c r="U6" t="n">
        <v>63.5</v>
      </c>
      <c r="V6" t="n">
        <v>66</v>
      </c>
      <c r="W6" t="n">
        <v>58.8</v>
      </c>
      <c r="X6" t="n">
        <v>52.8</v>
      </c>
      <c r="Y6" t="n">
        <v>35.5</v>
      </c>
      <c r="Z6" t="n">
        <v>38</v>
      </c>
      <c r="AA6" t="n">
        <v>44.7</v>
      </c>
      <c r="AB6" t="n">
        <v>49.8</v>
      </c>
      <c r="AC6" t="n">
        <v>55.6</v>
      </c>
      <c r="AD6" t="n">
        <v>38.8</v>
      </c>
      <c r="AE6" t="n">
        <v>27.9</v>
      </c>
      <c r="AF6" t="n">
        <v>28.4</v>
      </c>
    </row>
    <row r="7">
      <c r="A7" t="s">
        <v>5</v>
      </c>
      <c r="B7" t="s">
        <v>284</v>
      </c>
      <c r="C7" t="s">
        <v>246</v>
      </c>
      <c r="D7" t="s">
        <v>285</v>
      </c>
      <c r="E7" t="s">
        <v>247</v>
      </c>
      <c r="F7" t="n">
        <v>39.5</v>
      </c>
      <c r="G7" t="n">
        <v>54.7</v>
      </c>
      <c r="H7" t="n">
        <v>41.9</v>
      </c>
      <c r="I7" t="n">
        <v>60</v>
      </c>
      <c r="J7" t="n">
        <v>39.8</v>
      </c>
      <c r="K7" t="n">
        <v>69.5</v>
      </c>
      <c r="L7" t="n">
        <v>78.2</v>
      </c>
      <c r="M7" t="n">
        <v>69.2</v>
      </c>
      <c r="N7" t="n">
        <v>70</v>
      </c>
      <c r="O7" t="n">
        <v>61.1</v>
      </c>
      <c r="P7" t="n">
        <v>80.6</v>
      </c>
      <c r="Q7" t="n">
        <v>62.4</v>
      </c>
      <c r="R7" t="n">
        <v>59.1</v>
      </c>
      <c r="S7" t="n">
        <v>48.5</v>
      </c>
      <c r="T7" t="n">
        <v>41.9</v>
      </c>
      <c r="U7" t="n">
        <v>70.2</v>
      </c>
      <c r="V7" t="n">
        <v>72.9</v>
      </c>
      <c r="W7" t="n">
        <v>40.9</v>
      </c>
      <c r="X7" t="n">
        <v>32.1</v>
      </c>
      <c r="Y7" t="n">
        <v>24.9</v>
      </c>
      <c r="Z7" t="n">
        <v>25.1</v>
      </c>
      <c r="AA7" t="n">
        <v>49.9</v>
      </c>
      <c r="AB7" t="n">
        <v>31.2</v>
      </c>
      <c r="AC7" t="n">
        <v>33.9</v>
      </c>
      <c r="AD7" t="n">
        <v>24.2</v>
      </c>
      <c r="AE7" t="n">
        <v>22.9</v>
      </c>
      <c r="AF7" t="n">
        <v>23.5</v>
      </c>
    </row>
    <row r="8">
      <c r="A8" t="s">
        <v>5</v>
      </c>
      <c r="B8" t="s">
        <v>286</v>
      </c>
      <c r="C8" t="s">
        <v>246</v>
      </c>
      <c r="D8" t="s">
        <v>287</v>
      </c>
      <c r="E8" t="s">
        <v>247</v>
      </c>
      <c r="F8" t="n">
        <v>13.1</v>
      </c>
      <c r="G8" t="n">
        <v>6</v>
      </c>
      <c r="H8" t="n">
        <v>11.4</v>
      </c>
      <c r="I8" t="n">
        <v>10.1</v>
      </c>
      <c r="J8" t="n">
        <v>5.2</v>
      </c>
      <c r="K8" t="n">
        <v>20.5</v>
      </c>
      <c r="L8" t="n">
        <v>19</v>
      </c>
      <c r="M8" t="n">
        <v>8.3</v>
      </c>
      <c r="N8" t="n">
        <v>11.1</v>
      </c>
      <c r="O8" t="n">
        <v>7</v>
      </c>
      <c r="P8" t="n">
        <v>6.3</v>
      </c>
      <c r="Q8" t="n">
        <v>11.7</v>
      </c>
      <c r="R8" t="n">
        <v>10.3</v>
      </c>
      <c r="S8" t="n">
        <v>12.4</v>
      </c>
      <c r="T8" t="n">
        <v>7.3</v>
      </c>
      <c r="U8" t="n">
        <v>12.5</v>
      </c>
      <c r="V8" t="n">
        <v>13</v>
      </c>
      <c r="W8" t="n">
        <v>9.9</v>
      </c>
      <c r="X8" t="n">
        <v>7.1</v>
      </c>
      <c r="Y8" t="n">
        <v>4.6</v>
      </c>
      <c r="Z8" t="n">
        <v>6.7</v>
      </c>
      <c r="AA8" t="n">
        <v>6.5</v>
      </c>
      <c r="AB8" t="n">
        <v>4.9</v>
      </c>
      <c r="AC8" t="n">
        <v>5</v>
      </c>
      <c r="AD8" t="n">
        <v>6.2</v>
      </c>
      <c r="AE8" t="n">
        <v>5</v>
      </c>
      <c r="AF8" t="n">
        <v>3.5</v>
      </c>
    </row>
    <row r="9">
      <c r="A9" t="s">
        <v>5</v>
      </c>
      <c r="B9" t="s">
        <v>288</v>
      </c>
      <c r="C9" t="s">
        <v>246</v>
      </c>
      <c r="D9" t="s">
        <v>289</v>
      </c>
      <c r="E9" t="s">
        <v>247</v>
      </c>
      <c r="F9" t="n">
        <v>17.9</v>
      </c>
      <c r="G9" t="n">
        <v>17.2</v>
      </c>
      <c r="H9" t="n">
        <v>46.5</v>
      </c>
      <c r="I9" t="n">
        <v>36.5</v>
      </c>
      <c r="J9" t="n">
        <v>25</v>
      </c>
      <c r="K9" t="n">
        <v>32.4</v>
      </c>
      <c r="L9" t="n">
        <v>32.6</v>
      </c>
      <c r="M9" t="n">
        <v>25.9</v>
      </c>
      <c r="N9" t="n">
        <v>32.4</v>
      </c>
      <c r="O9" t="n">
        <v>43.1</v>
      </c>
      <c r="P9" t="n">
        <v>28.8</v>
      </c>
      <c r="Q9" t="n">
        <v>54.8</v>
      </c>
      <c r="R9" t="n">
        <v>36.1</v>
      </c>
      <c r="S9" t="n">
        <v>41.8</v>
      </c>
      <c r="T9" t="n">
        <v>16</v>
      </c>
      <c r="U9" t="n">
        <v>37.7</v>
      </c>
      <c r="V9" t="n">
        <v>39.2</v>
      </c>
      <c r="W9" t="n">
        <v>22.2</v>
      </c>
      <c r="X9" t="n">
        <v>21.4</v>
      </c>
      <c r="Y9" t="n">
        <v>29.8</v>
      </c>
      <c r="Z9" t="n">
        <v>19.6</v>
      </c>
      <c r="AA9" t="n">
        <v>23</v>
      </c>
      <c r="AB9" t="n">
        <v>11.2</v>
      </c>
      <c r="AC9" t="n">
        <v>12.6</v>
      </c>
      <c r="AD9" t="n">
        <v>12</v>
      </c>
      <c r="AE9" t="n">
        <v>11.8</v>
      </c>
      <c r="AF9" t="n">
        <v>9.3</v>
      </c>
    </row>
    <row r="10">
      <c r="A10" t="s">
        <v>5</v>
      </c>
      <c r="B10" t="s">
        <v>290</v>
      </c>
      <c r="C10" t="s">
        <v>246</v>
      </c>
      <c r="D10" t="s">
        <v>291</v>
      </c>
      <c r="E10" t="s">
        <v>247</v>
      </c>
      <c r="F10" t="n">
        <v>38</v>
      </c>
      <c r="G10" t="n">
        <v>30.3</v>
      </c>
      <c r="H10" t="n">
        <v>82.7</v>
      </c>
      <c r="I10" t="n">
        <v>46.9</v>
      </c>
      <c r="J10" t="n">
        <v>40</v>
      </c>
      <c r="K10" t="n">
        <v>51.8</v>
      </c>
      <c r="L10" t="n">
        <v>54.6</v>
      </c>
      <c r="M10" t="n">
        <v>41.8</v>
      </c>
      <c r="N10" t="n">
        <v>46.9</v>
      </c>
      <c r="O10" t="n">
        <v>73.5</v>
      </c>
      <c r="P10" t="n">
        <v>40.3</v>
      </c>
      <c r="Q10" t="n">
        <v>78.5</v>
      </c>
      <c r="R10" t="n">
        <v>54.8</v>
      </c>
      <c r="S10" t="n">
        <v>50.4</v>
      </c>
      <c r="T10" t="n">
        <v>24.8</v>
      </c>
      <c r="U10" t="n">
        <v>55.6</v>
      </c>
      <c r="V10" t="n">
        <v>57.8</v>
      </c>
      <c r="W10" t="n">
        <v>39.2</v>
      </c>
      <c r="X10" t="n">
        <v>33.4</v>
      </c>
      <c r="Y10" t="n">
        <v>43.3</v>
      </c>
      <c r="Z10" t="n">
        <v>36.2</v>
      </c>
      <c r="AA10" t="n">
        <v>44.3</v>
      </c>
      <c r="AB10" t="n">
        <v>29.4</v>
      </c>
      <c r="AC10" t="n">
        <v>27.3</v>
      </c>
      <c r="AD10" t="n">
        <v>27.2</v>
      </c>
      <c r="AE10" t="n">
        <v>27.6</v>
      </c>
      <c r="AF10" t="n">
        <v>22.9</v>
      </c>
    </row>
    <row r="11">
      <c r="A11" t="s">
        <v>5</v>
      </c>
      <c r="B11" t="s">
        <v>292</v>
      </c>
      <c r="C11" t="s">
        <v>246</v>
      </c>
      <c r="D11" t="s">
        <v>293</v>
      </c>
      <c r="E11" t="s">
        <v>247</v>
      </c>
      <c r="F11" t="n">
        <v>20.1</v>
      </c>
      <c r="G11" t="n">
        <v>13.1</v>
      </c>
      <c r="H11" t="n">
        <v>36.2</v>
      </c>
      <c r="I11" t="n">
        <v>10.4</v>
      </c>
      <c r="J11" t="n">
        <v>15</v>
      </c>
      <c r="K11" t="n">
        <v>19.4</v>
      </c>
      <c r="L11" t="n">
        <v>22</v>
      </c>
      <c r="M11" t="n">
        <v>15.9</v>
      </c>
      <c r="N11" t="n">
        <v>14.5</v>
      </c>
      <c r="O11" t="n">
        <v>30.4</v>
      </c>
      <c r="P11" t="n">
        <v>11.5</v>
      </c>
      <c r="Q11" t="n">
        <v>23.7</v>
      </c>
      <c r="R11" t="n">
        <v>18.7</v>
      </c>
      <c r="S11" t="n">
        <v>8.6</v>
      </c>
      <c r="T11" t="n">
        <v>8.8</v>
      </c>
      <c r="U11" t="n">
        <v>17.9</v>
      </c>
      <c r="V11" t="n">
        <v>18.6</v>
      </c>
      <c r="W11" t="n">
        <v>17</v>
      </c>
      <c r="X11" t="n">
        <v>12</v>
      </c>
      <c r="Y11" t="n">
        <v>13.5</v>
      </c>
      <c r="Z11" t="n">
        <v>16.6</v>
      </c>
      <c r="AA11" t="n">
        <v>21.3</v>
      </c>
      <c r="AB11" t="n">
        <v>18.2</v>
      </c>
      <c r="AC11" t="n">
        <v>14.7</v>
      </c>
      <c r="AD11" t="n">
        <v>15.2</v>
      </c>
      <c r="AE11" t="n">
        <v>15.8</v>
      </c>
      <c r="AF11" t="n">
        <v>13.6</v>
      </c>
    </row>
    <row r="12">
      <c r="A12" t="s">
        <v>5</v>
      </c>
      <c r="B12" t="s">
        <v>294</v>
      </c>
      <c r="C12" t="s">
        <v>246</v>
      </c>
      <c r="D12" t="s">
        <v>295</v>
      </c>
      <c r="E12" t="s">
        <v>247</v>
      </c>
      <c r="F12" t="n">
        <v>41.5</v>
      </c>
      <c r="G12" t="n">
        <v>32.4</v>
      </c>
      <c r="H12" t="n">
        <v>50.9</v>
      </c>
      <c r="I12" t="n">
        <v>47.8</v>
      </c>
      <c r="J12" t="n">
        <v>47.2</v>
      </c>
      <c r="K12" t="n">
        <v>48.6</v>
      </c>
      <c r="L12" t="n">
        <v>56.5</v>
      </c>
      <c r="M12" t="n">
        <v>38.6</v>
      </c>
      <c r="N12" t="n">
        <v>56.3</v>
      </c>
      <c r="O12" t="n">
        <v>72.4</v>
      </c>
      <c r="P12" t="n">
        <v>52.4</v>
      </c>
      <c r="Q12" t="n">
        <v>54.3</v>
      </c>
      <c r="R12" t="n">
        <v>51.1</v>
      </c>
      <c r="S12" t="n">
        <v>56.1</v>
      </c>
      <c r="T12" t="n">
        <v>27.2</v>
      </c>
      <c r="U12" t="n">
        <v>54.8</v>
      </c>
      <c r="V12" t="n">
        <v>57</v>
      </c>
      <c r="W12" t="n">
        <v>49.5</v>
      </c>
      <c r="X12" t="n">
        <v>40.6</v>
      </c>
      <c r="Y12" t="n">
        <v>32.1</v>
      </c>
      <c r="Z12" t="n">
        <v>32.3</v>
      </c>
      <c r="AA12" t="n">
        <v>36</v>
      </c>
      <c r="AB12" t="n">
        <v>30.9</v>
      </c>
      <c r="AC12" t="n">
        <v>23.4</v>
      </c>
      <c r="AD12" t="n">
        <v>30.1</v>
      </c>
      <c r="AE12" t="n">
        <v>23.3</v>
      </c>
      <c r="AF12" t="n">
        <v>20.6</v>
      </c>
    </row>
    <row r="13">
      <c r="A13" t="s">
        <v>5</v>
      </c>
      <c r="B13" t="s">
        <v>296</v>
      </c>
      <c r="C13" t="s">
        <v>246</v>
      </c>
      <c r="D13" t="s">
        <v>297</v>
      </c>
      <c r="E13" t="s">
        <v>247</v>
      </c>
      <c r="F13" t="n">
        <v>52.5</v>
      </c>
      <c r="G13" t="n">
        <v>52.1</v>
      </c>
      <c r="H13" t="n">
        <v>104.6</v>
      </c>
      <c r="I13" t="n">
        <v>79.3</v>
      </c>
      <c r="J13" t="n">
        <v>74.6</v>
      </c>
      <c r="K13" t="n">
        <v>76.3</v>
      </c>
      <c r="L13" t="n">
        <v>100.4</v>
      </c>
      <c r="M13" t="n">
        <v>73</v>
      </c>
      <c r="N13" t="n">
        <v>77.7</v>
      </c>
      <c r="O13" t="n">
        <v>116.1</v>
      </c>
      <c r="P13" t="n">
        <v>82.8</v>
      </c>
      <c r="Q13" t="n">
        <v>78.8</v>
      </c>
      <c r="R13" t="n">
        <v>75.1</v>
      </c>
      <c r="S13" t="n">
        <v>81.6</v>
      </c>
      <c r="T13" t="n">
        <v>47.9</v>
      </c>
      <c r="U13" t="n">
        <v>92.5</v>
      </c>
      <c r="V13" t="n">
        <v>96</v>
      </c>
      <c r="W13" t="n">
        <v>58.8</v>
      </c>
      <c r="X13" t="n">
        <v>54.7</v>
      </c>
      <c r="Y13" t="n">
        <v>68.2</v>
      </c>
      <c r="Z13" t="n">
        <v>74.2</v>
      </c>
      <c r="AA13" t="n">
        <v>61.5</v>
      </c>
      <c r="AB13" t="n">
        <v>45.1</v>
      </c>
      <c r="AC13" t="n">
        <v>39.9</v>
      </c>
      <c r="AD13" t="n">
        <v>39.7</v>
      </c>
      <c r="AE13" t="n">
        <v>28.8</v>
      </c>
      <c r="AF13" t="n">
        <v>25.4</v>
      </c>
    </row>
    <row r="14">
      <c r="A14" t="s">
        <v>5</v>
      </c>
      <c r="B14" t="s">
        <v>298</v>
      </c>
      <c r="C14" t="s">
        <v>246</v>
      </c>
      <c r="D14" t="s">
        <v>299</v>
      </c>
      <c r="E14" t="s">
        <v>247</v>
      </c>
      <c r="F14" t="n">
        <v>31.2</v>
      </c>
      <c r="G14" t="n">
        <v>29</v>
      </c>
      <c r="H14" t="n">
        <v>27.9</v>
      </c>
      <c r="I14" t="n">
        <v>32.3</v>
      </c>
      <c r="J14" t="n">
        <v>28.8</v>
      </c>
      <c r="K14" t="n">
        <v>18.9</v>
      </c>
      <c r="L14" t="n">
        <v>46.1</v>
      </c>
      <c r="M14" t="n">
        <v>26.5</v>
      </c>
      <c r="N14" t="n">
        <v>31.2</v>
      </c>
      <c r="O14" t="n">
        <v>40.1</v>
      </c>
      <c r="P14" t="n">
        <v>32.8</v>
      </c>
      <c r="Q14" t="n">
        <v>46.9</v>
      </c>
      <c r="R14" t="n">
        <v>47.9</v>
      </c>
      <c r="S14" t="n">
        <v>21.2</v>
      </c>
      <c r="T14" t="n">
        <v>23.2</v>
      </c>
      <c r="U14" t="n">
        <v>37.6</v>
      </c>
      <c r="V14" t="n">
        <v>39.1</v>
      </c>
      <c r="W14" t="n">
        <v>22.5</v>
      </c>
      <c r="X14" t="n">
        <v>19.9</v>
      </c>
      <c r="Y14" t="n">
        <v>13.2</v>
      </c>
      <c r="Z14" t="n">
        <v>13.5</v>
      </c>
      <c r="AA14" t="n">
        <v>19</v>
      </c>
      <c r="AB14" t="n">
        <v>21.9</v>
      </c>
      <c r="AC14" t="n">
        <v>29.5</v>
      </c>
      <c r="AD14" t="n">
        <v>23.2</v>
      </c>
      <c r="AE14" t="n">
        <v>26.9</v>
      </c>
      <c r="AF14" t="n">
        <v>22.1</v>
      </c>
    </row>
    <row r="15">
      <c r="A15" t="s">
        <v>5</v>
      </c>
      <c r="B15" t="s">
        <v>300</v>
      </c>
      <c r="C15" t="s">
        <v>246</v>
      </c>
      <c r="D15" t="s">
        <v>301</v>
      </c>
      <c r="E15" t="s">
        <v>247</v>
      </c>
      <c r="F15" t="n">
        <v>35.9</v>
      </c>
      <c r="G15" t="n">
        <v>52.6</v>
      </c>
      <c r="H15" t="n">
        <v>66.5</v>
      </c>
      <c r="I15" t="n">
        <v>57.8</v>
      </c>
      <c r="J15" t="n">
        <v>41.6</v>
      </c>
      <c r="K15" t="n">
        <v>47.5</v>
      </c>
      <c r="L15" t="n">
        <v>85.8</v>
      </c>
      <c r="M15" t="n">
        <v>44.1</v>
      </c>
      <c r="N15" t="n">
        <v>58.2</v>
      </c>
      <c r="O15" t="n">
        <v>71.4</v>
      </c>
      <c r="P15" t="n">
        <v>65.4</v>
      </c>
      <c r="Q15" t="n">
        <v>72.9</v>
      </c>
      <c r="R15" t="n">
        <v>77.4</v>
      </c>
      <c r="S15" t="n">
        <v>39.7</v>
      </c>
      <c r="T15" t="n">
        <v>48</v>
      </c>
      <c r="U15" t="n">
        <v>67.7</v>
      </c>
      <c r="V15" t="n">
        <v>70.3</v>
      </c>
      <c r="W15" t="n">
        <v>40</v>
      </c>
      <c r="X15" t="n">
        <v>29.6</v>
      </c>
      <c r="Y15" t="n">
        <v>27.1</v>
      </c>
      <c r="Z15" t="n">
        <v>25.5</v>
      </c>
      <c r="AA15" t="n">
        <v>30.9</v>
      </c>
      <c r="AB15" t="n">
        <v>32.1</v>
      </c>
      <c r="AC15" t="n">
        <v>39.2</v>
      </c>
      <c r="AD15" t="n">
        <v>31.9</v>
      </c>
      <c r="AE15" t="n">
        <v>34.8</v>
      </c>
      <c r="AF15" t="n">
        <v>29</v>
      </c>
    </row>
    <row r="16">
      <c r="A16" t="s">
        <v>5</v>
      </c>
      <c r="B16" t="s">
        <v>302</v>
      </c>
      <c r="C16" t="s">
        <v>246</v>
      </c>
      <c r="D16" t="s">
        <v>303</v>
      </c>
      <c r="E16" t="s">
        <v>247</v>
      </c>
      <c r="F16" t="n">
        <v>4.7</v>
      </c>
      <c r="G16" t="n">
        <v>23.6</v>
      </c>
      <c r="H16" t="n">
        <v>38.6</v>
      </c>
      <c r="I16" t="n">
        <v>25.5</v>
      </c>
      <c r="J16" t="n">
        <v>12.8</v>
      </c>
      <c r="K16" t="n">
        <v>28.6</v>
      </c>
      <c r="L16" t="n">
        <v>39.7</v>
      </c>
      <c r="M16" t="n">
        <v>17.6</v>
      </c>
      <c r="N16" t="n">
        <v>27</v>
      </c>
      <c r="O16" t="n">
        <v>31.3</v>
      </c>
      <c r="P16" t="n">
        <v>32.6</v>
      </c>
      <c r="Q16" t="n">
        <v>26</v>
      </c>
      <c r="R16" t="n">
        <v>29.5</v>
      </c>
      <c r="S16" t="n">
        <v>18.5</v>
      </c>
      <c r="T16" t="n">
        <v>24.8</v>
      </c>
      <c r="U16" t="n">
        <v>30.1</v>
      </c>
      <c r="V16" t="n">
        <v>31.2</v>
      </c>
      <c r="W16" t="n">
        <v>17.5</v>
      </c>
      <c r="X16" t="n">
        <v>9.7</v>
      </c>
      <c r="Y16" t="n">
        <v>13.9</v>
      </c>
      <c r="Z16" t="n">
        <v>12</v>
      </c>
      <c r="AA16" t="n">
        <v>11.9</v>
      </c>
      <c r="AB16" t="n">
        <v>10.2</v>
      </c>
      <c r="AC16" t="n">
        <v>9.7</v>
      </c>
      <c r="AD16" t="n">
        <v>8.7</v>
      </c>
      <c r="AE16" t="n">
        <v>7.9</v>
      </c>
      <c r="AF16" t="n">
        <v>6.9</v>
      </c>
    </row>
    <row r="17">
      <c r="A17" t="s">
        <v>5</v>
      </c>
      <c r="B17" t="s">
        <v>304</v>
      </c>
      <c r="C17" t="s">
        <v>246</v>
      </c>
      <c r="D17" t="s">
        <v>305</v>
      </c>
      <c r="E17" t="s">
        <v>247</v>
      </c>
      <c r="F17" t="n">
        <v>45.1</v>
      </c>
      <c r="G17" t="n">
        <v>28</v>
      </c>
      <c r="H17" t="n">
        <v>63.3</v>
      </c>
      <c r="I17" t="n">
        <v>37</v>
      </c>
      <c r="J17" t="n">
        <v>46.1</v>
      </c>
      <c r="K17" t="n">
        <v>69.3</v>
      </c>
      <c r="L17" t="n">
        <v>62.7</v>
      </c>
      <c r="M17" t="n">
        <v>50.7</v>
      </c>
      <c r="N17" t="n">
        <v>47</v>
      </c>
      <c r="O17" t="n">
        <v>70.8</v>
      </c>
      <c r="P17" t="n">
        <v>59.1</v>
      </c>
      <c r="Q17" t="n">
        <v>66</v>
      </c>
      <c r="R17" t="n">
        <v>61.2</v>
      </c>
      <c r="S17" t="n">
        <v>84</v>
      </c>
      <c r="T17" t="n">
        <v>30.9</v>
      </c>
      <c r="U17" t="n">
        <v>65.3</v>
      </c>
      <c r="V17" t="n">
        <v>67.8</v>
      </c>
      <c r="W17" t="n">
        <v>58.3</v>
      </c>
      <c r="X17" t="n">
        <v>52.7</v>
      </c>
      <c r="Y17" t="n">
        <v>54.2</v>
      </c>
      <c r="Z17" t="n">
        <v>50.5</v>
      </c>
      <c r="AA17" t="n">
        <v>113.8</v>
      </c>
      <c r="AB17" t="n">
        <v>87.6</v>
      </c>
      <c r="AC17" t="n">
        <v>108.4</v>
      </c>
      <c r="AD17" t="n">
        <v>65.6</v>
      </c>
      <c r="AE17" t="n">
        <v>61.8</v>
      </c>
      <c r="AF17" t="n">
        <v>58.5</v>
      </c>
    </row>
    <row r="18">
      <c r="A18" t="s">
        <v>5</v>
      </c>
      <c r="B18" t="s">
        <v>306</v>
      </c>
      <c r="C18" t="s">
        <v>246</v>
      </c>
      <c r="D18" t="s">
        <v>307</v>
      </c>
      <c r="E18" t="s">
        <v>247</v>
      </c>
      <c r="F18" t="n">
        <v>65.1</v>
      </c>
      <c r="G18" t="n">
        <v>24.7</v>
      </c>
      <c r="H18" t="n">
        <v>75.6</v>
      </c>
      <c r="I18" t="n">
        <v>35.6</v>
      </c>
      <c r="J18" t="n">
        <v>36</v>
      </c>
      <c r="K18" t="n">
        <v>61</v>
      </c>
      <c r="L18" t="n">
        <v>56.1</v>
      </c>
      <c r="M18" t="n">
        <v>42</v>
      </c>
      <c r="N18" t="n">
        <v>45.9</v>
      </c>
      <c r="O18" t="n">
        <v>49.7</v>
      </c>
      <c r="P18" t="n">
        <v>48.5</v>
      </c>
      <c r="Q18" t="n">
        <v>68.3</v>
      </c>
      <c r="R18" t="n">
        <v>46.5</v>
      </c>
      <c r="S18" t="n">
        <v>57.7</v>
      </c>
      <c r="T18" t="n">
        <v>57.8</v>
      </c>
      <c r="U18" t="n">
        <v>57.4</v>
      </c>
      <c r="V18" t="n">
        <v>59.6</v>
      </c>
      <c r="W18" t="n">
        <v>60.4</v>
      </c>
      <c r="X18" t="n">
        <v>58.1</v>
      </c>
      <c r="Y18" t="n">
        <v>43.7</v>
      </c>
      <c r="Z18" t="n">
        <v>41.8</v>
      </c>
      <c r="AA18" t="n">
        <v>49.6</v>
      </c>
      <c r="AB18" t="n">
        <v>24.2</v>
      </c>
      <c r="AC18" t="n">
        <v>33.4</v>
      </c>
      <c r="AD18" t="n">
        <v>28.8</v>
      </c>
      <c r="AE18" t="n">
        <v>28.5</v>
      </c>
      <c r="AF18" t="n">
        <v>24.5</v>
      </c>
    </row>
    <row r="19">
      <c r="A19" t="s">
        <v>5</v>
      </c>
      <c r="B19" t="s">
        <v>308</v>
      </c>
      <c r="C19" t="s">
        <v>246</v>
      </c>
      <c r="D19" t="s">
        <v>309</v>
      </c>
      <c r="E19" t="s">
        <v>247</v>
      </c>
      <c r="F19" t="n">
        <v>52.4</v>
      </c>
      <c r="G19" t="n">
        <v>34.4</v>
      </c>
      <c r="H19" t="n">
        <v>58.3</v>
      </c>
      <c r="I19" t="n">
        <v>63.3</v>
      </c>
      <c r="J19" t="n">
        <v>29.5</v>
      </c>
      <c r="K19" t="n">
        <v>47.5</v>
      </c>
      <c r="L19" t="n">
        <v>48.6</v>
      </c>
      <c r="M19" t="n">
        <v>41.1</v>
      </c>
      <c r="N19" t="n">
        <v>51.2</v>
      </c>
      <c r="O19" t="n">
        <v>56.3</v>
      </c>
      <c r="P19" t="n">
        <v>45.4</v>
      </c>
      <c r="Q19" t="n">
        <v>52.3</v>
      </c>
      <c r="R19" t="n">
        <v>51.5</v>
      </c>
      <c r="S19" t="n">
        <v>46</v>
      </c>
      <c r="T19" t="n">
        <v>30.3</v>
      </c>
      <c r="U19" t="n">
        <v>53.6</v>
      </c>
      <c r="V19" t="n">
        <v>55.7</v>
      </c>
      <c r="W19" t="n">
        <v>44.6</v>
      </c>
      <c r="X19" t="n">
        <v>29.9</v>
      </c>
      <c r="Y19" t="n">
        <v>29.9</v>
      </c>
      <c r="Z19" t="n">
        <v>34.3</v>
      </c>
      <c r="AA19" t="n">
        <v>30.8</v>
      </c>
      <c r="AB19" t="n">
        <v>33.7</v>
      </c>
      <c r="AC19" t="n">
        <v>29</v>
      </c>
      <c r="AD19" t="n">
        <v>41.5</v>
      </c>
      <c r="AE19" t="n">
        <v>31.2</v>
      </c>
      <c r="AF19" t="n">
        <v>33.4</v>
      </c>
    </row>
    <row r="20">
      <c r="A20" t="s">
        <v>5</v>
      </c>
      <c r="B20" t="s">
        <v>310</v>
      </c>
      <c r="C20" t="s">
        <v>246</v>
      </c>
      <c r="D20" t="s">
        <v>311</v>
      </c>
      <c r="E20" t="s">
        <v>247</v>
      </c>
      <c r="F20" t="n">
        <v>63.9</v>
      </c>
      <c r="G20" t="n">
        <v>92.6</v>
      </c>
      <c r="H20" t="n">
        <v>67.4</v>
      </c>
      <c r="I20" t="n">
        <v>76</v>
      </c>
      <c r="J20" t="n">
        <v>61.9</v>
      </c>
      <c r="K20" t="n">
        <v>99.5</v>
      </c>
      <c r="L20" t="n">
        <v>160.3</v>
      </c>
      <c r="M20" t="n">
        <v>63</v>
      </c>
      <c r="N20" t="n">
        <v>170.6</v>
      </c>
      <c r="O20" t="n">
        <v>138.7</v>
      </c>
      <c r="P20" t="n">
        <v>96.4</v>
      </c>
      <c r="Q20" t="n">
        <v>72.4</v>
      </c>
      <c r="R20" t="n">
        <v>60.9</v>
      </c>
      <c r="S20" t="n">
        <v>145.8</v>
      </c>
      <c r="T20" t="n">
        <v>72.4</v>
      </c>
      <c r="U20" t="n">
        <v>115</v>
      </c>
      <c r="V20" t="n">
        <v>119.4</v>
      </c>
      <c r="W20" t="n">
        <v>82.5</v>
      </c>
      <c r="X20" t="n">
        <v>96.7</v>
      </c>
      <c r="Y20" t="n">
        <v>72.6</v>
      </c>
      <c r="Z20" t="n">
        <v>57.9</v>
      </c>
      <c r="AA20" t="n">
        <v>108.6</v>
      </c>
      <c r="AB20" t="n">
        <v>66.4</v>
      </c>
      <c r="AC20" t="n">
        <v>67.7</v>
      </c>
      <c r="AD20" t="n">
        <v>78.5</v>
      </c>
      <c r="AE20" t="n">
        <v>81.9</v>
      </c>
      <c r="AF20" t="n">
        <v>96.8</v>
      </c>
    </row>
    <row r="21">
      <c r="A21" t="s">
        <v>5</v>
      </c>
      <c r="B21" t="s">
        <v>312</v>
      </c>
      <c r="C21" t="s">
        <v>246</v>
      </c>
      <c r="D21" t="s">
        <v>313</v>
      </c>
      <c r="E21" t="s">
        <v>247</v>
      </c>
      <c r="F21" t="n">
        <v>89.2</v>
      </c>
      <c r="G21" t="n">
        <v>121.4</v>
      </c>
      <c r="H21" t="n">
        <v>102.3</v>
      </c>
      <c r="I21" t="n">
        <v>108.8</v>
      </c>
      <c r="J21" t="n">
        <v>100.8</v>
      </c>
      <c r="K21" t="n">
        <v>138.6</v>
      </c>
      <c r="L21" t="n">
        <v>201</v>
      </c>
      <c r="M21" t="n">
        <v>94.7</v>
      </c>
      <c r="N21" t="n">
        <v>216.9</v>
      </c>
      <c r="O21" t="n">
        <v>197.7</v>
      </c>
      <c r="P21" t="n">
        <v>128.8</v>
      </c>
      <c r="Q21" t="n">
        <v>130.5</v>
      </c>
      <c r="R21" t="n">
        <v>121.8</v>
      </c>
      <c r="S21" t="n">
        <v>181</v>
      </c>
      <c r="T21" t="n">
        <v>106.9</v>
      </c>
      <c r="U21" t="n">
        <v>163.4</v>
      </c>
      <c r="V21" t="n">
        <v>169.5</v>
      </c>
      <c r="W21" t="n">
        <v>149.5</v>
      </c>
      <c r="X21" t="n">
        <v>128.6</v>
      </c>
      <c r="Y21" t="n">
        <v>107.6</v>
      </c>
      <c r="Z21" t="n">
        <v>95.5</v>
      </c>
      <c r="AA21" t="n">
        <v>153.6</v>
      </c>
      <c r="AB21" t="n">
        <v>101.4</v>
      </c>
      <c r="AC21" t="n">
        <v>108.1</v>
      </c>
      <c r="AD21" t="n">
        <v>128</v>
      </c>
      <c r="AE21" t="n">
        <v>133.3</v>
      </c>
      <c r="AF21" t="n">
        <v>138.3</v>
      </c>
    </row>
    <row r="22">
      <c r="A22" t="s">
        <v>5</v>
      </c>
      <c r="B22" t="s">
        <v>314</v>
      </c>
      <c r="C22" t="s">
        <v>246</v>
      </c>
      <c r="D22" t="s">
        <v>315</v>
      </c>
      <c r="E22" t="s">
        <v>247</v>
      </c>
      <c r="F22" t="n">
        <v>25.3</v>
      </c>
      <c r="G22" t="n">
        <v>28.8</v>
      </c>
      <c r="H22" t="n">
        <v>34.9</v>
      </c>
      <c r="I22" t="n">
        <v>32.8</v>
      </c>
      <c r="J22" t="n">
        <v>38.9</v>
      </c>
      <c r="K22" t="n">
        <v>39.1</v>
      </c>
      <c r="L22" t="n">
        <v>40.7</v>
      </c>
      <c r="M22" t="n">
        <v>31.7</v>
      </c>
      <c r="N22" t="n">
        <v>46.3</v>
      </c>
      <c r="O22" t="n">
        <v>59</v>
      </c>
      <c r="P22" t="n">
        <v>32.4</v>
      </c>
      <c r="Q22" t="n">
        <v>58.1</v>
      </c>
      <c r="R22" t="n">
        <v>60.9</v>
      </c>
      <c r="S22" t="n">
        <v>35.2</v>
      </c>
      <c r="T22" t="n">
        <v>34.5</v>
      </c>
      <c r="U22" t="n">
        <v>48.4</v>
      </c>
      <c r="V22" t="n">
        <v>50.1</v>
      </c>
      <c r="W22" t="n">
        <v>67</v>
      </c>
      <c r="X22" t="n">
        <v>31.9</v>
      </c>
      <c r="Y22" t="n">
        <v>35</v>
      </c>
      <c r="Z22" t="n">
        <v>37.6</v>
      </c>
      <c r="AA22" t="n">
        <v>45</v>
      </c>
      <c r="AB22" t="n">
        <v>35</v>
      </c>
      <c r="AC22" t="n">
        <v>40.4</v>
      </c>
      <c r="AD22" t="n">
        <v>49.5</v>
      </c>
      <c r="AE22" t="n">
        <v>51.4</v>
      </c>
      <c r="AF22" t="n">
        <v>41.5</v>
      </c>
    </row>
    <row r="23">
      <c r="A23" t="s">
        <v>5</v>
      </c>
      <c r="B23" t="s">
        <v>316</v>
      </c>
      <c r="C23" t="s">
        <v>246</v>
      </c>
      <c r="D23" t="s">
        <v>317</v>
      </c>
      <c r="E23" t="s">
        <v>247</v>
      </c>
      <c r="F23" t="n">
        <v>167.3</v>
      </c>
      <c r="G23" t="n">
        <v>87.4</v>
      </c>
      <c r="H23" t="n">
        <v>176.3</v>
      </c>
      <c r="I23" t="n">
        <v>146.4</v>
      </c>
      <c r="J23" t="n">
        <v>80.9</v>
      </c>
      <c r="K23" t="n">
        <v>119.9</v>
      </c>
      <c r="L23" t="n">
        <v>166.3</v>
      </c>
      <c r="M23" t="n">
        <v>111.8</v>
      </c>
      <c r="N23" t="n">
        <v>174.5</v>
      </c>
      <c r="O23" t="n">
        <v>130</v>
      </c>
      <c r="P23" t="n">
        <v>120</v>
      </c>
      <c r="Q23" t="n">
        <v>139.5</v>
      </c>
      <c r="R23" t="n">
        <v>146</v>
      </c>
      <c r="S23" t="n">
        <v>123.5</v>
      </c>
      <c r="T23" t="n">
        <v>90.7</v>
      </c>
      <c r="U23" t="n">
        <v>154.1</v>
      </c>
      <c r="V23" t="n">
        <v>160.1</v>
      </c>
      <c r="W23" t="n">
        <v>99.5</v>
      </c>
      <c r="X23" t="n">
        <v>70.4</v>
      </c>
      <c r="Y23" t="n">
        <v>90.7</v>
      </c>
      <c r="Z23" t="n">
        <v>187.4</v>
      </c>
      <c r="AA23" t="n">
        <v>218.1</v>
      </c>
      <c r="AB23" t="n">
        <v>192.5</v>
      </c>
      <c r="AC23" t="n">
        <v>189</v>
      </c>
      <c r="AD23" t="n">
        <v>139.9</v>
      </c>
      <c r="AE23" t="n">
        <v>112.8</v>
      </c>
      <c r="AF23" t="n">
        <v>122.3</v>
      </c>
    </row>
    <row r="24">
      <c r="A24" t="s">
        <v>5</v>
      </c>
      <c r="B24" t="s">
        <v>318</v>
      </c>
      <c r="C24" t="s">
        <v>246</v>
      </c>
      <c r="D24" t="s">
        <v>319</v>
      </c>
      <c r="E24" t="s">
        <v>247</v>
      </c>
      <c r="F24" t="n">
        <v>428.2</v>
      </c>
      <c r="G24" t="n">
        <v>329.2</v>
      </c>
      <c r="H24" t="n">
        <v>697.4</v>
      </c>
      <c r="I24" t="n">
        <v>541.7</v>
      </c>
      <c r="J24" t="n">
        <v>429.2</v>
      </c>
      <c r="K24" t="n">
        <v>537.2</v>
      </c>
      <c r="L24" t="n">
        <v>512.8</v>
      </c>
      <c r="M24" t="n">
        <v>433.8</v>
      </c>
      <c r="N24" t="n">
        <v>680.2</v>
      </c>
      <c r="O24" t="n">
        <v>590.2</v>
      </c>
      <c r="P24" t="n">
        <v>578</v>
      </c>
      <c r="Q24" t="n">
        <v>603.7</v>
      </c>
      <c r="R24" t="n">
        <v>621.1</v>
      </c>
      <c r="S24" t="n">
        <v>539.7</v>
      </c>
      <c r="T24" t="n">
        <v>282.6</v>
      </c>
      <c r="U24" t="n">
        <v>614.1</v>
      </c>
      <c r="V24" t="n">
        <v>638</v>
      </c>
      <c r="W24" t="n">
        <v>456.2</v>
      </c>
      <c r="X24" t="n">
        <v>319</v>
      </c>
      <c r="Y24" t="n">
        <v>271.8</v>
      </c>
      <c r="Z24" t="n">
        <v>299.5</v>
      </c>
      <c r="AA24" t="n">
        <v>355.9</v>
      </c>
      <c r="AB24" t="n">
        <v>310.7</v>
      </c>
      <c r="AC24" t="n">
        <v>336.2</v>
      </c>
      <c r="AD24" t="n">
        <v>299.5</v>
      </c>
      <c r="AE24" t="n">
        <v>252.5</v>
      </c>
      <c r="AF24" t="n">
        <v>192.4</v>
      </c>
    </row>
    <row r="25">
      <c r="A25" t="s">
        <v>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</v>
      </c>
      <c r="B28" t="s">
        <v>326</v>
      </c>
      <c r="C28" t="s">
        <v>246</v>
      </c>
      <c r="D28" t="s">
        <v>327</v>
      </c>
      <c r="E28" t="s">
        <v>247</v>
      </c>
      <c r="F28" t="n">
        <v>293.8</v>
      </c>
      <c r="G28" t="n">
        <v>339.4</v>
      </c>
      <c r="H28" t="n">
        <v>464.5</v>
      </c>
      <c r="I28" t="n">
        <v>468</v>
      </c>
      <c r="J28" t="n">
        <v>456.8</v>
      </c>
      <c r="K28" t="n">
        <v>391.7</v>
      </c>
      <c r="L28" t="n">
        <v>415.3</v>
      </c>
      <c r="M28" t="n">
        <v>594.8</v>
      </c>
      <c r="N28" t="n">
        <v>340.3</v>
      </c>
      <c r="O28" t="n">
        <v>387.2</v>
      </c>
      <c r="P28" t="n">
        <v>553.7</v>
      </c>
      <c r="Q28" t="n">
        <v>711.8</v>
      </c>
      <c r="R28" t="n">
        <v>778.1</v>
      </c>
      <c r="S28" t="n">
        <v>570.7</v>
      </c>
      <c r="T28" t="n">
        <v>306.8</v>
      </c>
      <c r="U28" t="n">
        <v>529.5</v>
      </c>
      <c r="V28" t="n">
        <v>545.5</v>
      </c>
      <c r="W28" t="n">
        <v>261.3</v>
      </c>
      <c r="X28" t="n">
        <v>219</v>
      </c>
      <c r="Y28" t="n">
        <v>296.8</v>
      </c>
      <c r="Z28" t="n">
        <v>370.1</v>
      </c>
      <c r="AA28" t="n">
        <v>292.7</v>
      </c>
      <c r="AB28" t="n">
        <v>251.4</v>
      </c>
      <c r="AC28" t="n">
        <v>330.3</v>
      </c>
      <c r="AD28" t="n">
        <v>534.1</v>
      </c>
      <c r="AE28" t="n">
        <v>523.3</v>
      </c>
      <c r="AF28" t="n">
        <v>666.6</v>
      </c>
    </row>
    <row r="29">
      <c r="A29" t="s">
        <v>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</v>
      </c>
      <c r="B34" t="s">
        <v>338</v>
      </c>
      <c r="C34" t="s">
        <v>246</v>
      </c>
      <c r="D34" t="s">
        <v>339</v>
      </c>
      <c r="E34" t="s">
        <v>247</v>
      </c>
      <c r="F34" t="n">
        <v>752.6</v>
      </c>
      <c r="G34" t="n">
        <v>1078.6</v>
      </c>
      <c r="H34" t="n">
        <v>411.5</v>
      </c>
      <c r="I34" t="n">
        <v>813.7</v>
      </c>
      <c r="J34" t="n">
        <v>751</v>
      </c>
      <c r="K34" t="n">
        <v>1115.8</v>
      </c>
      <c r="L34" t="n">
        <v>1542.3</v>
      </c>
      <c r="M34" t="n">
        <v>621.5</v>
      </c>
      <c r="N34" t="n">
        <v>890.2</v>
      </c>
      <c r="O34" t="n">
        <v>1324.9</v>
      </c>
      <c r="P34" t="n">
        <v>1140.8</v>
      </c>
      <c r="Q34" t="n">
        <v>945.8</v>
      </c>
      <c r="R34" t="n">
        <v>986.7</v>
      </c>
      <c r="S34" t="n">
        <v>653.6</v>
      </c>
      <c r="T34" t="n">
        <v>891.9</v>
      </c>
      <c r="U34" t="n">
        <v>1082.4</v>
      </c>
      <c r="V34" t="n">
        <v>1124</v>
      </c>
      <c r="W34" t="n">
        <v>639.7</v>
      </c>
      <c r="X34" t="n">
        <v>389.5</v>
      </c>
      <c r="Y34" t="n">
        <v>311.1</v>
      </c>
      <c r="Z34" t="n">
        <v>388.1</v>
      </c>
      <c r="AA34" t="n">
        <v>387.2</v>
      </c>
      <c r="AB34" t="n">
        <v>373.9</v>
      </c>
      <c r="AC34" t="n">
        <v>424.2</v>
      </c>
      <c r="AD34" t="n">
        <v>387.5</v>
      </c>
      <c r="AE34" t="n">
        <v>340.3</v>
      </c>
      <c r="AF34" t="n">
        <v>306.8</v>
      </c>
    </row>
    <row r="35">
      <c r="A35" t="s">
        <v>5</v>
      </c>
      <c r="B35" t="s">
        <v>340</v>
      </c>
      <c r="C35" t="s">
        <v>246</v>
      </c>
      <c r="D35" t="s">
        <v>341</v>
      </c>
      <c r="E35" t="s">
        <v>247</v>
      </c>
      <c r="F35" t="n">
        <v>1740.5</v>
      </c>
      <c r="G35" t="n">
        <v>2006.1</v>
      </c>
      <c r="H35" t="n">
        <v>2849.6</v>
      </c>
      <c r="I35" t="n">
        <v>2600.7</v>
      </c>
      <c r="J35" t="n">
        <v>2730.5</v>
      </c>
      <c r="K35" t="n">
        <v>3021.3</v>
      </c>
      <c r="L35" t="n">
        <v>2346.4</v>
      </c>
      <c r="M35" t="n">
        <v>3534</v>
      </c>
      <c r="N35" t="n">
        <v>2498.5</v>
      </c>
      <c r="O35" t="n">
        <v>2820.3</v>
      </c>
      <c r="P35" t="n">
        <v>3387.1</v>
      </c>
      <c r="Q35" t="n">
        <v>2441.9</v>
      </c>
      <c r="R35" t="n">
        <v>2574.9</v>
      </c>
      <c r="S35" t="n">
        <v>2912.2</v>
      </c>
      <c r="T35" t="n">
        <v>2317.9</v>
      </c>
      <c r="U35" t="n">
        <v>3253.2</v>
      </c>
      <c r="V35" t="n">
        <v>3368.7</v>
      </c>
      <c r="W35" t="n">
        <v>4191.2</v>
      </c>
      <c r="X35" t="n">
        <v>4324.8</v>
      </c>
      <c r="Y35" t="n">
        <v>3869.7</v>
      </c>
      <c r="Z35" t="n">
        <v>4527.4</v>
      </c>
      <c r="AA35" t="n">
        <v>3495.8</v>
      </c>
      <c r="AB35" t="n">
        <v>4949.7</v>
      </c>
      <c r="AC35" t="n">
        <v>4909.8</v>
      </c>
      <c r="AD35" t="n">
        <v>4345.2</v>
      </c>
      <c r="AE35" t="n">
        <v>4238.2</v>
      </c>
      <c r="AF35" t="n">
        <v>4179.5</v>
      </c>
    </row>
    <row r="36">
      <c r="A36" t="s">
        <v>5</v>
      </c>
      <c r="B36" t="s">
        <v>342</v>
      </c>
      <c r="C36" t="s">
        <v>246</v>
      </c>
      <c r="D36" t="s">
        <v>343</v>
      </c>
      <c r="E36" t="s">
        <v>247</v>
      </c>
      <c r="F36" t="n">
        <v>299</v>
      </c>
      <c r="G36" t="n">
        <v>412.1</v>
      </c>
      <c r="H36" t="n">
        <v>579.1</v>
      </c>
      <c r="I36" t="n">
        <v>407.1</v>
      </c>
      <c r="J36" t="n">
        <v>624.7</v>
      </c>
      <c r="K36" t="n">
        <v>593.2</v>
      </c>
      <c r="L36" t="n">
        <v>580.2</v>
      </c>
      <c r="M36" t="n">
        <v>1016.4</v>
      </c>
      <c r="N36" t="n">
        <v>555.1</v>
      </c>
      <c r="O36" t="n">
        <v>618.6</v>
      </c>
      <c r="P36" t="n">
        <v>815.1</v>
      </c>
      <c r="Q36" t="n">
        <v>478.4</v>
      </c>
      <c r="R36" t="n">
        <v>462.9</v>
      </c>
      <c r="S36" t="n">
        <v>686.5</v>
      </c>
      <c r="T36" t="n">
        <v>319</v>
      </c>
      <c r="U36" t="n">
        <v>715.1</v>
      </c>
      <c r="V36" t="n">
        <v>742.5</v>
      </c>
      <c r="W36" t="n">
        <v>826.3</v>
      </c>
      <c r="X36" t="n">
        <v>517.5</v>
      </c>
      <c r="Y36" t="n">
        <v>402.9</v>
      </c>
      <c r="Z36" t="n">
        <v>350</v>
      </c>
      <c r="AA36" t="n">
        <v>249.3</v>
      </c>
      <c r="AB36" t="n">
        <v>195.1</v>
      </c>
      <c r="AC36" t="n">
        <v>276.4</v>
      </c>
      <c r="AD36" t="n">
        <v>358.3</v>
      </c>
      <c r="AE36" t="n">
        <v>312.5</v>
      </c>
      <c r="AF36" t="n">
        <v>292.4</v>
      </c>
    </row>
    <row r="37">
      <c r="A37" t="s">
        <v>5</v>
      </c>
      <c r="B37" t="s">
        <v>344</v>
      </c>
      <c r="C37" t="s">
        <v>246</v>
      </c>
      <c r="D37" t="s">
        <v>345</v>
      </c>
      <c r="E37" t="s">
        <v>247</v>
      </c>
      <c r="F37" t="n">
        <v>1221.9</v>
      </c>
      <c r="G37" t="n">
        <v>1401.5</v>
      </c>
      <c r="H37" t="n">
        <v>1951.5</v>
      </c>
      <c r="I37" t="n">
        <v>1969.5</v>
      </c>
      <c r="J37" t="n">
        <v>1900.4</v>
      </c>
      <c r="K37" t="n">
        <v>2218.6</v>
      </c>
      <c r="L37" t="n">
        <v>1559.4</v>
      </c>
      <c r="M37" t="n">
        <v>2382.4</v>
      </c>
      <c r="N37" t="n">
        <v>1274.6</v>
      </c>
      <c r="O37" t="n">
        <v>1863.7</v>
      </c>
      <c r="P37" t="n">
        <v>2169.4</v>
      </c>
      <c r="Q37" t="n">
        <v>1670.5</v>
      </c>
      <c r="R37" t="n">
        <v>1780.9</v>
      </c>
      <c r="S37" t="n">
        <v>2018</v>
      </c>
      <c r="T37" t="n">
        <v>1697.1</v>
      </c>
      <c r="U37" t="n">
        <v>2182.2</v>
      </c>
      <c r="V37" t="n">
        <v>2266.2</v>
      </c>
      <c r="W37" t="n">
        <v>3051.8</v>
      </c>
      <c r="X37" t="n">
        <v>3544.1</v>
      </c>
      <c r="Y37" t="n">
        <v>3192.6</v>
      </c>
      <c r="Z37" t="n">
        <v>3656.1</v>
      </c>
      <c r="AA37" t="n">
        <v>2756.9</v>
      </c>
      <c r="AB37" t="n">
        <v>4388</v>
      </c>
      <c r="AC37" t="n">
        <v>4337.3</v>
      </c>
      <c r="AD37" t="n">
        <v>3649.9</v>
      </c>
      <c r="AE37" t="n">
        <v>3558.7</v>
      </c>
      <c r="AF37" t="n">
        <v>3591.4</v>
      </c>
    </row>
    <row r="38">
      <c r="A38" t="s">
        <v>5</v>
      </c>
      <c r="B38" t="s">
        <v>346</v>
      </c>
      <c r="C38" t="s">
        <v>246</v>
      </c>
      <c r="D38" t="s">
        <v>347</v>
      </c>
      <c r="E38" t="s">
        <v>247</v>
      </c>
      <c r="F38" t="n">
        <v>219.6</v>
      </c>
      <c r="G38" t="n">
        <v>192.5</v>
      </c>
      <c r="H38" t="n">
        <v>319</v>
      </c>
      <c r="I38" t="n">
        <v>224.1</v>
      </c>
      <c r="J38" t="n">
        <v>205.4</v>
      </c>
      <c r="K38" t="n">
        <v>209.5</v>
      </c>
      <c r="L38" t="n">
        <v>206.8</v>
      </c>
      <c r="M38" t="n">
        <v>135.2</v>
      </c>
      <c r="N38" t="n">
        <v>668.8</v>
      </c>
      <c r="O38" t="n">
        <v>338</v>
      </c>
      <c r="P38" t="n">
        <v>402.6</v>
      </c>
      <c r="Q38" t="n">
        <v>293</v>
      </c>
      <c r="R38" t="n">
        <v>331.1</v>
      </c>
      <c r="S38" t="n">
        <v>207.7</v>
      </c>
      <c r="T38" t="n">
        <v>301.8</v>
      </c>
      <c r="U38" t="n">
        <v>355.9</v>
      </c>
      <c r="V38" t="n">
        <v>360</v>
      </c>
      <c r="W38" t="n">
        <v>313.1</v>
      </c>
      <c r="X38" t="n">
        <v>263.2</v>
      </c>
      <c r="Y38" t="n">
        <v>274.2</v>
      </c>
      <c r="Z38" t="n">
        <v>521.3</v>
      </c>
      <c r="AA38" t="n">
        <v>489.6</v>
      </c>
      <c r="AB38" t="n">
        <v>366.6</v>
      </c>
      <c r="AC38" t="n">
        <v>296.1</v>
      </c>
      <c r="AD38" t="n">
        <v>337</v>
      </c>
      <c r="AE38" t="n">
        <v>367</v>
      </c>
      <c r="AF38" t="n">
        <v>295.7</v>
      </c>
    </row>
    <row r="39">
      <c r="A39" t="s">
        <v>5</v>
      </c>
      <c r="B39" t="s">
        <v>348</v>
      </c>
      <c r="C39" t="s">
        <v>246</v>
      </c>
      <c r="D39" t="s">
        <v>349</v>
      </c>
      <c r="E39" t="s">
        <v>247</v>
      </c>
      <c r="F39" t="n">
        <v>234.2</v>
      </c>
      <c r="G39" t="n">
        <v>232.6</v>
      </c>
      <c r="H39" t="n">
        <v>287.9</v>
      </c>
      <c r="I39" t="n">
        <v>253</v>
      </c>
      <c r="J39" t="n">
        <v>243.6</v>
      </c>
      <c r="K39" t="n">
        <v>191.4</v>
      </c>
      <c r="L39" t="n">
        <v>188.1</v>
      </c>
      <c r="M39" t="n">
        <v>284</v>
      </c>
      <c r="N39" t="n">
        <v>219</v>
      </c>
      <c r="O39" t="n">
        <v>301.4</v>
      </c>
      <c r="P39" t="n">
        <v>230.7</v>
      </c>
      <c r="Q39" t="n">
        <v>197.7</v>
      </c>
      <c r="R39" t="n">
        <v>251.2</v>
      </c>
      <c r="S39" t="n">
        <v>315.5</v>
      </c>
      <c r="T39" t="n">
        <v>634.7</v>
      </c>
      <c r="U39" t="n">
        <v>152.1</v>
      </c>
      <c r="V39" t="n">
        <v>313.5</v>
      </c>
      <c r="W39" t="n">
        <v>306.4</v>
      </c>
      <c r="X39" t="n">
        <v>305</v>
      </c>
      <c r="Y39" t="n">
        <v>263</v>
      </c>
      <c r="Z39" t="n">
        <v>287.9</v>
      </c>
      <c r="AA39" t="n">
        <v>381.5</v>
      </c>
      <c r="AB39" t="n">
        <v>413</v>
      </c>
      <c r="AC39" t="n">
        <v>350.3</v>
      </c>
      <c r="AD39" t="n">
        <v>572.8</v>
      </c>
      <c r="AE39" t="n">
        <v>516.3</v>
      </c>
      <c r="AF39" t="n">
        <v>575.7</v>
      </c>
    </row>
    <row r="40">
      <c r="A40" t="s">
        <v>5</v>
      </c>
      <c r="B40" t="s">
        <v>350</v>
      </c>
      <c r="C40" t="s">
        <v>246</v>
      </c>
      <c r="D40" t="s">
        <v>351</v>
      </c>
      <c r="E40" t="s">
        <v>247</v>
      </c>
      <c r="F40" t="n">
        <v>40.3</v>
      </c>
      <c r="G40" t="n">
        <v>44.2</v>
      </c>
      <c r="H40" t="n">
        <v>59</v>
      </c>
      <c r="I40" t="n">
        <v>55.5</v>
      </c>
      <c r="J40" t="n">
        <v>55.5</v>
      </c>
      <c r="K40" t="n">
        <v>47.6</v>
      </c>
      <c r="L40" t="n">
        <v>61.9</v>
      </c>
      <c r="M40" t="n">
        <v>44.7</v>
      </c>
      <c r="N40" t="n">
        <v>80.4</v>
      </c>
      <c r="O40" t="n">
        <v>69.9</v>
      </c>
      <c r="P40" t="n">
        <v>348.1</v>
      </c>
      <c r="Q40" t="n">
        <v>43.8</v>
      </c>
      <c r="R40" t="n">
        <v>18.3</v>
      </c>
      <c r="S40" t="n">
        <v>45.4</v>
      </c>
      <c r="T40" t="n">
        <v>46.7</v>
      </c>
      <c r="U40" t="n">
        <v>89.7</v>
      </c>
      <c r="V40" t="n">
        <v>74.3</v>
      </c>
      <c r="W40" t="n">
        <v>125.6</v>
      </c>
      <c r="X40" t="n">
        <v>62.8</v>
      </c>
      <c r="Y40" t="n">
        <v>70.2</v>
      </c>
      <c r="Z40" t="n">
        <v>43.9</v>
      </c>
      <c r="AA40" t="n">
        <v>156</v>
      </c>
      <c r="AB40" t="n">
        <v>64.9</v>
      </c>
      <c r="AC40" t="n">
        <v>92.3</v>
      </c>
      <c r="AD40" t="n">
        <v>150.7</v>
      </c>
      <c r="AE40" t="n">
        <v>108</v>
      </c>
      <c r="AF40" t="n">
        <v>138.3</v>
      </c>
    </row>
    <row r="41">
      <c r="A41" t="s">
        <v>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5</v>
      </c>
      <c r="B42" t="s">
        <v>354</v>
      </c>
      <c r="C42" t="s">
        <v>246</v>
      </c>
      <c r="D42" t="s">
        <v>355</v>
      </c>
      <c r="E42" t="s">
        <v>247</v>
      </c>
      <c r="F42" t="n">
        <v>214.3</v>
      </c>
      <c r="G42" t="n">
        <v>220.8</v>
      </c>
      <c r="H42" t="n">
        <v>305.2</v>
      </c>
      <c r="I42" t="n">
        <v>246.5</v>
      </c>
      <c r="J42" t="n">
        <v>237.1</v>
      </c>
      <c r="K42" t="n">
        <v>356.2</v>
      </c>
      <c r="L42" t="n">
        <v>310.9</v>
      </c>
      <c r="M42" t="n">
        <v>252.3</v>
      </c>
      <c r="N42" t="n">
        <v>333.8</v>
      </c>
      <c r="O42" t="n">
        <v>340.3</v>
      </c>
      <c r="P42" t="n">
        <v>308.6</v>
      </c>
      <c r="Q42" t="n">
        <v>375.3</v>
      </c>
      <c r="R42" t="n">
        <v>335.2</v>
      </c>
      <c r="S42" t="n">
        <v>219.8</v>
      </c>
      <c r="T42" t="n">
        <v>223.4</v>
      </c>
      <c r="U42" t="n">
        <v>348.8</v>
      </c>
      <c r="V42" t="n">
        <v>335.8</v>
      </c>
      <c r="W42" t="n">
        <v>439.7</v>
      </c>
      <c r="X42" t="n">
        <v>348.2</v>
      </c>
      <c r="Y42" t="n">
        <v>358.3</v>
      </c>
      <c r="Z42" t="n">
        <v>640.7</v>
      </c>
      <c r="AA42" t="n">
        <v>577.1</v>
      </c>
      <c r="AB42" t="n">
        <v>532.5</v>
      </c>
      <c r="AC42" t="n">
        <v>386.4</v>
      </c>
      <c r="AD42" t="n">
        <v>371.9</v>
      </c>
      <c r="AE42" t="n">
        <v>403.5</v>
      </c>
      <c r="AF42" t="n">
        <v>376.2</v>
      </c>
    </row>
    <row r="43">
      <c r="A43" t="s">
        <v>5</v>
      </c>
      <c r="B43" t="s">
        <v>356</v>
      </c>
      <c r="C43" t="s">
        <v>246</v>
      </c>
      <c r="D43" t="s">
        <v>357</v>
      </c>
      <c r="E43" t="s">
        <v>247</v>
      </c>
      <c r="F43" t="n">
        <v>274.5</v>
      </c>
      <c r="G43" t="n">
        <v>281.7</v>
      </c>
      <c r="H43" t="n">
        <v>396.2</v>
      </c>
      <c r="I43" t="n">
        <v>320.4</v>
      </c>
      <c r="J43" t="n">
        <v>307.1</v>
      </c>
      <c r="K43" t="n">
        <v>435.6</v>
      </c>
      <c r="L43" t="n">
        <v>409.9</v>
      </c>
      <c r="M43" t="n">
        <v>332.9</v>
      </c>
      <c r="N43" t="n">
        <v>430</v>
      </c>
      <c r="O43" t="n">
        <v>443</v>
      </c>
      <c r="P43" t="n">
        <v>392.5</v>
      </c>
      <c r="Q43" t="n">
        <v>469.4</v>
      </c>
      <c r="R43" t="n">
        <v>427.8</v>
      </c>
      <c r="S43" t="n">
        <v>328.5</v>
      </c>
      <c r="T43" t="n">
        <v>286.2</v>
      </c>
      <c r="U43" t="n">
        <v>453.5</v>
      </c>
      <c r="V43" t="n">
        <v>442.1</v>
      </c>
      <c r="W43" t="n">
        <v>583.5</v>
      </c>
      <c r="X43" t="n">
        <v>432.3</v>
      </c>
      <c r="Y43" t="n">
        <v>457.4</v>
      </c>
      <c r="Z43" t="n">
        <v>774.2</v>
      </c>
      <c r="AA43" t="n">
        <v>717.9</v>
      </c>
      <c r="AB43" t="n">
        <v>614</v>
      </c>
      <c r="AC43" t="n">
        <v>492</v>
      </c>
      <c r="AD43" t="n">
        <v>483.3</v>
      </c>
      <c r="AE43" t="n">
        <v>540</v>
      </c>
      <c r="AF43" t="n">
        <v>480.6</v>
      </c>
    </row>
    <row r="44">
      <c r="A44" t="s">
        <v>5</v>
      </c>
      <c r="B44" t="s">
        <v>358</v>
      </c>
      <c r="C44" t="s">
        <v>246</v>
      </c>
      <c r="D44" t="s">
        <v>359</v>
      </c>
      <c r="E44" t="s">
        <v>247</v>
      </c>
      <c r="F44" t="n">
        <v>4605.5</v>
      </c>
      <c r="G44" t="n">
        <v>4946.2</v>
      </c>
      <c r="H44" t="n">
        <v>6142.6</v>
      </c>
      <c r="I44" t="n">
        <v>5895.5</v>
      </c>
      <c r="J44" t="n">
        <v>5680.6</v>
      </c>
      <c r="K44" t="n">
        <v>6706.3</v>
      </c>
      <c r="L44" t="n">
        <v>6621.1</v>
      </c>
      <c r="M44" t="n">
        <v>6589.1</v>
      </c>
      <c r="N44" t="n">
        <v>6153.9</v>
      </c>
      <c r="O44" t="n">
        <v>7074.4</v>
      </c>
      <c r="P44" t="n">
        <v>7334.7</v>
      </c>
      <c r="Q44" t="n">
        <v>6449.3</v>
      </c>
      <c r="R44" t="n">
        <v>6663.9</v>
      </c>
      <c r="S44" t="n">
        <v>6294</v>
      </c>
      <c r="T44" t="n">
        <v>5443</v>
      </c>
      <c r="U44" t="n">
        <v>7192.3</v>
      </c>
      <c r="V44" t="n">
        <v>7577.6</v>
      </c>
      <c r="W44" t="n">
        <v>7398</v>
      </c>
      <c r="X44" t="n">
        <v>6822.8</v>
      </c>
      <c r="Y44" t="n">
        <v>6548.8</v>
      </c>
      <c r="Z44" t="n">
        <v>7682.3</v>
      </c>
      <c r="AA44" t="n">
        <v>7025.7</v>
      </c>
      <c r="AB44" t="n">
        <v>7968.7</v>
      </c>
      <c r="AC44" t="n">
        <v>8453.8</v>
      </c>
      <c r="AD44" t="n">
        <v>8525.4</v>
      </c>
      <c r="AE44" t="n">
        <v>7707.5</v>
      </c>
      <c r="AF44" t="n">
        <v>7666.9</v>
      </c>
    </row>
    <row r="45">
      <c r="A45" t="s">
        <v>5</v>
      </c>
      <c r="B45" t="s">
        <v>360</v>
      </c>
      <c r="C45" t="s">
        <v>246</v>
      </c>
      <c r="D45" t="s">
        <v>361</v>
      </c>
      <c r="E45" t="s">
        <v>247</v>
      </c>
      <c r="F45" t="n">
        <v>4600</v>
      </c>
      <c r="G45" t="n">
        <v>4942.8</v>
      </c>
      <c r="H45" t="n">
        <v>6137.1</v>
      </c>
      <c r="I45" t="n">
        <v>5891.7</v>
      </c>
      <c r="J45" t="n">
        <v>5677.1</v>
      </c>
      <c r="K45" t="n">
        <v>6700.5</v>
      </c>
      <c r="L45" t="n">
        <v>6615.4</v>
      </c>
      <c r="M45" t="n">
        <v>6584</v>
      </c>
      <c r="N45" t="n">
        <v>6146.6</v>
      </c>
      <c r="O45" t="n">
        <v>7065.4</v>
      </c>
      <c r="P45" t="n">
        <v>7327</v>
      </c>
      <c r="Q45" t="n">
        <v>6442.9</v>
      </c>
      <c r="R45" t="n">
        <v>6659</v>
      </c>
      <c r="S45" t="n">
        <v>6286</v>
      </c>
      <c r="T45" t="n">
        <v>5436.2</v>
      </c>
      <c r="U45" t="n">
        <v>7184.9</v>
      </c>
      <c r="V45" t="n">
        <v>7569.8</v>
      </c>
      <c r="W45" t="n">
        <v>7391.4</v>
      </c>
      <c r="X45" t="n">
        <v>6817.3</v>
      </c>
      <c r="Y45" t="n">
        <v>6544.3</v>
      </c>
      <c r="Z45" t="n">
        <v>7677</v>
      </c>
      <c r="AA45" t="n">
        <v>7019.5</v>
      </c>
      <c r="AB45" t="n">
        <v>7963.5</v>
      </c>
      <c r="AC45" t="n">
        <v>8448.8</v>
      </c>
      <c r="AD45" t="n">
        <v>8520.5</v>
      </c>
      <c r="AE45" t="n">
        <v>7703.1</v>
      </c>
      <c r="AF45" t="n">
        <v>7662.7</v>
      </c>
    </row>
    <row r="46">
      <c r="A46" t="s">
        <v>5</v>
      </c>
      <c r="B46" t="s">
        <v>362</v>
      </c>
      <c r="C46" t="s">
        <v>246</v>
      </c>
      <c r="D46" t="s">
        <v>363</v>
      </c>
      <c r="E46" t="s">
        <v>247</v>
      </c>
      <c r="F46" t="n">
        <v>60.2</v>
      </c>
      <c r="G46" t="n">
        <v>60.9</v>
      </c>
      <c r="H46" t="n">
        <v>91</v>
      </c>
      <c r="I46" t="n">
        <v>73.9</v>
      </c>
      <c r="J46" t="n">
        <v>70</v>
      </c>
      <c r="K46" t="n">
        <v>79.4</v>
      </c>
      <c r="L46" t="n">
        <v>99</v>
      </c>
      <c r="M46" t="n">
        <v>80.6</v>
      </c>
      <c r="N46" t="n">
        <v>96.2</v>
      </c>
      <c r="O46" t="n">
        <v>102.7</v>
      </c>
      <c r="P46" t="n">
        <v>83.9</v>
      </c>
      <c r="Q46" t="n">
        <v>94.1</v>
      </c>
      <c r="R46" t="n">
        <v>92.6</v>
      </c>
      <c r="S46" t="n">
        <v>108.7</v>
      </c>
      <c r="T46" t="n">
        <v>62.8</v>
      </c>
      <c r="U46" t="n">
        <v>104.7</v>
      </c>
      <c r="V46" t="n">
        <v>106.3</v>
      </c>
      <c r="W46" t="n">
        <v>143.8</v>
      </c>
      <c r="X46" t="n">
        <v>84.1</v>
      </c>
      <c r="Y46" t="n">
        <v>99.1</v>
      </c>
      <c r="Z46" t="n">
        <v>133.5</v>
      </c>
      <c r="AA46" t="n">
        <v>140.8</v>
      </c>
      <c r="AB46" t="n">
        <v>81.5</v>
      </c>
      <c r="AC46" t="n">
        <v>105.6</v>
      </c>
      <c r="AD46" t="n">
        <v>111.4</v>
      </c>
      <c r="AE46" t="n">
        <v>136.5</v>
      </c>
      <c r="AF46" t="n">
        <v>104.4</v>
      </c>
    </row>
    <row r="47">
      <c r="A47" t="s">
        <v>5</v>
      </c>
      <c r="B47" t="s">
        <v>364</v>
      </c>
      <c r="C47" t="s">
        <v>246</v>
      </c>
      <c r="D47" t="s">
        <v>365</v>
      </c>
      <c r="E47" t="s">
        <v>247</v>
      </c>
      <c r="F47" t="n">
        <v>157.1</v>
      </c>
      <c r="G47" t="n">
        <v>187.5</v>
      </c>
      <c r="H47" t="n">
        <v>200.9</v>
      </c>
      <c r="I47" t="n">
        <v>239.7</v>
      </c>
      <c r="J47" t="n">
        <v>288.1</v>
      </c>
      <c r="K47" t="n">
        <v>255.2</v>
      </c>
      <c r="L47" t="n">
        <v>269.5</v>
      </c>
      <c r="M47" t="n">
        <v>302.5</v>
      </c>
      <c r="N47" t="n">
        <v>404.7</v>
      </c>
      <c r="O47" t="n">
        <v>350.9</v>
      </c>
      <c r="P47" t="n">
        <v>383.2</v>
      </c>
      <c r="Q47" t="n">
        <v>418.7</v>
      </c>
      <c r="R47" t="n">
        <v>460.3</v>
      </c>
      <c r="S47" t="n">
        <v>520.1</v>
      </c>
      <c r="T47" t="n">
        <v>567.9</v>
      </c>
      <c r="U47" t="n">
        <v>370.9</v>
      </c>
      <c r="V47" t="n">
        <v>274.8</v>
      </c>
      <c r="W47" t="n">
        <v>301.9</v>
      </c>
      <c r="X47" t="n">
        <v>388.2</v>
      </c>
      <c r="Y47" t="n">
        <v>285.7</v>
      </c>
      <c r="Z47" t="n">
        <v>356</v>
      </c>
      <c r="AA47" t="n">
        <v>609.2</v>
      </c>
      <c r="AB47" t="n">
        <v>403.5</v>
      </c>
      <c r="AC47" t="n">
        <v>254.4</v>
      </c>
      <c r="AD47" t="n">
        <v>225.6</v>
      </c>
      <c r="AE47" t="n">
        <v>238</v>
      </c>
      <c r="AF47" t="n">
        <v>594.6</v>
      </c>
    </row>
    <row r="48">
      <c r="A48" t="s">
        <v>5</v>
      </c>
      <c r="B48" t="s">
        <v>366</v>
      </c>
      <c r="C48" t="s">
        <v>246</v>
      </c>
      <c r="D48" t="s">
        <v>367</v>
      </c>
      <c r="E48" t="s">
        <v>247</v>
      </c>
      <c r="F48" t="n">
        <v>260.2</v>
      </c>
      <c r="G48" t="n">
        <v>303.7</v>
      </c>
      <c r="H48" t="n">
        <v>327.2</v>
      </c>
      <c r="I48" t="n">
        <v>377.2</v>
      </c>
      <c r="J48" t="n">
        <v>426.7</v>
      </c>
      <c r="K48" t="n">
        <v>394.9</v>
      </c>
      <c r="L48" t="n">
        <v>440.1</v>
      </c>
      <c r="M48" t="n">
        <v>460.6</v>
      </c>
      <c r="N48" t="n">
        <v>560.2</v>
      </c>
      <c r="O48" t="n">
        <v>535.1</v>
      </c>
      <c r="P48" t="n">
        <v>573.8</v>
      </c>
      <c r="Q48" t="n">
        <v>608.9</v>
      </c>
      <c r="R48" t="n">
        <v>616.1</v>
      </c>
      <c r="S48" t="n">
        <v>676.5</v>
      </c>
      <c r="T48" t="n">
        <v>722.8</v>
      </c>
      <c r="U48" t="n">
        <v>584.7</v>
      </c>
      <c r="V48" t="n">
        <v>488.8</v>
      </c>
      <c r="W48" t="n">
        <v>473.9</v>
      </c>
      <c r="X48" t="n">
        <v>518.4</v>
      </c>
      <c r="Y48" t="n">
        <v>449.5</v>
      </c>
      <c r="Z48" t="n">
        <v>523.7</v>
      </c>
      <c r="AA48" t="n">
        <v>873.1</v>
      </c>
      <c r="AB48" t="n">
        <v>705.6</v>
      </c>
      <c r="AC48" t="n">
        <v>500.5</v>
      </c>
      <c r="AD48" t="n">
        <v>578.2</v>
      </c>
      <c r="AE48" t="n">
        <v>731.5</v>
      </c>
      <c r="AF48" t="n">
        <v>953.6</v>
      </c>
    </row>
    <row r="49">
      <c r="A49" t="s">
        <v>5</v>
      </c>
      <c r="B49" t="s">
        <v>368</v>
      </c>
      <c r="C49" t="s">
        <v>246</v>
      </c>
      <c r="D49" t="s">
        <v>369</v>
      </c>
      <c r="E49" t="s">
        <v>247</v>
      </c>
      <c r="F49" t="n">
        <v>21</v>
      </c>
      <c r="G49" t="n">
        <v>24.7</v>
      </c>
      <c r="H49" t="n">
        <v>26.6</v>
      </c>
      <c r="I49" t="n">
        <v>22</v>
      </c>
      <c r="J49" t="n">
        <v>24.8</v>
      </c>
      <c r="K49" t="n">
        <v>26.2</v>
      </c>
      <c r="L49" t="n">
        <v>40.4</v>
      </c>
      <c r="M49" t="n">
        <v>45.2</v>
      </c>
      <c r="N49" t="n">
        <v>38.8</v>
      </c>
      <c r="O49" t="n">
        <v>48.9</v>
      </c>
      <c r="P49" t="n">
        <v>43.3</v>
      </c>
      <c r="Q49" t="n">
        <v>60.6</v>
      </c>
      <c r="R49" t="n">
        <v>39.2</v>
      </c>
      <c r="S49" t="n">
        <v>48</v>
      </c>
      <c r="T49" t="n">
        <v>42.3</v>
      </c>
      <c r="U49" t="n">
        <v>47</v>
      </c>
      <c r="V49" t="n">
        <v>45.9</v>
      </c>
      <c r="W49" t="n">
        <v>68.4</v>
      </c>
      <c r="X49" t="n">
        <v>40.2</v>
      </c>
      <c r="Y49" t="n">
        <v>51.1</v>
      </c>
      <c r="Z49" t="n">
        <v>63.4</v>
      </c>
      <c r="AA49" t="n">
        <v>62</v>
      </c>
      <c r="AB49" t="n">
        <v>85.6</v>
      </c>
      <c r="AC49" t="n">
        <v>69.1</v>
      </c>
      <c r="AD49" t="n">
        <v>66.2</v>
      </c>
      <c r="AE49" t="n">
        <v>253.6</v>
      </c>
      <c r="AF49" t="n">
        <v>80</v>
      </c>
    </row>
    <row r="50">
      <c r="A50" t="s">
        <v>5</v>
      </c>
      <c r="B50" t="s">
        <v>370</v>
      </c>
      <c r="C50" t="s">
        <v>246</v>
      </c>
      <c r="D50" t="s">
        <v>371</v>
      </c>
      <c r="E50" t="s">
        <v>247</v>
      </c>
      <c r="F50" t="n">
        <v>82.1</v>
      </c>
      <c r="G50" t="n">
        <v>91.4</v>
      </c>
      <c r="H50" t="n">
        <v>99.7</v>
      </c>
      <c r="I50" t="n">
        <v>115.5</v>
      </c>
      <c r="J50" t="n">
        <v>113.9</v>
      </c>
      <c r="K50" t="n">
        <v>113.6</v>
      </c>
      <c r="L50" t="n">
        <v>130.1</v>
      </c>
      <c r="M50" t="n">
        <v>112.9</v>
      </c>
      <c r="N50" t="n">
        <v>116.6</v>
      </c>
      <c r="O50" t="n">
        <v>135.2</v>
      </c>
      <c r="P50" t="n">
        <v>147.3</v>
      </c>
      <c r="Q50" t="n">
        <v>129.5</v>
      </c>
      <c r="R50" t="n">
        <v>116.6</v>
      </c>
      <c r="S50" t="n">
        <v>108.4</v>
      </c>
      <c r="T50" t="n">
        <v>112.5</v>
      </c>
      <c r="U50" t="n">
        <v>166.7</v>
      </c>
      <c r="V50" t="n">
        <v>168.1</v>
      </c>
      <c r="W50" t="n">
        <v>103.6</v>
      </c>
      <c r="X50" t="n">
        <v>89.9</v>
      </c>
      <c r="Y50" t="n">
        <v>112.7</v>
      </c>
      <c r="Z50" t="n">
        <v>104.3</v>
      </c>
      <c r="AA50" t="n">
        <v>201.9</v>
      </c>
      <c r="AB50" t="n">
        <v>216.6</v>
      </c>
      <c r="AC50" t="n">
        <v>176.9</v>
      </c>
      <c r="AD50" t="n">
        <v>286.5</v>
      </c>
      <c r="AE50" t="n">
        <v>239.9</v>
      </c>
      <c r="AF50" t="n">
        <v>279</v>
      </c>
    </row>
    <row r="51">
      <c r="A51" t="s">
        <v>5</v>
      </c>
      <c r="B51" t="s">
        <v>372</v>
      </c>
      <c r="C51" t="s">
        <v>246</v>
      </c>
      <c r="D51" t="s">
        <v>373</v>
      </c>
      <c r="E51" t="s">
        <v>247</v>
      </c>
      <c r="F51" t="n">
        <v>79</v>
      </c>
      <c r="G51" t="n">
        <v>85.3</v>
      </c>
      <c r="H51" t="n">
        <v>93.7</v>
      </c>
      <c r="I51" t="n">
        <v>107.6</v>
      </c>
      <c r="J51" t="n">
        <v>107.7</v>
      </c>
      <c r="K51" t="n">
        <v>108.8</v>
      </c>
      <c r="L51" t="n">
        <v>119.7</v>
      </c>
      <c r="M51" t="n">
        <v>106.4</v>
      </c>
      <c r="N51" t="n">
        <v>111</v>
      </c>
      <c r="O51" t="n">
        <v>112.3</v>
      </c>
      <c r="P51" t="n">
        <v>138.4</v>
      </c>
      <c r="Q51" t="n">
        <v>117.8</v>
      </c>
      <c r="R51" t="n">
        <v>108.2</v>
      </c>
      <c r="S51" t="n">
        <v>103.2</v>
      </c>
      <c r="T51" t="n">
        <v>107</v>
      </c>
      <c r="U51" t="n">
        <v>158.2</v>
      </c>
      <c r="V51" t="n">
        <v>159</v>
      </c>
      <c r="W51" t="n">
        <v>92.3</v>
      </c>
      <c r="X51" t="n">
        <v>82.5</v>
      </c>
      <c r="Y51" t="n">
        <v>106.2</v>
      </c>
      <c r="Z51" t="n">
        <v>100</v>
      </c>
      <c r="AA51" t="n">
        <v>195.4</v>
      </c>
      <c r="AB51" t="n">
        <v>211.5</v>
      </c>
      <c r="AC51" t="n">
        <v>172.4</v>
      </c>
      <c r="AD51" t="n">
        <v>277.3</v>
      </c>
      <c r="AE51" t="n">
        <v>232.1</v>
      </c>
      <c r="AF51" t="n">
        <v>271.5</v>
      </c>
    </row>
    <row r="52">
      <c r="A52" t="s">
        <v>5</v>
      </c>
      <c r="B52" t="s">
        <v>374</v>
      </c>
      <c r="C52" t="s">
        <v>246</v>
      </c>
      <c r="D52" t="s">
        <v>375</v>
      </c>
      <c r="E52" t="s">
        <v>247</v>
      </c>
      <c r="F52" t="n">
        <v>3.1</v>
      </c>
      <c r="G52" t="n">
        <v>6.1</v>
      </c>
      <c r="H52" t="n">
        <v>6</v>
      </c>
      <c r="I52" t="n">
        <v>7.9</v>
      </c>
      <c r="J52" t="n">
        <v>6.2</v>
      </c>
      <c r="K52" t="n">
        <v>4.8</v>
      </c>
      <c r="L52" t="n">
        <v>10.4</v>
      </c>
      <c r="M52" t="n">
        <v>6.5</v>
      </c>
      <c r="N52" t="n">
        <v>5.6</v>
      </c>
      <c r="O52" t="n">
        <v>22.9</v>
      </c>
      <c r="P52" t="n">
        <v>8.9</v>
      </c>
      <c r="Q52" t="n">
        <v>11.7</v>
      </c>
      <c r="R52" t="n">
        <v>8.4</v>
      </c>
      <c r="S52" t="n">
        <v>5.2</v>
      </c>
      <c r="T52" t="n">
        <v>5.5</v>
      </c>
      <c r="U52" t="n">
        <v>8.5</v>
      </c>
      <c r="V52" t="n">
        <v>9.1</v>
      </c>
      <c r="W52" t="n">
        <v>11.3</v>
      </c>
      <c r="X52" t="n">
        <v>7.4</v>
      </c>
      <c r="Y52" t="n">
        <v>6.5</v>
      </c>
      <c r="Z52" t="n">
        <v>4.3</v>
      </c>
      <c r="AA52" t="n">
        <v>6.5</v>
      </c>
      <c r="AB52" t="n">
        <v>5.1</v>
      </c>
      <c r="AC52" t="n">
        <v>4.5</v>
      </c>
      <c r="AD52" t="n">
        <v>9.2</v>
      </c>
      <c r="AE52" t="n">
        <v>7.8</v>
      </c>
      <c r="AF52" t="n">
        <v>7.5</v>
      </c>
    </row>
    <row r="53">
      <c r="A53" t="s">
        <v>5</v>
      </c>
      <c r="B53" t="s">
        <v>376</v>
      </c>
      <c r="C53" t="s">
        <v>246</v>
      </c>
      <c r="D53" t="s">
        <v>377</v>
      </c>
      <c r="E53" t="s">
        <v>247</v>
      </c>
      <c r="F53" t="n">
        <v>20.9</v>
      </c>
      <c r="G53" t="n">
        <v>31.3</v>
      </c>
      <c r="H53" t="n">
        <v>35.1</v>
      </c>
      <c r="I53" t="n">
        <v>37.6</v>
      </c>
      <c r="J53" t="n">
        <v>46.1</v>
      </c>
      <c r="K53" t="n">
        <v>34.3</v>
      </c>
      <c r="L53" t="n">
        <v>38.6</v>
      </c>
      <c r="M53" t="n">
        <v>31</v>
      </c>
      <c r="N53" t="n">
        <v>39.4</v>
      </c>
      <c r="O53" t="n">
        <v>43.7</v>
      </c>
      <c r="P53" t="n">
        <v>99.4</v>
      </c>
      <c r="Q53" t="n">
        <v>28.9</v>
      </c>
      <c r="R53" t="n">
        <v>28.4</v>
      </c>
      <c r="S53" t="n">
        <v>33</v>
      </c>
      <c r="T53" t="n">
        <v>50.3</v>
      </c>
      <c r="U53" t="n">
        <v>41.6</v>
      </c>
      <c r="V53" t="n">
        <v>38.6</v>
      </c>
      <c r="W53" t="n">
        <v>43.6</v>
      </c>
      <c r="X53" t="n">
        <v>60.9</v>
      </c>
      <c r="Y53" t="n">
        <v>36.3</v>
      </c>
      <c r="Z53" t="n">
        <v>93.1</v>
      </c>
      <c r="AA53" t="n">
        <v>70.1</v>
      </c>
      <c r="AB53" t="n">
        <v>53.9</v>
      </c>
      <c r="AC53" t="n">
        <v>50.5</v>
      </c>
      <c r="AD53" t="n">
        <v>46.9</v>
      </c>
      <c r="AE53" t="n">
        <v>53.4</v>
      </c>
      <c r="AF53" t="n">
        <v>66.6</v>
      </c>
    </row>
    <row r="54">
      <c r="A54" t="s">
        <v>5</v>
      </c>
      <c r="B54" t="s">
        <v>378</v>
      </c>
      <c r="C54" t="s">
        <v>246</v>
      </c>
      <c r="D54" t="s">
        <v>379</v>
      </c>
      <c r="E54" t="s">
        <v>247</v>
      </c>
      <c r="F54" t="n">
        <v>39.2</v>
      </c>
      <c r="G54" t="n">
        <v>47.4</v>
      </c>
      <c r="H54" t="n">
        <v>59.5</v>
      </c>
      <c r="I54" t="n">
        <v>59.8</v>
      </c>
      <c r="J54" t="n">
        <v>63.1</v>
      </c>
      <c r="K54" t="n">
        <v>60.2</v>
      </c>
      <c r="L54" t="n">
        <v>64</v>
      </c>
      <c r="M54" t="n">
        <v>43.2</v>
      </c>
      <c r="N54" t="n">
        <v>76.6</v>
      </c>
      <c r="O54" t="n">
        <v>65.2</v>
      </c>
      <c r="P54" t="n">
        <v>126.8</v>
      </c>
      <c r="Q54" t="n">
        <v>56.1</v>
      </c>
      <c r="R54" t="n">
        <v>54.9</v>
      </c>
      <c r="S54" t="n">
        <v>54</v>
      </c>
      <c r="T54" t="n">
        <v>59.9</v>
      </c>
      <c r="U54" t="n">
        <v>67.5</v>
      </c>
      <c r="V54" t="n">
        <v>65.5</v>
      </c>
      <c r="W54" t="n">
        <v>66.9</v>
      </c>
      <c r="X54" t="n">
        <v>91.3</v>
      </c>
      <c r="Y54" t="n">
        <v>55</v>
      </c>
      <c r="Z54" t="n">
        <v>136.5</v>
      </c>
      <c r="AA54" t="n">
        <v>126</v>
      </c>
      <c r="AB54" t="n">
        <v>99.9</v>
      </c>
      <c r="AC54" t="n">
        <v>80.1</v>
      </c>
      <c r="AD54" t="n">
        <v>85.4</v>
      </c>
      <c r="AE54" t="n">
        <v>82.2</v>
      </c>
      <c r="AF54" t="n">
        <v>103.5</v>
      </c>
    </row>
    <row r="55">
      <c r="A55" t="s">
        <v>5</v>
      </c>
      <c r="B55" t="s">
        <v>380</v>
      </c>
      <c r="C55" t="s">
        <v>246</v>
      </c>
      <c r="D55" t="s">
        <v>381</v>
      </c>
      <c r="E55" t="s">
        <v>247</v>
      </c>
      <c r="F55" t="n">
        <v>18.3</v>
      </c>
      <c r="G55" t="n">
        <v>16.1</v>
      </c>
      <c r="H55" t="n">
        <v>24.4</v>
      </c>
      <c r="I55" t="n">
        <v>22.2</v>
      </c>
      <c r="J55" t="n">
        <v>17</v>
      </c>
      <c r="K55" t="n">
        <v>25.9</v>
      </c>
      <c r="L55" t="n">
        <v>25.4</v>
      </c>
      <c r="M55" t="n">
        <v>12.2</v>
      </c>
      <c r="N55" t="n">
        <v>37.2</v>
      </c>
      <c r="O55" t="n">
        <v>21.5</v>
      </c>
      <c r="P55" t="n">
        <v>27.4</v>
      </c>
      <c r="Q55" t="n">
        <v>27.2</v>
      </c>
      <c r="R55" t="n">
        <v>26.5</v>
      </c>
      <c r="S55" t="n">
        <v>21</v>
      </c>
      <c r="T55" t="n">
        <v>9.6</v>
      </c>
      <c r="U55" t="n">
        <v>25.9</v>
      </c>
      <c r="V55" t="n">
        <v>26.9</v>
      </c>
      <c r="W55" t="n">
        <v>23.3</v>
      </c>
      <c r="X55" t="n">
        <v>30.4</v>
      </c>
      <c r="Y55" t="n">
        <v>18.7</v>
      </c>
      <c r="Z55" t="n">
        <v>43.4</v>
      </c>
      <c r="AA55" t="n">
        <v>55.9</v>
      </c>
      <c r="AB55" t="n">
        <v>46</v>
      </c>
      <c r="AC55" t="n">
        <v>29.6</v>
      </c>
      <c r="AD55" t="n">
        <v>38.5</v>
      </c>
      <c r="AE55" t="n">
        <v>28.8</v>
      </c>
      <c r="AF55" t="n">
        <v>36.9</v>
      </c>
    </row>
    <row r="56">
      <c r="A56" t="s">
        <v>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</v>
      </c>
      <c r="B57" t="s">
        <v>384</v>
      </c>
      <c r="C57" t="s">
        <v>246</v>
      </c>
      <c r="D57" t="s">
        <v>385</v>
      </c>
      <c r="E57" t="s">
        <v>247</v>
      </c>
      <c r="F57" t="n">
        <v>4906</v>
      </c>
      <c r="G57" t="n">
        <v>5294</v>
      </c>
      <c r="H57" t="n">
        <v>6528.8</v>
      </c>
      <c r="I57" t="n">
        <v>6328.2</v>
      </c>
      <c r="J57" t="n">
        <v>6162.9</v>
      </c>
      <c r="K57" t="n">
        <v>7148.9</v>
      </c>
      <c r="L57" t="n">
        <v>7123</v>
      </c>
      <c r="M57" t="n">
        <v>7094.4</v>
      </c>
      <c r="N57" t="n">
        <v>6794.4</v>
      </c>
      <c r="O57" t="n">
        <v>7679.3</v>
      </c>
      <c r="P57" t="n">
        <v>8256.6</v>
      </c>
      <c r="Q57" t="n">
        <v>7101.9</v>
      </c>
      <c r="R57" t="n">
        <v>7298.3</v>
      </c>
      <c r="S57" t="n">
        <v>7015.9</v>
      </c>
      <c r="T57" t="n">
        <v>6212.4</v>
      </c>
      <c r="U57" t="n">
        <v>7866.6</v>
      </c>
      <c r="V57" t="n">
        <v>8140.7</v>
      </c>
      <c r="W57" t="n">
        <v>7997.5</v>
      </c>
      <c r="X57" t="n">
        <v>7403.9</v>
      </c>
      <c r="Y57" t="n">
        <v>7068.5</v>
      </c>
      <c r="Z57" t="n">
        <v>8249.9</v>
      </c>
      <c r="AA57" t="n">
        <v>8054.8</v>
      </c>
      <c r="AB57" t="n">
        <v>8739.3</v>
      </c>
      <c r="AC57" t="n">
        <v>9046.5</v>
      </c>
      <c r="AD57" t="n">
        <v>9254.4</v>
      </c>
      <c r="AE57" t="n">
        <v>8547</v>
      </c>
      <c r="AF57" t="n">
        <v>8758.8</v>
      </c>
    </row>
    <row r="58">
      <c r="A58" t="s">
        <v>5</v>
      </c>
      <c r="B58" t="s">
        <v>386</v>
      </c>
      <c r="C58" t="s">
        <v>246</v>
      </c>
      <c r="D58" t="s">
        <v>387</v>
      </c>
      <c r="E58" t="s">
        <v>247</v>
      </c>
      <c r="F58" t="n">
        <v>4906</v>
      </c>
      <c r="G58" t="n">
        <v>5294</v>
      </c>
      <c r="H58" t="n">
        <v>6528.8</v>
      </c>
      <c r="I58" t="n">
        <v>6328.2</v>
      </c>
      <c r="J58" t="n">
        <v>6162.9</v>
      </c>
      <c r="K58" t="n">
        <v>7148.9</v>
      </c>
      <c r="L58" t="n">
        <v>7123</v>
      </c>
      <c r="M58" t="n">
        <v>7094.4</v>
      </c>
      <c r="N58" t="n">
        <v>6794.4</v>
      </c>
      <c r="O58" t="n">
        <v>7679.3</v>
      </c>
      <c r="P58" t="n">
        <v>8256.6</v>
      </c>
      <c r="Q58" t="n">
        <v>7101.9</v>
      </c>
      <c r="R58" t="n">
        <v>7298.3</v>
      </c>
      <c r="S58" t="n">
        <v>7015.9</v>
      </c>
      <c r="T58" t="n">
        <v>6212.4</v>
      </c>
      <c r="U58" t="n">
        <v>7866.6</v>
      </c>
      <c r="V58" t="n">
        <v>8140.7</v>
      </c>
      <c r="W58" t="n">
        <v>7997.5</v>
      </c>
      <c r="X58" t="n">
        <v>7403.9</v>
      </c>
      <c r="Y58" t="n">
        <v>7068.5</v>
      </c>
      <c r="Z58" t="n">
        <v>8249.9</v>
      </c>
      <c r="AA58" t="n">
        <v>8054.8</v>
      </c>
      <c r="AB58" t="n">
        <v>8739.3</v>
      </c>
      <c r="AC58" t="n">
        <v>9046.5</v>
      </c>
      <c r="AD58" t="n">
        <v>9254.4</v>
      </c>
      <c r="AE58" t="n">
        <v>8547</v>
      </c>
      <c r="AF58" t="n">
        <v>8758.8</v>
      </c>
    </row>
    <row r="59">
      <c r="A59" t="s">
        <v>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</v>
      </c>
      <c r="B2" t="s">
        <v>197</v>
      </c>
      <c r="C2" t="s">
        <v>246</v>
      </c>
      <c r="D2" t="s">
        <v>199</v>
      </c>
      <c r="E2" t="s">
        <v>247</v>
      </c>
      <c r="F2" t="n">
        <v>4.2</v>
      </c>
      <c r="G2" t="n">
        <v>6</v>
      </c>
      <c r="H2" t="n">
        <v>6</v>
      </c>
      <c r="I2" t="n">
        <v>6.6</v>
      </c>
      <c r="J2" t="n">
        <v>7.3</v>
      </c>
      <c r="K2" t="n">
        <v>7.6</v>
      </c>
      <c r="L2" t="n">
        <v>8.1</v>
      </c>
      <c r="M2" t="n">
        <v>7.6</v>
      </c>
      <c r="N2" t="n">
        <v>7.1</v>
      </c>
      <c r="O2" t="n">
        <v>7.3</v>
      </c>
      <c r="P2" t="n">
        <v>7.2</v>
      </c>
      <c r="Q2" t="n">
        <v>7.6</v>
      </c>
      <c r="R2" t="n">
        <v>8.1</v>
      </c>
      <c r="S2" t="n">
        <v>8.2</v>
      </c>
      <c r="T2" t="n">
        <v>7.4</v>
      </c>
      <c r="U2" t="n">
        <v>7.7</v>
      </c>
      <c r="V2" t="n">
        <v>7.5</v>
      </c>
      <c r="W2" t="n">
        <v>7.2</v>
      </c>
      <c r="X2" t="n">
        <v>13.7</v>
      </c>
      <c r="Y2" t="n">
        <v>24.2</v>
      </c>
      <c r="Z2" t="n">
        <v>26.1</v>
      </c>
      <c r="AA2" t="n">
        <v>18.6</v>
      </c>
      <c r="AB2" t="n">
        <v>1.7</v>
      </c>
      <c r="AC2" t="n">
        <v>3.8</v>
      </c>
      <c r="AD2" t="n">
        <v>5.9</v>
      </c>
      <c r="AE2" t="n">
        <v>8.6</v>
      </c>
      <c r="AF2" t="n">
        <v>6</v>
      </c>
    </row>
    <row r="3">
      <c r="A3" t="s">
        <v>7</v>
      </c>
      <c r="B3" t="s">
        <v>276</v>
      </c>
      <c r="C3" t="s">
        <v>246</v>
      </c>
      <c r="D3" t="s">
        <v>277</v>
      </c>
      <c r="E3" t="s">
        <v>247</v>
      </c>
      <c r="F3" t="n">
        <v>0.7</v>
      </c>
      <c r="G3" t="n">
        <v>0.8</v>
      </c>
      <c r="H3" t="n">
        <v>0.9</v>
      </c>
      <c r="I3" t="n">
        <v>0.9</v>
      </c>
      <c r="J3" t="n">
        <v>1</v>
      </c>
      <c r="K3" t="n">
        <v>0.8</v>
      </c>
      <c r="L3" t="n">
        <v>1.3</v>
      </c>
      <c r="M3" t="n">
        <v>1</v>
      </c>
      <c r="N3" t="n">
        <v>1</v>
      </c>
      <c r="O3" t="n">
        <v>1</v>
      </c>
      <c r="P3" t="n">
        <v>1</v>
      </c>
      <c r="Q3" t="n">
        <v>0.9</v>
      </c>
      <c r="R3" t="n">
        <v>1.2</v>
      </c>
      <c r="S3" t="n">
        <v>3.2</v>
      </c>
      <c r="T3" t="n">
        <v>0.6</v>
      </c>
      <c r="U3" t="n">
        <v>1.1</v>
      </c>
      <c r="V3" t="n">
        <v>1</v>
      </c>
      <c r="W3" t="n">
        <v>2.1</v>
      </c>
      <c r="X3" t="n">
        <v>1.6</v>
      </c>
      <c r="Y3" t="n">
        <v>1.4</v>
      </c>
      <c r="Z3" t="n">
        <v>1.7</v>
      </c>
      <c r="AA3" t="n">
        <v>3.2</v>
      </c>
      <c r="AB3" t="n">
        <v>2.5</v>
      </c>
      <c r="AC3" t="n">
        <v>2.2</v>
      </c>
      <c r="AD3" t="n">
        <v>8.1</v>
      </c>
      <c r="AE3" t="n">
        <v>4</v>
      </c>
      <c r="AF3" t="n">
        <v>9.6</v>
      </c>
    </row>
    <row r="4">
      <c r="A4" t="s">
        <v>7</v>
      </c>
      <c r="B4" t="s">
        <v>278</v>
      </c>
      <c r="C4" t="s">
        <v>246</v>
      </c>
      <c r="D4" t="s">
        <v>279</v>
      </c>
      <c r="E4" t="s">
        <v>247</v>
      </c>
      <c r="F4" t="n">
        <v>2685.4</v>
      </c>
      <c r="G4" t="n">
        <v>3059.4</v>
      </c>
      <c r="H4" t="n">
        <v>3066.7</v>
      </c>
      <c r="I4" t="n">
        <v>3471.6</v>
      </c>
      <c r="J4" t="n">
        <v>3672.5</v>
      </c>
      <c r="K4" t="n">
        <v>3739.9</v>
      </c>
      <c r="L4" t="n">
        <v>4256.4</v>
      </c>
      <c r="M4" t="n">
        <v>4211.7</v>
      </c>
      <c r="N4" t="n">
        <v>3928.6</v>
      </c>
      <c r="O4" t="n">
        <v>3782.9</v>
      </c>
      <c r="P4" t="n">
        <v>3762.5</v>
      </c>
      <c r="Q4" t="n">
        <v>3886</v>
      </c>
      <c r="R4" t="n">
        <v>4157.7</v>
      </c>
      <c r="S4" t="n">
        <v>4214.5</v>
      </c>
      <c r="T4" t="n">
        <v>3790.1</v>
      </c>
      <c r="U4" t="n">
        <v>4004.8</v>
      </c>
      <c r="V4" t="n">
        <v>3894.3</v>
      </c>
      <c r="W4" t="n">
        <v>4165.3</v>
      </c>
      <c r="X4" t="n">
        <v>4686.1</v>
      </c>
      <c r="Y4" t="n">
        <v>5078.5</v>
      </c>
      <c r="Z4" t="n">
        <v>4604.1</v>
      </c>
      <c r="AA4" t="n">
        <v>4906.7</v>
      </c>
      <c r="AB4" t="n">
        <v>4980.7</v>
      </c>
      <c r="AC4" t="n">
        <v>5824.5</v>
      </c>
      <c r="AD4" t="n">
        <v>6146.9</v>
      </c>
      <c r="AE4" t="n">
        <v>4877.9</v>
      </c>
      <c r="AF4" t="n">
        <v>6314.2</v>
      </c>
    </row>
    <row r="5">
      <c r="A5" t="s">
        <v>7</v>
      </c>
      <c r="B5" t="s">
        <v>280</v>
      </c>
      <c r="C5" t="s">
        <v>246</v>
      </c>
      <c r="D5" t="s">
        <v>281</v>
      </c>
      <c r="E5" t="s">
        <v>247</v>
      </c>
      <c r="F5" t="n">
        <v>211.6</v>
      </c>
      <c r="G5" t="n">
        <v>236</v>
      </c>
      <c r="H5" t="n">
        <v>230.6</v>
      </c>
      <c r="I5" t="n">
        <v>277.8</v>
      </c>
      <c r="J5" t="n">
        <v>276.7</v>
      </c>
      <c r="K5" t="n">
        <v>261.9</v>
      </c>
      <c r="L5" t="n">
        <v>298.4</v>
      </c>
      <c r="M5" t="n">
        <v>319</v>
      </c>
      <c r="N5" t="n">
        <v>294.5</v>
      </c>
      <c r="O5" t="n">
        <v>292.8</v>
      </c>
      <c r="P5" t="n">
        <v>245.7</v>
      </c>
      <c r="Q5" t="n">
        <v>336.3</v>
      </c>
      <c r="R5" t="n">
        <v>324.2</v>
      </c>
      <c r="S5" t="n">
        <v>256.6</v>
      </c>
      <c r="T5" t="n">
        <v>245.5</v>
      </c>
      <c r="U5" t="n">
        <v>304.1</v>
      </c>
      <c r="V5" t="n">
        <v>294.6</v>
      </c>
      <c r="W5" t="n">
        <v>288.9</v>
      </c>
      <c r="X5" t="n">
        <v>277.5</v>
      </c>
      <c r="Y5" t="n">
        <v>462.8</v>
      </c>
      <c r="Z5" t="n">
        <v>326.5</v>
      </c>
      <c r="AA5" t="n">
        <v>520.6</v>
      </c>
      <c r="AB5" t="n">
        <v>337.4</v>
      </c>
      <c r="AC5" t="n">
        <v>465.9</v>
      </c>
      <c r="AD5" t="n">
        <v>490.4</v>
      </c>
      <c r="AE5" t="n">
        <v>433.6</v>
      </c>
      <c r="AF5" t="n">
        <v>530.3</v>
      </c>
    </row>
    <row r="6">
      <c r="A6" t="s">
        <v>7</v>
      </c>
      <c r="B6" t="s">
        <v>282</v>
      </c>
      <c r="C6" t="s">
        <v>246</v>
      </c>
      <c r="D6" t="s">
        <v>283</v>
      </c>
      <c r="E6" t="s">
        <v>247</v>
      </c>
      <c r="F6" t="n">
        <v>278.6</v>
      </c>
      <c r="G6" t="n">
        <v>313.3</v>
      </c>
      <c r="H6" t="n">
        <v>314</v>
      </c>
      <c r="I6" t="n">
        <v>367.3</v>
      </c>
      <c r="J6" t="n">
        <v>362.6</v>
      </c>
      <c r="K6" t="n">
        <v>369.3</v>
      </c>
      <c r="L6" t="n">
        <v>476.7</v>
      </c>
      <c r="M6" t="n">
        <v>388.1</v>
      </c>
      <c r="N6" t="n">
        <v>385.6</v>
      </c>
      <c r="O6" t="n">
        <v>368.4</v>
      </c>
      <c r="P6" t="n">
        <v>401.9</v>
      </c>
      <c r="Q6" t="n">
        <v>403.7</v>
      </c>
      <c r="R6" t="n">
        <v>410.6</v>
      </c>
      <c r="S6" t="n">
        <v>448.9</v>
      </c>
      <c r="T6" t="n">
        <v>345.5</v>
      </c>
      <c r="U6" t="n">
        <v>400</v>
      </c>
      <c r="V6" t="n">
        <v>387.6</v>
      </c>
      <c r="W6" t="n">
        <v>377.5</v>
      </c>
      <c r="X6" t="n">
        <v>358.2</v>
      </c>
      <c r="Y6" t="n">
        <v>421.8</v>
      </c>
      <c r="Z6" t="n">
        <v>381.1</v>
      </c>
      <c r="AA6" t="n">
        <v>455.3</v>
      </c>
      <c r="AB6" t="n">
        <v>460.6</v>
      </c>
      <c r="AC6" t="n">
        <v>484.8</v>
      </c>
      <c r="AD6" t="n">
        <v>558.1</v>
      </c>
      <c r="AE6" t="n">
        <v>434.1</v>
      </c>
      <c r="AF6" t="n">
        <v>507.7</v>
      </c>
    </row>
    <row r="7">
      <c r="A7" t="s">
        <v>7</v>
      </c>
      <c r="B7" t="s">
        <v>284</v>
      </c>
      <c r="C7" t="s">
        <v>246</v>
      </c>
      <c r="D7" t="s">
        <v>285</v>
      </c>
      <c r="E7" t="s">
        <v>247</v>
      </c>
      <c r="F7" t="n">
        <v>233.6</v>
      </c>
      <c r="G7" t="n">
        <v>261.6</v>
      </c>
      <c r="H7" t="n">
        <v>254.2</v>
      </c>
      <c r="I7" t="n">
        <v>275.5</v>
      </c>
      <c r="J7" t="n">
        <v>301.3</v>
      </c>
      <c r="K7" t="n">
        <v>313.5</v>
      </c>
      <c r="L7" t="n">
        <v>328.5</v>
      </c>
      <c r="M7" t="n">
        <v>389.3</v>
      </c>
      <c r="N7" t="n">
        <v>303</v>
      </c>
      <c r="O7" t="n">
        <v>295.6</v>
      </c>
      <c r="P7" t="n">
        <v>299.4</v>
      </c>
      <c r="Q7" t="n">
        <v>349.7</v>
      </c>
      <c r="R7" t="n">
        <v>334.6</v>
      </c>
      <c r="S7" t="n">
        <v>343.1</v>
      </c>
      <c r="T7" t="n">
        <v>300.8</v>
      </c>
      <c r="U7" t="n">
        <v>330.8</v>
      </c>
      <c r="V7" t="n">
        <v>322.7</v>
      </c>
      <c r="W7" t="n">
        <v>243.3</v>
      </c>
      <c r="X7" t="n">
        <v>349.8</v>
      </c>
      <c r="Y7" t="n">
        <v>227.3</v>
      </c>
      <c r="Z7" t="n">
        <v>262.3</v>
      </c>
      <c r="AA7" t="n">
        <v>268.5</v>
      </c>
      <c r="AB7" t="n">
        <v>388.9</v>
      </c>
      <c r="AC7" t="n">
        <v>324.8</v>
      </c>
      <c r="AD7" t="n">
        <v>398.3</v>
      </c>
      <c r="AE7" t="n">
        <v>247.1</v>
      </c>
      <c r="AF7" t="n">
        <v>248.9</v>
      </c>
    </row>
    <row r="8">
      <c r="A8" t="s">
        <v>7</v>
      </c>
      <c r="B8" t="s">
        <v>286</v>
      </c>
      <c r="C8" t="s">
        <v>246</v>
      </c>
      <c r="D8" t="s">
        <v>287</v>
      </c>
      <c r="E8" t="s">
        <v>247</v>
      </c>
      <c r="F8" t="n">
        <v>94.5</v>
      </c>
      <c r="G8" t="n">
        <v>111.7</v>
      </c>
      <c r="H8" t="n">
        <v>123.9</v>
      </c>
      <c r="I8" t="n">
        <v>115.5</v>
      </c>
      <c r="J8" t="n">
        <v>112.1</v>
      </c>
      <c r="K8" t="n">
        <v>141.7</v>
      </c>
      <c r="L8" t="n">
        <v>114.2</v>
      </c>
      <c r="M8" t="n">
        <v>196.3</v>
      </c>
      <c r="N8" t="n">
        <v>126.4</v>
      </c>
      <c r="O8" t="n">
        <v>173</v>
      </c>
      <c r="P8" t="n">
        <v>136.6</v>
      </c>
      <c r="Q8" t="n">
        <v>142</v>
      </c>
      <c r="R8" t="n">
        <v>135.8</v>
      </c>
      <c r="S8" t="n">
        <v>224.2</v>
      </c>
      <c r="T8" t="n">
        <v>110.5</v>
      </c>
      <c r="U8" t="n">
        <v>147.7</v>
      </c>
      <c r="V8" t="n">
        <v>143.4</v>
      </c>
      <c r="W8" t="n">
        <v>193</v>
      </c>
      <c r="X8" t="n">
        <v>227.8</v>
      </c>
      <c r="Y8" t="n">
        <v>223.7</v>
      </c>
      <c r="Z8" t="n">
        <v>173.5</v>
      </c>
      <c r="AA8" t="n">
        <v>175.6</v>
      </c>
      <c r="AB8" t="n">
        <v>139.4</v>
      </c>
      <c r="AC8" t="n">
        <v>123.9</v>
      </c>
      <c r="AD8" t="n">
        <v>182.6</v>
      </c>
      <c r="AE8" t="n">
        <v>130</v>
      </c>
      <c r="AF8" t="n">
        <v>105.9</v>
      </c>
    </row>
    <row r="9">
      <c r="A9" t="s">
        <v>7</v>
      </c>
      <c r="B9" t="s">
        <v>288</v>
      </c>
      <c r="C9" t="s">
        <v>246</v>
      </c>
      <c r="D9" t="s">
        <v>289</v>
      </c>
      <c r="E9" t="s">
        <v>247</v>
      </c>
      <c r="F9" t="n">
        <v>156.5</v>
      </c>
      <c r="G9" t="n">
        <v>180.1</v>
      </c>
      <c r="H9" t="n">
        <v>176.7</v>
      </c>
      <c r="I9" t="n">
        <v>198.6</v>
      </c>
      <c r="J9" t="n">
        <v>223.7</v>
      </c>
      <c r="K9" t="n">
        <v>239.4</v>
      </c>
      <c r="L9" t="n">
        <v>243.4</v>
      </c>
      <c r="M9" t="n">
        <v>259.4</v>
      </c>
      <c r="N9" t="n">
        <v>258.7</v>
      </c>
      <c r="O9" t="n">
        <v>227.1</v>
      </c>
      <c r="P9" t="n">
        <v>213.9</v>
      </c>
      <c r="Q9" t="n">
        <v>227.2</v>
      </c>
      <c r="R9" t="n">
        <v>252.3</v>
      </c>
      <c r="S9" t="n">
        <v>237</v>
      </c>
      <c r="T9" t="n">
        <v>251.1</v>
      </c>
      <c r="U9" t="n">
        <v>235.8</v>
      </c>
      <c r="V9" t="n">
        <v>230.6</v>
      </c>
      <c r="W9" t="n">
        <v>202.3</v>
      </c>
      <c r="X9" t="n">
        <v>269.6</v>
      </c>
      <c r="Y9" t="n">
        <v>251.3</v>
      </c>
      <c r="Z9" t="n">
        <v>277.4</v>
      </c>
      <c r="AA9" t="n">
        <v>255.2</v>
      </c>
      <c r="AB9" t="n">
        <v>202.3</v>
      </c>
      <c r="AC9" t="n">
        <v>167.7</v>
      </c>
      <c r="AD9" t="n">
        <v>193.9</v>
      </c>
      <c r="AE9" t="n">
        <v>161.8</v>
      </c>
      <c r="AF9" t="n">
        <v>190.3</v>
      </c>
    </row>
    <row r="10">
      <c r="A10" t="s">
        <v>7</v>
      </c>
      <c r="B10" t="s">
        <v>290</v>
      </c>
      <c r="C10" t="s">
        <v>246</v>
      </c>
      <c r="D10" t="s">
        <v>291</v>
      </c>
      <c r="E10" t="s">
        <v>247</v>
      </c>
      <c r="F10" t="n">
        <v>284.2</v>
      </c>
      <c r="G10" t="n">
        <v>327.2</v>
      </c>
      <c r="H10" t="n">
        <v>321</v>
      </c>
      <c r="I10" t="n">
        <v>360.8</v>
      </c>
      <c r="J10" t="n">
        <v>406.5</v>
      </c>
      <c r="K10" t="n">
        <v>437.1</v>
      </c>
      <c r="L10" t="n">
        <v>463.6</v>
      </c>
      <c r="M10" t="n">
        <v>428</v>
      </c>
      <c r="N10" t="n">
        <v>511.4</v>
      </c>
      <c r="O10" t="n">
        <v>398.5</v>
      </c>
      <c r="P10" t="n">
        <v>376.3</v>
      </c>
      <c r="Q10" t="n">
        <v>395</v>
      </c>
      <c r="R10" t="n">
        <v>461.5</v>
      </c>
      <c r="S10" t="n">
        <v>462</v>
      </c>
      <c r="T10" t="n">
        <v>449.4</v>
      </c>
      <c r="U10" t="n">
        <v>429.1</v>
      </c>
      <c r="V10" t="n">
        <v>418.9</v>
      </c>
      <c r="W10" t="n">
        <v>480.1</v>
      </c>
      <c r="X10" t="n">
        <v>500.2</v>
      </c>
      <c r="Y10" t="n">
        <v>595.6</v>
      </c>
      <c r="Z10" t="n">
        <v>587.7</v>
      </c>
      <c r="AA10" t="n">
        <v>530.6</v>
      </c>
      <c r="AB10" t="n">
        <v>417.6</v>
      </c>
      <c r="AC10" t="n">
        <v>398.3</v>
      </c>
      <c r="AD10" t="n">
        <v>351.7</v>
      </c>
      <c r="AE10" t="n">
        <v>328.2</v>
      </c>
      <c r="AF10" t="n">
        <v>335.2</v>
      </c>
    </row>
    <row r="11">
      <c r="A11" t="s">
        <v>7</v>
      </c>
      <c r="B11" t="s">
        <v>292</v>
      </c>
      <c r="C11" t="s">
        <v>246</v>
      </c>
      <c r="D11" t="s">
        <v>293</v>
      </c>
      <c r="E11" t="s">
        <v>247</v>
      </c>
      <c r="F11" t="n">
        <v>127.7</v>
      </c>
      <c r="G11" t="n">
        <v>147.1</v>
      </c>
      <c r="H11" t="n">
        <v>144.3</v>
      </c>
      <c r="I11" t="n">
        <v>162.2</v>
      </c>
      <c r="J11" t="n">
        <v>182.8</v>
      </c>
      <c r="K11" t="n">
        <v>197.7</v>
      </c>
      <c r="L11" t="n">
        <v>220.2</v>
      </c>
      <c r="M11" t="n">
        <v>168.6</v>
      </c>
      <c r="N11" t="n">
        <v>252.7</v>
      </c>
      <c r="O11" t="n">
        <v>171.4</v>
      </c>
      <c r="P11" t="n">
        <v>162.4</v>
      </c>
      <c r="Q11" t="n">
        <v>167.8</v>
      </c>
      <c r="R11" t="n">
        <v>209.2</v>
      </c>
      <c r="S11" t="n">
        <v>225</v>
      </c>
      <c r="T11" t="n">
        <v>198.3</v>
      </c>
      <c r="U11" t="n">
        <v>193.3</v>
      </c>
      <c r="V11" t="n">
        <v>188.3</v>
      </c>
      <c r="W11" t="n">
        <v>277.8</v>
      </c>
      <c r="X11" t="n">
        <v>230.6</v>
      </c>
      <c r="Y11" t="n">
        <v>344.3</v>
      </c>
      <c r="Z11" t="n">
        <v>310.3</v>
      </c>
      <c r="AA11" t="n">
        <v>275.4</v>
      </c>
      <c r="AB11" t="n">
        <v>215.3</v>
      </c>
      <c r="AC11" t="n">
        <v>230.6</v>
      </c>
      <c r="AD11" t="n">
        <v>157.8</v>
      </c>
      <c r="AE11" t="n">
        <v>166.4</v>
      </c>
      <c r="AF11" t="n">
        <v>144.9</v>
      </c>
    </row>
    <row r="12">
      <c r="A12" t="s">
        <v>7</v>
      </c>
      <c r="B12" t="s">
        <v>294</v>
      </c>
      <c r="C12" t="s">
        <v>246</v>
      </c>
      <c r="D12" t="s">
        <v>295</v>
      </c>
      <c r="E12" t="s">
        <v>247</v>
      </c>
      <c r="F12" t="n">
        <v>217.6</v>
      </c>
      <c r="G12" t="n">
        <v>254.3</v>
      </c>
      <c r="H12" t="n">
        <v>252.2</v>
      </c>
      <c r="I12" t="n">
        <v>276.2</v>
      </c>
      <c r="J12" t="n">
        <v>299.9</v>
      </c>
      <c r="K12" t="n">
        <v>316.2</v>
      </c>
      <c r="L12" t="n">
        <v>346.6</v>
      </c>
      <c r="M12" t="n">
        <v>362.7</v>
      </c>
      <c r="N12" t="n">
        <v>315.1</v>
      </c>
      <c r="O12" t="n">
        <v>330.5</v>
      </c>
      <c r="P12" t="n">
        <v>295.3</v>
      </c>
      <c r="Q12" t="n">
        <v>311.7</v>
      </c>
      <c r="R12" t="n">
        <v>347.1</v>
      </c>
      <c r="S12" t="n">
        <v>287.5</v>
      </c>
      <c r="T12" t="n">
        <v>360.9</v>
      </c>
      <c r="U12" t="n">
        <v>329.4</v>
      </c>
      <c r="V12" t="n">
        <v>319.3</v>
      </c>
      <c r="W12" t="n">
        <v>325.2</v>
      </c>
      <c r="X12" t="n">
        <v>325.2</v>
      </c>
      <c r="Y12" t="n">
        <v>306.6</v>
      </c>
      <c r="Z12" t="n">
        <v>367.3</v>
      </c>
      <c r="AA12" t="n">
        <v>327.1</v>
      </c>
      <c r="AB12" t="n">
        <v>298.8</v>
      </c>
      <c r="AC12" t="n">
        <v>354.7</v>
      </c>
      <c r="AD12" t="n">
        <v>426.9</v>
      </c>
      <c r="AE12" t="n">
        <v>339.2</v>
      </c>
      <c r="AF12" t="n">
        <v>352.8</v>
      </c>
    </row>
    <row r="13">
      <c r="A13" t="s">
        <v>7</v>
      </c>
      <c r="B13" t="s">
        <v>296</v>
      </c>
      <c r="C13" t="s">
        <v>246</v>
      </c>
      <c r="D13" t="s">
        <v>297</v>
      </c>
      <c r="E13" t="s">
        <v>247</v>
      </c>
      <c r="F13" t="n">
        <v>307.4</v>
      </c>
      <c r="G13" t="n">
        <v>357.3</v>
      </c>
      <c r="H13" t="n">
        <v>351.4</v>
      </c>
      <c r="I13" t="n">
        <v>395.3</v>
      </c>
      <c r="J13" t="n">
        <v>432.8</v>
      </c>
      <c r="K13" t="n">
        <v>401.7</v>
      </c>
      <c r="L13" t="n">
        <v>520.3</v>
      </c>
      <c r="M13" t="n">
        <v>495.6</v>
      </c>
      <c r="N13" t="n">
        <v>411</v>
      </c>
      <c r="O13" t="n">
        <v>425.9</v>
      </c>
      <c r="P13" t="n">
        <v>397.5</v>
      </c>
      <c r="Q13" t="n">
        <v>429.1</v>
      </c>
      <c r="R13" t="n">
        <v>499.8</v>
      </c>
      <c r="S13" t="n">
        <v>505.5</v>
      </c>
      <c r="T13" t="n">
        <v>428.9</v>
      </c>
      <c r="U13" t="n">
        <v>463.7</v>
      </c>
      <c r="V13" t="n">
        <v>450.1</v>
      </c>
      <c r="W13" t="n">
        <v>525.4</v>
      </c>
      <c r="X13" t="n">
        <v>440.6</v>
      </c>
      <c r="Y13" t="n">
        <v>534.9</v>
      </c>
      <c r="Z13" t="n">
        <v>544.6</v>
      </c>
      <c r="AA13" t="n">
        <v>580.8</v>
      </c>
      <c r="AB13" t="n">
        <v>527.4</v>
      </c>
      <c r="AC13" t="n">
        <v>731.2</v>
      </c>
      <c r="AD13" t="n">
        <v>770.1</v>
      </c>
      <c r="AE13" t="n">
        <v>616.1</v>
      </c>
      <c r="AF13" t="n">
        <v>765.7</v>
      </c>
    </row>
    <row r="14">
      <c r="A14" t="s">
        <v>7</v>
      </c>
      <c r="B14" t="s">
        <v>298</v>
      </c>
      <c r="C14" t="s">
        <v>246</v>
      </c>
      <c r="D14" t="s">
        <v>299</v>
      </c>
      <c r="E14" t="s">
        <v>247</v>
      </c>
      <c r="F14" t="n">
        <v>51.8</v>
      </c>
      <c r="G14" t="n">
        <v>56.1</v>
      </c>
      <c r="H14" t="n">
        <v>61.5</v>
      </c>
      <c r="I14" t="n">
        <v>67.8</v>
      </c>
      <c r="J14" t="n">
        <v>75.9</v>
      </c>
      <c r="K14" t="n">
        <v>78.7</v>
      </c>
      <c r="L14" t="n">
        <v>86.8</v>
      </c>
      <c r="M14" t="n">
        <v>82.5</v>
      </c>
      <c r="N14" t="n">
        <v>73.9</v>
      </c>
      <c r="O14" t="n">
        <v>81.3</v>
      </c>
      <c r="P14" t="n">
        <v>75</v>
      </c>
      <c r="Q14" t="n">
        <v>76</v>
      </c>
      <c r="R14" t="n">
        <v>88.8</v>
      </c>
      <c r="S14" t="n">
        <v>86.2</v>
      </c>
      <c r="T14" t="n">
        <v>70.3</v>
      </c>
      <c r="U14" t="n">
        <v>80.4</v>
      </c>
      <c r="V14" t="n">
        <v>78.7</v>
      </c>
      <c r="W14" t="n">
        <v>106.6</v>
      </c>
      <c r="X14" t="n">
        <v>106.4</v>
      </c>
      <c r="Y14" t="n">
        <v>85.5</v>
      </c>
      <c r="Z14" t="n">
        <v>71</v>
      </c>
      <c r="AA14" t="n">
        <v>56.7</v>
      </c>
      <c r="AB14" t="n">
        <v>208.4</v>
      </c>
      <c r="AC14" t="n">
        <v>179.5</v>
      </c>
      <c r="AD14" t="n">
        <v>161.6</v>
      </c>
      <c r="AE14" t="n">
        <v>154.6</v>
      </c>
      <c r="AF14" t="n">
        <v>191.3</v>
      </c>
    </row>
    <row r="15">
      <c r="A15" t="s">
        <v>7</v>
      </c>
      <c r="B15" t="s">
        <v>300</v>
      </c>
      <c r="C15" t="s">
        <v>246</v>
      </c>
      <c r="D15" t="s">
        <v>301</v>
      </c>
      <c r="E15" t="s">
        <v>247</v>
      </c>
      <c r="F15" t="n">
        <v>223.9</v>
      </c>
      <c r="G15" t="n">
        <v>245.6</v>
      </c>
      <c r="H15" t="n">
        <v>263.5</v>
      </c>
      <c r="I15" t="n">
        <v>292.3</v>
      </c>
      <c r="J15" t="n">
        <v>324.5</v>
      </c>
      <c r="K15" t="n">
        <v>299.4</v>
      </c>
      <c r="L15" t="n">
        <v>422.7</v>
      </c>
      <c r="M15" t="n">
        <v>348.6</v>
      </c>
      <c r="N15" t="n">
        <v>343.4</v>
      </c>
      <c r="O15" t="n">
        <v>332.1</v>
      </c>
      <c r="P15" t="n">
        <v>291.2</v>
      </c>
      <c r="Q15" t="n">
        <v>328.9</v>
      </c>
      <c r="R15" t="n">
        <v>362.8</v>
      </c>
      <c r="S15" t="n">
        <v>376.1</v>
      </c>
      <c r="T15" t="n">
        <v>333.8</v>
      </c>
      <c r="U15" t="n">
        <v>347</v>
      </c>
      <c r="V15" t="n">
        <v>338.1</v>
      </c>
      <c r="W15" t="n">
        <v>323.3</v>
      </c>
      <c r="X15" t="n">
        <v>347.1</v>
      </c>
      <c r="Y15" t="n">
        <v>350.6</v>
      </c>
      <c r="Z15" t="n">
        <v>264.5</v>
      </c>
      <c r="AA15" t="n">
        <v>266.8</v>
      </c>
      <c r="AB15" t="n">
        <v>481.4</v>
      </c>
      <c r="AC15" t="n">
        <v>449.1</v>
      </c>
      <c r="AD15" t="n">
        <v>439.4</v>
      </c>
      <c r="AE15" t="n">
        <v>341.6</v>
      </c>
      <c r="AF15" t="n">
        <v>410.3</v>
      </c>
    </row>
    <row r="16">
      <c r="A16" t="s">
        <v>7</v>
      </c>
      <c r="B16" t="s">
        <v>302</v>
      </c>
      <c r="C16" t="s">
        <v>246</v>
      </c>
      <c r="D16" t="s">
        <v>303</v>
      </c>
      <c r="E16" t="s">
        <v>247</v>
      </c>
      <c r="F16" t="n">
        <v>172.1</v>
      </c>
      <c r="G16" t="n">
        <v>189.5</v>
      </c>
      <c r="H16" t="n">
        <v>202</v>
      </c>
      <c r="I16" t="n">
        <v>224.5</v>
      </c>
      <c r="J16" t="n">
        <v>248.6</v>
      </c>
      <c r="K16" t="n">
        <v>220.7</v>
      </c>
      <c r="L16" t="n">
        <v>335.9</v>
      </c>
      <c r="M16" t="n">
        <v>266.1</v>
      </c>
      <c r="N16" t="n">
        <v>269.5</v>
      </c>
      <c r="O16" t="n">
        <v>250.8</v>
      </c>
      <c r="P16" t="n">
        <v>216.2</v>
      </c>
      <c r="Q16" t="n">
        <v>252.9</v>
      </c>
      <c r="R16" t="n">
        <v>274</v>
      </c>
      <c r="S16" t="n">
        <v>289.9</v>
      </c>
      <c r="T16" t="n">
        <v>263.5</v>
      </c>
      <c r="U16" t="n">
        <v>266.6</v>
      </c>
      <c r="V16" t="n">
        <v>259.4</v>
      </c>
      <c r="W16" t="n">
        <v>216.7</v>
      </c>
      <c r="X16" t="n">
        <v>240.7</v>
      </c>
      <c r="Y16" t="n">
        <v>265.1</v>
      </c>
      <c r="Z16" t="n">
        <v>193.5</v>
      </c>
      <c r="AA16" t="n">
        <v>210.1</v>
      </c>
      <c r="AB16" t="n">
        <v>273</v>
      </c>
      <c r="AC16" t="n">
        <v>269.6</v>
      </c>
      <c r="AD16" t="n">
        <v>277.8</v>
      </c>
      <c r="AE16" t="n">
        <v>187</v>
      </c>
      <c r="AF16" t="n">
        <v>219</v>
      </c>
    </row>
    <row r="17">
      <c r="A17" t="s">
        <v>7</v>
      </c>
      <c r="B17" t="s">
        <v>304</v>
      </c>
      <c r="C17" t="s">
        <v>246</v>
      </c>
      <c r="D17" t="s">
        <v>305</v>
      </c>
      <c r="E17" t="s">
        <v>247</v>
      </c>
      <c r="F17" t="n">
        <v>281.6</v>
      </c>
      <c r="G17" t="n">
        <v>330.8</v>
      </c>
      <c r="H17" t="n">
        <v>319.5</v>
      </c>
      <c r="I17" t="n">
        <v>364.8</v>
      </c>
      <c r="J17" t="n">
        <v>389.5</v>
      </c>
      <c r="K17" t="n">
        <v>413.2</v>
      </c>
      <c r="L17" t="n">
        <v>458.8</v>
      </c>
      <c r="M17" t="n">
        <v>428.8</v>
      </c>
      <c r="N17" t="n">
        <v>412.8</v>
      </c>
      <c r="O17" t="n">
        <v>389</v>
      </c>
      <c r="P17" t="n">
        <v>424.2</v>
      </c>
      <c r="Q17" t="n">
        <v>403.9</v>
      </c>
      <c r="R17" t="n">
        <v>438</v>
      </c>
      <c r="S17" t="n">
        <v>452.6</v>
      </c>
      <c r="T17" t="n">
        <v>403.4</v>
      </c>
      <c r="U17" t="n">
        <v>425.8</v>
      </c>
      <c r="V17" t="n">
        <v>414.4</v>
      </c>
      <c r="W17" t="n">
        <v>599</v>
      </c>
      <c r="X17" t="n">
        <v>623.4</v>
      </c>
      <c r="Y17" t="n">
        <v>797.7</v>
      </c>
      <c r="Z17" t="n">
        <v>729.5</v>
      </c>
      <c r="AA17" t="n">
        <v>732.8</v>
      </c>
      <c r="AB17" t="n">
        <v>769.5</v>
      </c>
      <c r="AC17" t="n">
        <v>955.6</v>
      </c>
      <c r="AD17" t="n">
        <v>806.4</v>
      </c>
      <c r="AE17" t="n">
        <v>735</v>
      </c>
      <c r="AF17" t="n">
        <v>817.9</v>
      </c>
    </row>
    <row r="18">
      <c r="A18" t="s">
        <v>7</v>
      </c>
      <c r="B18" t="s">
        <v>306</v>
      </c>
      <c r="C18" t="s">
        <v>246</v>
      </c>
      <c r="D18" t="s">
        <v>307</v>
      </c>
      <c r="E18" t="s">
        <v>247</v>
      </c>
      <c r="F18" t="n">
        <v>316.4</v>
      </c>
      <c r="G18" t="n">
        <v>358.1</v>
      </c>
      <c r="H18" t="n">
        <v>365.7</v>
      </c>
      <c r="I18" t="n">
        <v>447.3</v>
      </c>
      <c r="J18" t="n">
        <v>442.7</v>
      </c>
      <c r="K18" t="n">
        <v>413.8</v>
      </c>
      <c r="L18" t="n">
        <v>451.5</v>
      </c>
      <c r="M18" t="n">
        <v>501.8</v>
      </c>
      <c r="N18" t="n">
        <v>480.4</v>
      </c>
      <c r="O18" t="n">
        <v>429.7</v>
      </c>
      <c r="P18" t="n">
        <v>579.7</v>
      </c>
      <c r="Q18" t="n">
        <v>446.2</v>
      </c>
      <c r="R18" t="n">
        <v>469.2</v>
      </c>
      <c r="S18" t="n">
        <v>505.3</v>
      </c>
      <c r="T18" t="n">
        <v>493.7</v>
      </c>
      <c r="U18" t="n">
        <v>475.2</v>
      </c>
      <c r="V18" t="n">
        <v>462.3</v>
      </c>
      <c r="W18" t="n">
        <v>557</v>
      </c>
      <c r="X18" t="n">
        <v>936.2</v>
      </c>
      <c r="Y18" t="n">
        <v>746.7</v>
      </c>
      <c r="Z18" t="n">
        <v>659.1</v>
      </c>
      <c r="AA18" t="n">
        <v>665.1</v>
      </c>
      <c r="AB18" t="n">
        <v>845.8</v>
      </c>
      <c r="AC18" t="n">
        <v>1154.3</v>
      </c>
      <c r="AD18" t="n">
        <v>1295.5</v>
      </c>
      <c r="AE18" t="n">
        <v>957.2</v>
      </c>
      <c r="AF18" t="n">
        <v>1868.7</v>
      </c>
    </row>
    <row r="19">
      <c r="A19" t="s">
        <v>7</v>
      </c>
      <c r="B19" t="s">
        <v>308</v>
      </c>
      <c r="C19" t="s">
        <v>246</v>
      </c>
      <c r="D19" t="s">
        <v>309</v>
      </c>
      <c r="E19" t="s">
        <v>247</v>
      </c>
      <c r="F19" t="n">
        <v>236</v>
      </c>
      <c r="G19" t="n">
        <v>263.5</v>
      </c>
      <c r="H19" t="n">
        <v>270.7</v>
      </c>
      <c r="I19" t="n">
        <v>298.8</v>
      </c>
      <c r="J19" t="n">
        <v>323.9</v>
      </c>
      <c r="K19" t="n">
        <v>372.1</v>
      </c>
      <c r="L19" t="n">
        <v>375.1</v>
      </c>
      <c r="M19" t="n">
        <v>353.5</v>
      </c>
      <c r="N19" t="n">
        <v>345</v>
      </c>
      <c r="O19" t="n">
        <v>347.4</v>
      </c>
      <c r="P19" t="n">
        <v>314.7</v>
      </c>
      <c r="Q19" t="n">
        <v>339.5</v>
      </c>
      <c r="R19" t="n">
        <v>374.1</v>
      </c>
      <c r="S19" t="n">
        <v>352.7</v>
      </c>
      <c r="T19" t="n">
        <v>317.7</v>
      </c>
      <c r="U19" t="n">
        <v>352</v>
      </c>
      <c r="V19" t="n">
        <v>342.9</v>
      </c>
      <c r="W19" t="n">
        <v>252.6</v>
      </c>
      <c r="X19" t="n">
        <v>300.1</v>
      </c>
      <c r="Y19" t="n">
        <v>410.8</v>
      </c>
      <c r="Z19" t="n">
        <v>308</v>
      </c>
      <c r="AA19" t="n">
        <v>383.5</v>
      </c>
      <c r="AB19" t="n">
        <v>313.9</v>
      </c>
      <c r="AC19" t="n">
        <v>381.9</v>
      </c>
      <c r="AD19" t="n">
        <v>427.5</v>
      </c>
      <c r="AE19" t="n">
        <v>315.8</v>
      </c>
      <c r="AF19" t="n">
        <v>370.8</v>
      </c>
    </row>
    <row r="20">
      <c r="A20" t="s">
        <v>7</v>
      </c>
      <c r="B20" t="s">
        <v>310</v>
      </c>
      <c r="C20" t="s">
        <v>246</v>
      </c>
      <c r="D20" t="s">
        <v>311</v>
      </c>
      <c r="E20" t="s">
        <v>247</v>
      </c>
      <c r="F20" t="n">
        <v>382.9</v>
      </c>
      <c r="G20" t="n">
        <v>467.2</v>
      </c>
      <c r="H20" t="n">
        <v>468.4</v>
      </c>
      <c r="I20" t="n">
        <v>449.3</v>
      </c>
      <c r="J20" t="n">
        <v>504.9</v>
      </c>
      <c r="K20" t="n">
        <v>446.4</v>
      </c>
      <c r="L20" t="n">
        <v>682</v>
      </c>
      <c r="M20" t="n">
        <v>668.8</v>
      </c>
      <c r="N20" t="n">
        <v>663.7</v>
      </c>
      <c r="O20" t="n">
        <v>593.7</v>
      </c>
      <c r="P20" t="n">
        <v>493.1</v>
      </c>
      <c r="Q20" t="n">
        <v>507.2</v>
      </c>
      <c r="R20" t="n">
        <v>591.4</v>
      </c>
      <c r="S20" t="n">
        <v>521.5</v>
      </c>
      <c r="T20" t="n">
        <v>876.7</v>
      </c>
      <c r="U20" t="n">
        <v>598.8</v>
      </c>
      <c r="V20" t="n">
        <v>581.4</v>
      </c>
      <c r="W20" t="n">
        <v>517.1</v>
      </c>
      <c r="X20" t="n">
        <v>822</v>
      </c>
      <c r="Y20" t="n">
        <v>745.1</v>
      </c>
      <c r="Z20" t="n">
        <v>781.9</v>
      </c>
      <c r="AA20" t="n">
        <v>1006.5</v>
      </c>
      <c r="AB20" t="n">
        <v>982.4</v>
      </c>
      <c r="AC20" t="n">
        <v>1074.5</v>
      </c>
      <c r="AD20" t="n">
        <v>1126.5</v>
      </c>
      <c r="AE20" t="n">
        <v>977.5</v>
      </c>
      <c r="AF20" t="n">
        <v>991.5</v>
      </c>
    </row>
    <row r="21">
      <c r="A21" t="s">
        <v>7</v>
      </c>
      <c r="B21" t="s">
        <v>312</v>
      </c>
      <c r="C21" t="s">
        <v>246</v>
      </c>
      <c r="D21" t="s">
        <v>313</v>
      </c>
      <c r="E21" t="s">
        <v>247</v>
      </c>
      <c r="F21" t="n">
        <v>444.7</v>
      </c>
      <c r="G21" t="n">
        <v>529.3</v>
      </c>
      <c r="H21" t="n">
        <v>536.1</v>
      </c>
      <c r="I21" t="n">
        <v>518.5</v>
      </c>
      <c r="J21" t="n">
        <v>585.1</v>
      </c>
      <c r="K21" t="n">
        <v>529.7</v>
      </c>
      <c r="L21" t="n">
        <v>770</v>
      </c>
      <c r="M21" t="n">
        <v>761.6</v>
      </c>
      <c r="N21" t="n">
        <v>749.8</v>
      </c>
      <c r="O21" t="n">
        <v>684.5</v>
      </c>
      <c r="P21" t="n">
        <v>568.8</v>
      </c>
      <c r="Q21" t="n">
        <v>602.9</v>
      </c>
      <c r="R21" t="n">
        <v>683.7</v>
      </c>
      <c r="S21" t="n">
        <v>608.4</v>
      </c>
      <c r="T21" t="n">
        <v>974.8</v>
      </c>
      <c r="U21" t="n">
        <v>691.3</v>
      </c>
      <c r="V21" t="n">
        <v>670.9</v>
      </c>
      <c r="W21" t="n">
        <v>616.9</v>
      </c>
      <c r="X21" t="n">
        <v>932.5</v>
      </c>
      <c r="Y21" t="n">
        <v>900.1</v>
      </c>
      <c r="Z21" t="n">
        <v>966.6</v>
      </c>
      <c r="AA21" t="n">
        <v>1270.9</v>
      </c>
      <c r="AB21" t="n">
        <v>1327</v>
      </c>
      <c r="AC21" t="n">
        <v>1509</v>
      </c>
      <c r="AD21" t="n">
        <v>1526.9</v>
      </c>
      <c r="AE21" t="n">
        <v>1233.1</v>
      </c>
      <c r="AF21" t="n">
        <v>1253.9</v>
      </c>
    </row>
    <row r="22">
      <c r="A22" t="s">
        <v>7</v>
      </c>
      <c r="B22" t="s">
        <v>314</v>
      </c>
      <c r="C22" t="s">
        <v>246</v>
      </c>
      <c r="D22" t="s">
        <v>315</v>
      </c>
      <c r="E22" t="s">
        <v>247</v>
      </c>
      <c r="F22" t="n">
        <v>61.8</v>
      </c>
      <c r="G22" t="n">
        <v>62.1</v>
      </c>
      <c r="H22" t="n">
        <v>67.7</v>
      </c>
      <c r="I22" t="n">
        <v>69.2</v>
      </c>
      <c r="J22" t="n">
        <v>80.2</v>
      </c>
      <c r="K22" t="n">
        <v>83.3</v>
      </c>
      <c r="L22" t="n">
        <v>88</v>
      </c>
      <c r="M22" t="n">
        <v>92.8</v>
      </c>
      <c r="N22" t="n">
        <v>86.1</v>
      </c>
      <c r="O22" t="n">
        <v>90.8</v>
      </c>
      <c r="P22" t="n">
        <v>75.7</v>
      </c>
      <c r="Q22" t="n">
        <v>95.7</v>
      </c>
      <c r="R22" t="n">
        <v>92.3</v>
      </c>
      <c r="S22" t="n">
        <v>86.9</v>
      </c>
      <c r="T22" t="n">
        <v>98.1</v>
      </c>
      <c r="U22" t="n">
        <v>92.5</v>
      </c>
      <c r="V22" t="n">
        <v>89.5</v>
      </c>
      <c r="W22" t="n">
        <v>99.8</v>
      </c>
      <c r="X22" t="n">
        <v>110.5</v>
      </c>
      <c r="Y22" t="n">
        <v>155</v>
      </c>
      <c r="Z22" t="n">
        <v>184.7</v>
      </c>
      <c r="AA22" t="n">
        <v>264.4</v>
      </c>
      <c r="AB22" t="n">
        <v>344.6</v>
      </c>
      <c r="AC22" t="n">
        <v>434.5</v>
      </c>
      <c r="AD22" t="n">
        <v>400.4</v>
      </c>
      <c r="AE22" t="n">
        <v>255.6</v>
      </c>
      <c r="AF22" t="n">
        <v>262.4</v>
      </c>
    </row>
    <row r="23">
      <c r="A23" t="s">
        <v>7</v>
      </c>
      <c r="B23" t="s">
        <v>316</v>
      </c>
      <c r="C23" t="s">
        <v>246</v>
      </c>
      <c r="D23" t="s">
        <v>317</v>
      </c>
      <c r="E23" t="s">
        <v>247</v>
      </c>
      <c r="F23" t="n">
        <v>104.8</v>
      </c>
      <c r="G23" t="n">
        <v>125.8</v>
      </c>
      <c r="H23" t="n">
        <v>127.3</v>
      </c>
      <c r="I23" t="n">
        <v>136</v>
      </c>
      <c r="J23" t="n">
        <v>145.3</v>
      </c>
      <c r="K23" t="n">
        <v>143.3</v>
      </c>
      <c r="L23" t="n">
        <v>185.7</v>
      </c>
      <c r="M23" t="n">
        <v>178.3</v>
      </c>
      <c r="N23" t="n">
        <v>159.3</v>
      </c>
      <c r="O23" t="n">
        <v>140.3</v>
      </c>
      <c r="P23" t="n">
        <v>147</v>
      </c>
      <c r="Q23" t="n">
        <v>140.8</v>
      </c>
      <c r="R23" t="n">
        <v>178.3</v>
      </c>
      <c r="S23" t="n">
        <v>141</v>
      </c>
      <c r="T23" t="n">
        <v>161.8</v>
      </c>
      <c r="U23" t="n">
        <v>161</v>
      </c>
      <c r="V23" t="n">
        <v>156.1</v>
      </c>
      <c r="W23" t="n">
        <v>136.2</v>
      </c>
      <c r="X23" t="n">
        <v>143.2</v>
      </c>
      <c r="Y23" t="n">
        <v>156.9</v>
      </c>
      <c r="Z23" t="n">
        <v>137.5</v>
      </c>
      <c r="AA23" t="n">
        <v>188.1</v>
      </c>
      <c r="AB23" t="n">
        <v>295.6</v>
      </c>
      <c r="AC23" t="n">
        <v>222</v>
      </c>
      <c r="AD23" t="n">
        <v>194</v>
      </c>
      <c r="AE23" t="n">
        <v>316.1</v>
      </c>
      <c r="AF23" t="n">
        <v>287</v>
      </c>
    </row>
    <row r="24">
      <c r="A24" t="s">
        <v>7</v>
      </c>
      <c r="B24" t="s">
        <v>318</v>
      </c>
      <c r="C24" t="s">
        <v>246</v>
      </c>
      <c r="D24" t="s">
        <v>319</v>
      </c>
      <c r="E24" t="s">
        <v>247</v>
      </c>
      <c r="F24" t="n">
        <v>862.8</v>
      </c>
      <c r="G24" t="n">
        <v>955</v>
      </c>
      <c r="H24" t="n">
        <v>987.2</v>
      </c>
      <c r="I24" t="n">
        <v>1071.7</v>
      </c>
      <c r="J24" t="n">
        <v>1180.7</v>
      </c>
      <c r="K24" t="n">
        <v>1148.4</v>
      </c>
      <c r="L24" t="n">
        <v>1339.3</v>
      </c>
      <c r="M24" t="n">
        <v>1495.5</v>
      </c>
      <c r="N24" t="n">
        <v>1098.3</v>
      </c>
      <c r="O24" t="n">
        <v>1126.2</v>
      </c>
      <c r="P24" t="n">
        <v>1088.7</v>
      </c>
      <c r="Q24" t="n">
        <v>1370.3</v>
      </c>
      <c r="R24" t="n">
        <v>1313.8</v>
      </c>
      <c r="S24" t="n">
        <v>1198</v>
      </c>
      <c r="T24" t="n">
        <v>1279</v>
      </c>
      <c r="U24" t="n">
        <v>1289.7</v>
      </c>
      <c r="V24" t="n">
        <v>1253.1</v>
      </c>
      <c r="W24" t="n">
        <v>1305.3</v>
      </c>
      <c r="X24" t="n">
        <v>1199.2</v>
      </c>
      <c r="Y24" t="n">
        <v>1449.5</v>
      </c>
      <c r="Z24" t="n">
        <v>1314.1</v>
      </c>
      <c r="AA24" t="n">
        <v>1817.2</v>
      </c>
      <c r="AB24" t="n">
        <v>1997.5</v>
      </c>
      <c r="AC24" t="n">
        <v>2157.7</v>
      </c>
      <c r="AD24" t="n">
        <v>1961.7</v>
      </c>
      <c r="AE24" t="n">
        <v>1722.6</v>
      </c>
      <c r="AF24" t="n">
        <v>1874.3</v>
      </c>
    </row>
    <row r="25">
      <c r="A25" t="s">
        <v>7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</v>
      </c>
      <c r="B28" t="s">
        <v>326</v>
      </c>
      <c r="C28" t="s">
        <v>246</v>
      </c>
      <c r="D28" t="s">
        <v>327</v>
      </c>
      <c r="E28" t="s">
        <v>247</v>
      </c>
      <c r="F28" t="n">
        <v>561.5</v>
      </c>
      <c r="G28" t="n">
        <v>666</v>
      </c>
      <c r="H28" t="n">
        <v>657.4</v>
      </c>
      <c r="I28" t="n">
        <v>689.1</v>
      </c>
      <c r="J28" t="n">
        <v>701.2</v>
      </c>
      <c r="K28" t="n">
        <v>787.6</v>
      </c>
      <c r="L28" t="n">
        <v>775.7</v>
      </c>
      <c r="M28" t="n">
        <v>923.4</v>
      </c>
      <c r="N28" t="n">
        <v>721.9</v>
      </c>
      <c r="O28" t="n">
        <v>934.9</v>
      </c>
      <c r="P28" t="n">
        <v>950.8</v>
      </c>
      <c r="Q28" t="n">
        <v>990.8</v>
      </c>
      <c r="R28" t="n">
        <v>1099.2</v>
      </c>
      <c r="S28" t="n">
        <v>908.9</v>
      </c>
      <c r="T28" t="n">
        <v>1076.6</v>
      </c>
      <c r="U28" t="n">
        <v>900.8</v>
      </c>
      <c r="V28" t="n">
        <v>879.5</v>
      </c>
      <c r="W28" t="n">
        <v>773.8</v>
      </c>
      <c r="X28" t="n">
        <v>695.2</v>
      </c>
      <c r="Y28" t="n">
        <v>774.2</v>
      </c>
      <c r="Z28" t="n">
        <v>1062.5</v>
      </c>
      <c r="AA28" t="n">
        <v>1052</v>
      </c>
      <c r="AB28" t="n">
        <v>918.9</v>
      </c>
      <c r="AC28" t="n">
        <v>934.6</v>
      </c>
      <c r="AD28" t="n">
        <v>944.1</v>
      </c>
      <c r="AE28" t="n">
        <v>1033.9</v>
      </c>
      <c r="AF28" t="n">
        <v>1028.3</v>
      </c>
    </row>
    <row r="29">
      <c r="A29" t="s">
        <v>7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</v>
      </c>
      <c r="B34" t="s">
        <v>338</v>
      </c>
      <c r="C34" t="s">
        <v>246</v>
      </c>
      <c r="D34" t="s">
        <v>339</v>
      </c>
      <c r="E34" t="s">
        <v>247</v>
      </c>
      <c r="F34" t="n">
        <v>80</v>
      </c>
      <c r="G34" t="n">
        <v>90.5</v>
      </c>
      <c r="H34" t="n">
        <v>91.2</v>
      </c>
      <c r="I34" t="n">
        <v>96.2</v>
      </c>
      <c r="J34" t="n">
        <v>100.7</v>
      </c>
      <c r="K34" t="n">
        <v>99.6</v>
      </c>
      <c r="L34" t="n">
        <v>176.1</v>
      </c>
      <c r="M34" t="n">
        <v>143.5</v>
      </c>
      <c r="N34" t="n">
        <v>93.1</v>
      </c>
      <c r="O34" t="n">
        <v>103.1</v>
      </c>
      <c r="P34" t="n">
        <v>99.7</v>
      </c>
      <c r="Q34" t="n">
        <v>107.9</v>
      </c>
      <c r="R34" t="n">
        <v>134.6</v>
      </c>
      <c r="S34" t="n">
        <v>133.3</v>
      </c>
      <c r="T34" t="n">
        <v>116.8</v>
      </c>
      <c r="U34" t="n">
        <v>120</v>
      </c>
      <c r="V34" t="n">
        <v>116.1</v>
      </c>
      <c r="W34" t="n">
        <v>155.8</v>
      </c>
      <c r="X34" t="n">
        <v>162</v>
      </c>
      <c r="Y34" t="n">
        <v>223.7</v>
      </c>
      <c r="Z34" t="n">
        <v>141.4</v>
      </c>
      <c r="AA34" t="n">
        <v>213.2</v>
      </c>
      <c r="AB34" t="n">
        <v>171.7</v>
      </c>
      <c r="AC34" t="n">
        <v>234.3</v>
      </c>
      <c r="AD34" t="n">
        <v>281.4</v>
      </c>
      <c r="AE34" t="n">
        <v>316.2</v>
      </c>
      <c r="AF34" t="n">
        <v>197.2</v>
      </c>
    </row>
    <row r="35">
      <c r="A35" t="s">
        <v>7</v>
      </c>
      <c r="B35" t="s">
        <v>340</v>
      </c>
      <c r="C35" t="s">
        <v>246</v>
      </c>
      <c r="D35" t="s">
        <v>341</v>
      </c>
      <c r="E35" t="s">
        <v>247</v>
      </c>
      <c r="F35" t="n">
        <v>2922.7</v>
      </c>
      <c r="G35" t="n">
        <v>3577.9</v>
      </c>
      <c r="H35" t="n">
        <v>3611.8</v>
      </c>
      <c r="I35" t="n">
        <v>3741.5</v>
      </c>
      <c r="J35" t="n">
        <v>4179</v>
      </c>
      <c r="K35" t="n">
        <v>4518</v>
      </c>
      <c r="L35" t="n">
        <v>4728.8</v>
      </c>
      <c r="M35" t="n">
        <v>4861.7</v>
      </c>
      <c r="N35" t="n">
        <v>5403.5</v>
      </c>
      <c r="O35" t="n">
        <v>4395</v>
      </c>
      <c r="P35" t="n">
        <v>4694.2</v>
      </c>
      <c r="Q35" t="n">
        <v>4632.5</v>
      </c>
      <c r="R35" t="n">
        <v>5222.3</v>
      </c>
      <c r="S35" t="n">
        <v>4971.9</v>
      </c>
      <c r="T35" t="n">
        <v>4417.3</v>
      </c>
      <c r="U35" t="n">
        <v>4839.5</v>
      </c>
      <c r="V35" t="n">
        <v>4703.5</v>
      </c>
      <c r="W35" t="n">
        <v>5946.1</v>
      </c>
      <c r="X35" t="n">
        <v>6151.9</v>
      </c>
      <c r="Y35" t="n">
        <v>6487.5</v>
      </c>
      <c r="Z35" t="n">
        <v>7933</v>
      </c>
      <c r="AA35" t="n">
        <v>7786.3</v>
      </c>
      <c r="AB35" t="n">
        <v>7122.7</v>
      </c>
      <c r="AC35" t="n">
        <v>6253.4</v>
      </c>
      <c r="AD35" t="n">
        <v>5791.6</v>
      </c>
      <c r="AE35" t="n">
        <v>7664</v>
      </c>
      <c r="AF35" t="n">
        <v>7040.2</v>
      </c>
    </row>
    <row r="36">
      <c r="A36" t="s">
        <v>7</v>
      </c>
      <c r="B36" t="s">
        <v>342</v>
      </c>
      <c r="C36" t="s">
        <v>246</v>
      </c>
      <c r="D36" t="s">
        <v>343</v>
      </c>
      <c r="E36" t="s">
        <v>247</v>
      </c>
      <c r="F36" t="n">
        <v>570</v>
      </c>
      <c r="G36" t="n">
        <v>544.7</v>
      </c>
      <c r="H36" t="n">
        <v>623.4</v>
      </c>
      <c r="I36" t="n">
        <v>622.3</v>
      </c>
      <c r="J36" t="n">
        <v>723.6</v>
      </c>
      <c r="K36" t="n">
        <v>719.7</v>
      </c>
      <c r="L36" t="n">
        <v>675.4</v>
      </c>
      <c r="M36" t="n">
        <v>874.5</v>
      </c>
      <c r="N36" t="n">
        <v>766.2</v>
      </c>
      <c r="O36" t="n">
        <v>752.6</v>
      </c>
      <c r="P36" t="n">
        <v>812</v>
      </c>
      <c r="Q36" t="n">
        <v>749.4</v>
      </c>
      <c r="R36" t="n">
        <v>854.1</v>
      </c>
      <c r="S36" t="n">
        <v>848.3</v>
      </c>
      <c r="T36" t="n">
        <v>841.2</v>
      </c>
      <c r="U36" t="n">
        <v>781.5</v>
      </c>
      <c r="V36" t="n">
        <v>758</v>
      </c>
      <c r="W36" t="n">
        <v>1414.3</v>
      </c>
      <c r="X36" t="n">
        <v>880.3</v>
      </c>
      <c r="Y36" t="n">
        <v>770.4</v>
      </c>
      <c r="Z36" t="n">
        <v>644.9</v>
      </c>
      <c r="AA36" t="n">
        <v>1381.5</v>
      </c>
      <c r="AB36" t="n">
        <v>1238.9</v>
      </c>
      <c r="AC36" t="n">
        <v>1167.1</v>
      </c>
      <c r="AD36" t="n">
        <v>866.2</v>
      </c>
      <c r="AE36" t="n">
        <v>865</v>
      </c>
      <c r="AF36" t="n">
        <v>1102.9</v>
      </c>
    </row>
    <row r="37">
      <c r="A37" t="s">
        <v>7</v>
      </c>
      <c r="B37" t="s">
        <v>344</v>
      </c>
      <c r="C37" t="s">
        <v>246</v>
      </c>
      <c r="D37" t="s">
        <v>345</v>
      </c>
      <c r="E37" t="s">
        <v>247</v>
      </c>
      <c r="F37" t="n">
        <v>982.7</v>
      </c>
      <c r="G37" t="n">
        <v>1163.5</v>
      </c>
      <c r="H37" t="n">
        <v>1164.3</v>
      </c>
      <c r="I37" t="n">
        <v>1216.1</v>
      </c>
      <c r="J37" t="n">
        <v>1224.8</v>
      </c>
      <c r="K37" t="n">
        <v>1987.1</v>
      </c>
      <c r="L37" t="n">
        <v>1651.3</v>
      </c>
      <c r="M37" t="n">
        <v>1748.1</v>
      </c>
      <c r="N37" t="n">
        <v>1822.7</v>
      </c>
      <c r="O37" t="n">
        <v>1366.3</v>
      </c>
      <c r="P37" t="n">
        <v>1434.1</v>
      </c>
      <c r="Q37" t="n">
        <v>1411.4</v>
      </c>
      <c r="R37" t="n">
        <v>1623.9</v>
      </c>
      <c r="S37" t="n">
        <v>1877.9</v>
      </c>
      <c r="T37" t="n">
        <v>1204.5</v>
      </c>
      <c r="U37" t="n">
        <v>1533.1</v>
      </c>
      <c r="V37" t="n">
        <v>1502.2</v>
      </c>
      <c r="W37" t="n">
        <v>2243.7</v>
      </c>
      <c r="X37" t="n">
        <v>2447.6</v>
      </c>
      <c r="Y37" t="n">
        <v>3052.2</v>
      </c>
      <c r="Z37" t="n">
        <v>3806.1</v>
      </c>
      <c r="AA37" t="n">
        <v>3433.7</v>
      </c>
      <c r="AB37" t="n">
        <v>2463.3</v>
      </c>
      <c r="AC37" t="n">
        <v>1964.2</v>
      </c>
      <c r="AD37" t="n">
        <v>1949.3</v>
      </c>
      <c r="AE37" t="n">
        <v>3238.9</v>
      </c>
      <c r="AF37" t="n">
        <v>2229.1</v>
      </c>
    </row>
    <row r="38">
      <c r="A38" t="s">
        <v>7</v>
      </c>
      <c r="B38" t="s">
        <v>346</v>
      </c>
      <c r="C38" t="s">
        <v>246</v>
      </c>
      <c r="D38" t="s">
        <v>347</v>
      </c>
      <c r="E38" t="s">
        <v>247</v>
      </c>
      <c r="F38" t="n">
        <v>1370</v>
      </c>
      <c r="G38" t="n">
        <v>1869.7</v>
      </c>
      <c r="H38" t="n">
        <v>1824.1</v>
      </c>
      <c r="I38" t="n">
        <v>1903.1</v>
      </c>
      <c r="J38" t="n">
        <v>2230.6</v>
      </c>
      <c r="K38" t="n">
        <v>1811.2</v>
      </c>
      <c r="L38" t="n">
        <v>2402.1</v>
      </c>
      <c r="M38" t="n">
        <v>2239.1</v>
      </c>
      <c r="N38" t="n">
        <v>2814.6</v>
      </c>
      <c r="O38" t="n">
        <v>2276.1</v>
      </c>
      <c r="P38" t="n">
        <v>2448.1</v>
      </c>
      <c r="Q38" t="n">
        <v>2471.7</v>
      </c>
      <c r="R38" t="n">
        <v>2744.3</v>
      </c>
      <c r="S38" t="n">
        <v>2245.7</v>
      </c>
      <c r="T38" t="n">
        <v>2371.6</v>
      </c>
      <c r="U38" t="n">
        <v>2524.9</v>
      </c>
      <c r="V38" t="n">
        <v>2443.3</v>
      </c>
      <c r="W38" t="n">
        <v>2288.1</v>
      </c>
      <c r="X38" t="n">
        <v>2824</v>
      </c>
      <c r="Y38" t="n">
        <v>2664.9</v>
      </c>
      <c r="Z38" t="n">
        <v>3482</v>
      </c>
      <c r="AA38" t="n">
        <v>2971.1</v>
      </c>
      <c r="AB38" t="n">
        <v>3420.5</v>
      </c>
      <c r="AC38" t="n">
        <v>3122.1</v>
      </c>
      <c r="AD38" t="n">
        <v>2976.1</v>
      </c>
      <c r="AE38" t="n">
        <v>3560.1</v>
      </c>
      <c r="AF38" t="n">
        <v>3708.2</v>
      </c>
    </row>
    <row r="39">
      <c r="A39" t="s">
        <v>7</v>
      </c>
      <c r="B39" t="s">
        <v>348</v>
      </c>
      <c r="C39" t="s">
        <v>246</v>
      </c>
      <c r="D39" t="s">
        <v>349</v>
      </c>
      <c r="E39" t="s">
        <v>247</v>
      </c>
      <c r="F39" t="n">
        <v>827.9</v>
      </c>
      <c r="G39" t="n">
        <v>701.3</v>
      </c>
      <c r="H39" t="n">
        <v>809.3</v>
      </c>
      <c r="I39" t="n">
        <v>1157.6</v>
      </c>
      <c r="J39" t="n">
        <v>999.8</v>
      </c>
      <c r="K39" t="n">
        <v>1028</v>
      </c>
      <c r="L39" t="n">
        <v>1004.6</v>
      </c>
      <c r="M39" t="n">
        <v>1129.5</v>
      </c>
      <c r="N39" t="n">
        <v>1246</v>
      </c>
      <c r="O39" t="n">
        <v>1201.9</v>
      </c>
      <c r="P39" t="n">
        <v>1183.4</v>
      </c>
      <c r="Q39" t="n">
        <v>1317.3</v>
      </c>
      <c r="R39" t="n">
        <v>1001.8</v>
      </c>
      <c r="S39" t="n">
        <v>1503.3</v>
      </c>
      <c r="T39" t="n">
        <v>1069.7</v>
      </c>
      <c r="U39" t="n">
        <v>1209.3</v>
      </c>
      <c r="V39" t="n">
        <v>1124.5</v>
      </c>
      <c r="W39" t="n">
        <v>1093.4</v>
      </c>
      <c r="X39" t="n">
        <v>1104.8</v>
      </c>
      <c r="Y39" t="n">
        <v>1235.8</v>
      </c>
      <c r="Z39" t="n">
        <v>1565</v>
      </c>
      <c r="AA39" t="n">
        <v>1622.8</v>
      </c>
      <c r="AB39" t="n">
        <v>1752.2</v>
      </c>
      <c r="AC39" t="n">
        <v>1935.3</v>
      </c>
      <c r="AD39" t="n">
        <v>2152.5</v>
      </c>
      <c r="AE39" t="n">
        <v>2267.8</v>
      </c>
      <c r="AF39" t="n">
        <v>2176.4</v>
      </c>
    </row>
    <row r="40">
      <c r="A40" t="s">
        <v>7</v>
      </c>
      <c r="B40" t="s">
        <v>350</v>
      </c>
      <c r="C40" t="s">
        <v>246</v>
      </c>
      <c r="D40" t="s">
        <v>351</v>
      </c>
      <c r="E40" t="s">
        <v>247</v>
      </c>
      <c r="F40" t="n">
        <v>307.4</v>
      </c>
      <c r="G40" t="n">
        <v>393.8</v>
      </c>
      <c r="H40" t="n">
        <v>389.3</v>
      </c>
      <c r="I40" t="n">
        <v>417.4</v>
      </c>
      <c r="J40" t="n">
        <v>478.1</v>
      </c>
      <c r="K40" t="n">
        <v>592</v>
      </c>
      <c r="L40" t="n">
        <v>427.9</v>
      </c>
      <c r="M40" t="n">
        <v>618.8</v>
      </c>
      <c r="N40" t="n">
        <v>469.2</v>
      </c>
      <c r="O40" t="n">
        <v>486</v>
      </c>
      <c r="P40" t="n">
        <v>409</v>
      </c>
      <c r="Q40" t="n">
        <v>625.2</v>
      </c>
      <c r="R40" t="n">
        <v>503.5</v>
      </c>
      <c r="S40" t="n">
        <v>552</v>
      </c>
      <c r="T40" t="n">
        <v>786.8</v>
      </c>
      <c r="U40" t="n">
        <v>623.3</v>
      </c>
      <c r="V40" t="n">
        <v>509</v>
      </c>
      <c r="W40" t="n">
        <v>232.2</v>
      </c>
      <c r="X40" t="n">
        <v>297.5</v>
      </c>
      <c r="Y40" t="n">
        <v>704.3</v>
      </c>
      <c r="Z40" t="n">
        <v>392.5</v>
      </c>
      <c r="AA40" t="n">
        <v>186</v>
      </c>
      <c r="AB40" t="n">
        <v>40.8</v>
      </c>
      <c r="AC40" t="n">
        <v>44</v>
      </c>
      <c r="AD40" t="n">
        <v>105.9</v>
      </c>
      <c r="AE40" t="n">
        <v>120.6</v>
      </c>
      <c r="AF40" t="n">
        <v>99</v>
      </c>
    </row>
    <row r="41">
      <c r="A41" t="s">
        <v>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7</v>
      </c>
      <c r="B42" t="s">
        <v>354</v>
      </c>
      <c r="C42" t="s">
        <v>246</v>
      </c>
      <c r="D42" t="s">
        <v>355</v>
      </c>
      <c r="E42" t="s">
        <v>247</v>
      </c>
      <c r="F42" t="n">
        <v>927.2</v>
      </c>
      <c r="G42" t="n">
        <v>1191.7</v>
      </c>
      <c r="H42" t="n">
        <v>1193.5</v>
      </c>
      <c r="I42" t="n">
        <v>1264.8</v>
      </c>
      <c r="J42" t="n">
        <v>1435.1</v>
      </c>
      <c r="K42" t="n">
        <v>1577.9</v>
      </c>
      <c r="L42" t="n">
        <v>1618.6</v>
      </c>
      <c r="M42" t="n">
        <v>1630.3</v>
      </c>
      <c r="N42" t="n">
        <v>1501.8</v>
      </c>
      <c r="O42" t="n">
        <v>1575.4</v>
      </c>
      <c r="P42" t="n">
        <v>1538.3</v>
      </c>
      <c r="Q42" t="n">
        <v>1660.2</v>
      </c>
      <c r="R42" t="n">
        <v>1705.5</v>
      </c>
      <c r="S42" t="n">
        <v>1723.7</v>
      </c>
      <c r="T42" t="n">
        <v>1516.4</v>
      </c>
      <c r="U42" t="n">
        <v>1647.4</v>
      </c>
      <c r="V42" t="n">
        <v>1585.9</v>
      </c>
      <c r="W42" t="n">
        <v>1733.1</v>
      </c>
      <c r="X42" t="n">
        <v>1431.7</v>
      </c>
      <c r="Y42" t="n">
        <v>1879.2</v>
      </c>
      <c r="Z42" t="n">
        <v>1876.5</v>
      </c>
      <c r="AA42" t="n">
        <v>1898</v>
      </c>
      <c r="AB42" t="n">
        <v>2357.4</v>
      </c>
      <c r="AC42" t="n">
        <v>2257.7</v>
      </c>
      <c r="AD42" t="n">
        <v>2108.6</v>
      </c>
      <c r="AE42" t="n">
        <v>2069.2</v>
      </c>
      <c r="AF42" t="n">
        <v>2741.2</v>
      </c>
    </row>
    <row r="43">
      <c r="A43" t="s">
        <v>7</v>
      </c>
      <c r="B43" t="s">
        <v>356</v>
      </c>
      <c r="C43" t="s">
        <v>246</v>
      </c>
      <c r="D43" t="s">
        <v>357</v>
      </c>
      <c r="E43" t="s">
        <v>247</v>
      </c>
      <c r="F43" t="n">
        <v>1269.9</v>
      </c>
      <c r="G43" t="n">
        <v>1647.9</v>
      </c>
      <c r="H43" t="n">
        <v>1639.2</v>
      </c>
      <c r="I43" t="n">
        <v>1730.9</v>
      </c>
      <c r="J43" t="n">
        <v>1973.8</v>
      </c>
      <c r="K43" t="n">
        <v>2166.5</v>
      </c>
      <c r="L43" t="n">
        <v>2209</v>
      </c>
      <c r="M43" t="n">
        <v>2277.9</v>
      </c>
      <c r="N43" t="n">
        <v>2057.4</v>
      </c>
      <c r="O43" t="n">
        <v>2153.4</v>
      </c>
      <c r="P43" t="n">
        <v>2062.9</v>
      </c>
      <c r="Q43" t="n">
        <v>2261.2</v>
      </c>
      <c r="R43" t="n">
        <v>2338.3</v>
      </c>
      <c r="S43" t="n">
        <v>2453</v>
      </c>
      <c r="T43" t="n">
        <v>2089.3</v>
      </c>
      <c r="U43" t="n">
        <v>2271.7</v>
      </c>
      <c r="V43" t="n">
        <v>2202.3</v>
      </c>
      <c r="W43" t="n">
        <v>2450.6</v>
      </c>
      <c r="X43" t="n">
        <v>2137.7</v>
      </c>
      <c r="Y43" t="n">
        <v>2679.9</v>
      </c>
      <c r="Z43" t="n">
        <v>2646.6</v>
      </c>
      <c r="AA43" t="n">
        <v>2898.2</v>
      </c>
      <c r="AB43" t="n">
        <v>3207.3</v>
      </c>
      <c r="AC43" t="n">
        <v>3230.1</v>
      </c>
      <c r="AD43" t="n">
        <v>3305.6</v>
      </c>
      <c r="AE43" t="n">
        <v>3065.5</v>
      </c>
      <c r="AF43" t="n">
        <v>3702.7</v>
      </c>
    </row>
    <row r="44">
      <c r="A44" t="s">
        <v>7</v>
      </c>
      <c r="B44" t="s">
        <v>358</v>
      </c>
      <c r="C44" t="s">
        <v>246</v>
      </c>
      <c r="D44" t="s">
        <v>359</v>
      </c>
      <c r="E44" t="s">
        <v>247</v>
      </c>
      <c r="F44" t="n">
        <v>10226.1</v>
      </c>
      <c r="G44" t="n">
        <v>11816.7</v>
      </c>
      <c r="H44" t="n">
        <v>12063.8</v>
      </c>
      <c r="I44" t="n">
        <v>13169.5</v>
      </c>
      <c r="J44" t="n">
        <v>14128.4</v>
      </c>
      <c r="K44" t="n">
        <v>14773.7</v>
      </c>
      <c r="L44" t="n">
        <v>16053.5</v>
      </c>
      <c r="M44" t="n">
        <v>16740.3</v>
      </c>
      <c r="N44" t="n">
        <v>16127.2</v>
      </c>
      <c r="O44" t="n">
        <v>15031.5</v>
      </c>
      <c r="P44" t="n">
        <v>15464.6</v>
      </c>
      <c r="Q44" t="n">
        <v>15934.4</v>
      </c>
      <c r="R44" t="n">
        <v>16860.5</v>
      </c>
      <c r="S44" t="n">
        <v>16775.7</v>
      </c>
      <c r="T44" t="n">
        <v>15637.9</v>
      </c>
      <c r="U44" t="n">
        <v>16188.9</v>
      </c>
      <c r="V44" t="n">
        <v>15656.5</v>
      </c>
      <c r="W44" t="n">
        <v>17078</v>
      </c>
      <c r="X44" t="n">
        <v>17987.2</v>
      </c>
      <c r="Y44" t="n">
        <v>19539.1</v>
      </c>
      <c r="Z44" t="n">
        <v>20848.1</v>
      </c>
      <c r="AA44" t="n">
        <v>22258.6</v>
      </c>
      <c r="AB44" t="n">
        <v>22395.1</v>
      </c>
      <c r="AC44" t="n">
        <v>22955.7</v>
      </c>
      <c r="AD44" t="n">
        <v>23263.5</v>
      </c>
      <c r="AE44" t="n">
        <v>23380.1</v>
      </c>
      <c r="AF44" t="n">
        <v>24620.1</v>
      </c>
    </row>
    <row r="45">
      <c r="A45" t="s">
        <v>7</v>
      </c>
      <c r="B45" t="s">
        <v>360</v>
      </c>
      <c r="C45" t="s">
        <v>246</v>
      </c>
      <c r="D45" t="s">
        <v>361</v>
      </c>
      <c r="E45" t="s">
        <v>247</v>
      </c>
      <c r="F45" t="n">
        <v>10221.9</v>
      </c>
      <c r="G45" t="n">
        <v>11810.7</v>
      </c>
      <c r="H45" t="n">
        <v>12057.8</v>
      </c>
      <c r="I45" t="n">
        <v>13162.9</v>
      </c>
      <c r="J45" t="n">
        <v>14121.1</v>
      </c>
      <c r="K45" t="n">
        <v>14766.1</v>
      </c>
      <c r="L45" t="n">
        <v>16045.4</v>
      </c>
      <c r="M45" t="n">
        <v>16732.7</v>
      </c>
      <c r="N45" t="n">
        <v>16120.1</v>
      </c>
      <c r="O45" t="n">
        <v>15024.2</v>
      </c>
      <c r="P45" t="n">
        <v>15457.4</v>
      </c>
      <c r="Q45" t="n">
        <v>15926.8</v>
      </c>
      <c r="R45" t="n">
        <v>16852.4</v>
      </c>
      <c r="S45" t="n">
        <v>16767.5</v>
      </c>
      <c r="T45" t="n">
        <v>15630.5</v>
      </c>
      <c r="U45" t="n">
        <v>16181.2</v>
      </c>
      <c r="V45" t="n">
        <v>15649</v>
      </c>
      <c r="W45" t="n">
        <v>17070.8</v>
      </c>
      <c r="X45" t="n">
        <v>17973.5</v>
      </c>
      <c r="Y45" t="n">
        <v>19514.9</v>
      </c>
      <c r="Z45" t="n">
        <v>20822</v>
      </c>
      <c r="AA45" t="n">
        <v>22240</v>
      </c>
      <c r="AB45" t="n">
        <v>22393.4</v>
      </c>
      <c r="AC45" t="n">
        <v>22951.9</v>
      </c>
      <c r="AD45" t="n">
        <v>23257.6</v>
      </c>
      <c r="AE45" t="n">
        <v>23371.5</v>
      </c>
      <c r="AF45" t="n">
        <v>24614.1</v>
      </c>
    </row>
    <row r="46">
      <c r="A46" t="s">
        <v>7</v>
      </c>
      <c r="B46" t="s">
        <v>362</v>
      </c>
      <c r="C46" t="s">
        <v>246</v>
      </c>
      <c r="D46" t="s">
        <v>363</v>
      </c>
      <c r="E46" t="s">
        <v>247</v>
      </c>
      <c r="F46" t="n">
        <v>342.7</v>
      </c>
      <c r="G46" t="n">
        <v>456.2</v>
      </c>
      <c r="H46" t="n">
        <v>445.7</v>
      </c>
      <c r="I46" t="n">
        <v>466.1</v>
      </c>
      <c r="J46" t="n">
        <v>538.7</v>
      </c>
      <c r="K46" t="n">
        <v>588.6</v>
      </c>
      <c r="L46" t="n">
        <v>590.4</v>
      </c>
      <c r="M46" t="n">
        <v>647.6</v>
      </c>
      <c r="N46" t="n">
        <v>555.6</v>
      </c>
      <c r="O46" t="n">
        <v>578</v>
      </c>
      <c r="P46" t="n">
        <v>524.6</v>
      </c>
      <c r="Q46" t="n">
        <v>601</v>
      </c>
      <c r="R46" t="n">
        <v>632.8</v>
      </c>
      <c r="S46" t="n">
        <v>729.3</v>
      </c>
      <c r="T46" t="n">
        <v>572.9</v>
      </c>
      <c r="U46" t="n">
        <v>624.3</v>
      </c>
      <c r="V46" t="n">
        <v>616.4</v>
      </c>
      <c r="W46" t="n">
        <v>717.5</v>
      </c>
      <c r="X46" t="n">
        <v>706</v>
      </c>
      <c r="Y46" t="n">
        <v>800.7</v>
      </c>
      <c r="Z46" t="n">
        <v>770.1</v>
      </c>
      <c r="AA46" t="n">
        <v>1000.2</v>
      </c>
      <c r="AB46" t="n">
        <v>849.9</v>
      </c>
      <c r="AC46" t="n">
        <v>972.4</v>
      </c>
      <c r="AD46" t="n">
        <v>1197</v>
      </c>
      <c r="AE46" t="n">
        <v>996.3</v>
      </c>
      <c r="AF46" t="n">
        <v>961.5</v>
      </c>
    </row>
    <row r="47">
      <c r="A47" t="s">
        <v>7</v>
      </c>
      <c r="B47" t="s">
        <v>364</v>
      </c>
      <c r="C47" t="s">
        <v>246</v>
      </c>
      <c r="D47" t="s">
        <v>365</v>
      </c>
      <c r="E47" t="s">
        <v>247</v>
      </c>
      <c r="F47" t="n">
        <v>919</v>
      </c>
      <c r="G47" t="n">
        <v>1060</v>
      </c>
      <c r="H47" t="n">
        <v>1146</v>
      </c>
      <c r="I47" t="n">
        <v>1164</v>
      </c>
      <c r="J47" t="n">
        <v>1259</v>
      </c>
      <c r="K47" t="n">
        <v>1282</v>
      </c>
      <c r="L47" t="n">
        <v>1474</v>
      </c>
      <c r="M47" t="n">
        <v>1491</v>
      </c>
      <c r="N47" t="n">
        <v>1547</v>
      </c>
      <c r="O47" t="n">
        <v>1642</v>
      </c>
      <c r="P47" t="n">
        <v>1700</v>
      </c>
      <c r="Q47" t="n">
        <v>1438</v>
      </c>
      <c r="R47" t="n">
        <v>1507</v>
      </c>
      <c r="S47" t="n">
        <v>1477</v>
      </c>
      <c r="T47" t="n">
        <v>1636</v>
      </c>
      <c r="U47" t="n">
        <v>1787</v>
      </c>
      <c r="V47" t="n">
        <v>1772</v>
      </c>
      <c r="W47" t="n">
        <v>1642</v>
      </c>
      <c r="X47" t="n">
        <v>1718</v>
      </c>
      <c r="Y47" t="n">
        <v>1689</v>
      </c>
      <c r="Z47" t="n">
        <v>1744</v>
      </c>
      <c r="AA47" t="n">
        <v>1728</v>
      </c>
      <c r="AB47" t="n">
        <v>1573</v>
      </c>
      <c r="AC47" t="n">
        <v>1663</v>
      </c>
      <c r="AD47" t="n">
        <v>1835</v>
      </c>
      <c r="AE47" t="n">
        <v>2204</v>
      </c>
      <c r="AF47" t="n">
        <v>2611</v>
      </c>
    </row>
    <row r="48">
      <c r="A48" t="s">
        <v>7</v>
      </c>
      <c r="B48" t="s">
        <v>366</v>
      </c>
      <c r="C48" t="s">
        <v>246</v>
      </c>
      <c r="D48" t="s">
        <v>367</v>
      </c>
      <c r="E48" t="s">
        <v>247</v>
      </c>
      <c r="F48" t="n">
        <v>1565.2</v>
      </c>
      <c r="G48" t="n">
        <v>1715.6</v>
      </c>
      <c r="H48" t="n">
        <v>1903.6</v>
      </c>
      <c r="I48" t="n">
        <v>1931.5</v>
      </c>
      <c r="J48" t="n">
        <v>2094.6</v>
      </c>
      <c r="K48" t="n">
        <v>2183.7</v>
      </c>
      <c r="L48" t="n">
        <v>2421.4</v>
      </c>
      <c r="M48" t="n">
        <v>2494.2</v>
      </c>
      <c r="N48" t="n">
        <v>2494.7</v>
      </c>
      <c r="O48" t="n">
        <v>2627.2</v>
      </c>
      <c r="P48" t="n">
        <v>2718.5</v>
      </c>
      <c r="Q48" t="n">
        <v>2497.6</v>
      </c>
      <c r="R48" t="n">
        <v>2651.1</v>
      </c>
      <c r="S48" t="n">
        <v>2550.1</v>
      </c>
      <c r="T48" t="n">
        <v>2786.5</v>
      </c>
      <c r="U48" t="n">
        <v>2909.9</v>
      </c>
      <c r="V48" t="n">
        <v>2850</v>
      </c>
      <c r="W48" t="n">
        <v>2794.2</v>
      </c>
      <c r="X48" t="n">
        <v>2628.2</v>
      </c>
      <c r="Y48" t="n">
        <v>2609.9</v>
      </c>
      <c r="Z48" t="n">
        <v>2749.6</v>
      </c>
      <c r="AA48" t="n">
        <v>2561.8</v>
      </c>
      <c r="AB48" t="n">
        <v>2456.9</v>
      </c>
      <c r="AC48" t="n">
        <v>2685.2</v>
      </c>
      <c r="AD48" t="n">
        <v>2766.8</v>
      </c>
      <c r="AE48" t="n">
        <v>3194.9</v>
      </c>
      <c r="AF48" t="n">
        <v>3584.4</v>
      </c>
    </row>
    <row r="49">
      <c r="A49" t="s">
        <v>7</v>
      </c>
      <c r="B49" t="s">
        <v>368</v>
      </c>
      <c r="C49" t="s">
        <v>246</v>
      </c>
      <c r="D49" t="s">
        <v>369</v>
      </c>
      <c r="E49" t="s">
        <v>247</v>
      </c>
      <c r="F49" t="n">
        <v>129.2</v>
      </c>
      <c r="G49" t="n">
        <v>144.3</v>
      </c>
      <c r="H49" t="n">
        <v>163.7</v>
      </c>
      <c r="I49" t="n">
        <v>168.9</v>
      </c>
      <c r="J49" t="n">
        <v>179</v>
      </c>
      <c r="K49" t="n">
        <v>196.1</v>
      </c>
      <c r="L49" t="n">
        <v>209.7</v>
      </c>
      <c r="M49" t="n">
        <v>240.1</v>
      </c>
      <c r="N49" t="n">
        <v>247.1</v>
      </c>
      <c r="O49" t="n">
        <v>277.2</v>
      </c>
      <c r="P49" t="n">
        <v>285.2</v>
      </c>
      <c r="Q49" t="n">
        <v>339.3</v>
      </c>
      <c r="R49" t="n">
        <v>362.1</v>
      </c>
      <c r="S49" t="n">
        <v>379.9</v>
      </c>
      <c r="T49" t="n">
        <v>393.6</v>
      </c>
      <c r="U49" t="n">
        <v>380.6</v>
      </c>
      <c r="V49" t="n">
        <v>385.1</v>
      </c>
      <c r="W49" t="n">
        <v>383.5</v>
      </c>
      <c r="X49" t="n">
        <v>378.4</v>
      </c>
      <c r="Y49" t="n">
        <v>459.4</v>
      </c>
      <c r="Z49" t="n">
        <v>445.9</v>
      </c>
      <c r="AA49" t="n">
        <v>428.8</v>
      </c>
      <c r="AB49" t="n">
        <v>426.1</v>
      </c>
      <c r="AC49" t="n">
        <v>558.1</v>
      </c>
      <c r="AD49" t="n">
        <v>433.6</v>
      </c>
      <c r="AE49" t="n">
        <v>499.2</v>
      </c>
      <c r="AF49" t="n">
        <v>512.9</v>
      </c>
    </row>
    <row r="50">
      <c r="A50" t="s">
        <v>7</v>
      </c>
      <c r="B50" t="s">
        <v>370</v>
      </c>
      <c r="C50" t="s">
        <v>246</v>
      </c>
      <c r="D50" t="s">
        <v>371</v>
      </c>
      <c r="E50" t="s">
        <v>247</v>
      </c>
      <c r="F50" t="n">
        <v>517</v>
      </c>
      <c r="G50" t="n">
        <v>511.4</v>
      </c>
      <c r="H50" t="n">
        <v>593.9</v>
      </c>
      <c r="I50" t="n">
        <v>598.6</v>
      </c>
      <c r="J50" t="n">
        <v>656.6</v>
      </c>
      <c r="K50" t="n">
        <v>705.5</v>
      </c>
      <c r="L50" t="n">
        <v>737.7</v>
      </c>
      <c r="M50" t="n">
        <v>763.1</v>
      </c>
      <c r="N50" t="n">
        <v>700.6</v>
      </c>
      <c r="O50" t="n">
        <v>707.9</v>
      </c>
      <c r="P50" t="n">
        <v>733.3</v>
      </c>
      <c r="Q50" t="n">
        <v>720.3</v>
      </c>
      <c r="R50" t="n">
        <v>782.1</v>
      </c>
      <c r="S50" t="n">
        <v>693.1</v>
      </c>
      <c r="T50" t="n">
        <v>756.9</v>
      </c>
      <c r="U50" t="n">
        <v>742.3</v>
      </c>
      <c r="V50" t="n">
        <v>692.9</v>
      </c>
      <c r="W50" t="n">
        <v>768.8</v>
      </c>
      <c r="X50" t="n">
        <v>531.8</v>
      </c>
      <c r="Y50" t="n">
        <v>461.5</v>
      </c>
      <c r="Z50" t="n">
        <v>559.7</v>
      </c>
      <c r="AA50" t="n">
        <v>405</v>
      </c>
      <c r="AB50" t="n">
        <v>457.8</v>
      </c>
      <c r="AC50" t="n">
        <v>464.1</v>
      </c>
      <c r="AD50" t="n">
        <v>498.3</v>
      </c>
      <c r="AE50" t="n">
        <v>491.7</v>
      </c>
      <c r="AF50" t="n">
        <v>460.4</v>
      </c>
    </row>
    <row r="51">
      <c r="A51" t="s">
        <v>7</v>
      </c>
      <c r="B51" t="s">
        <v>372</v>
      </c>
      <c r="C51" t="s">
        <v>246</v>
      </c>
      <c r="D51" t="s">
        <v>373</v>
      </c>
      <c r="E51" t="s">
        <v>247</v>
      </c>
      <c r="F51" t="n">
        <v>476.2</v>
      </c>
      <c r="G51" t="n">
        <v>487.6</v>
      </c>
      <c r="H51" t="n">
        <v>556.5</v>
      </c>
      <c r="I51" t="n">
        <v>567</v>
      </c>
      <c r="J51" t="n">
        <v>615.1</v>
      </c>
      <c r="K51" t="n">
        <v>671</v>
      </c>
      <c r="L51" t="n">
        <v>678.1</v>
      </c>
      <c r="M51" t="n">
        <v>700.1</v>
      </c>
      <c r="N51" t="n">
        <v>670.1</v>
      </c>
      <c r="O51" t="n">
        <v>654.8</v>
      </c>
      <c r="P51" t="n">
        <v>681.2</v>
      </c>
      <c r="Q51" t="n">
        <v>675.1</v>
      </c>
      <c r="R51" t="n">
        <v>728.5</v>
      </c>
      <c r="S51" t="n">
        <v>631.1</v>
      </c>
      <c r="T51" t="n">
        <v>719.3</v>
      </c>
      <c r="U51" t="n">
        <v>706.9</v>
      </c>
      <c r="V51" t="n">
        <v>643.2</v>
      </c>
      <c r="W51" t="n">
        <v>688.8</v>
      </c>
      <c r="X51" t="n">
        <v>434.8</v>
      </c>
      <c r="Y51" t="n">
        <v>310.8</v>
      </c>
      <c r="Z51" t="n">
        <v>366.8</v>
      </c>
      <c r="AA51" t="n">
        <v>268.2</v>
      </c>
      <c r="AB51" t="n">
        <v>329.4</v>
      </c>
      <c r="AC51" t="n">
        <v>354.6</v>
      </c>
      <c r="AD51" t="n">
        <v>385.9</v>
      </c>
      <c r="AE51" t="n">
        <v>357.3</v>
      </c>
      <c r="AF51" t="n">
        <v>373.3</v>
      </c>
    </row>
    <row r="52">
      <c r="A52" t="s">
        <v>7</v>
      </c>
      <c r="B52" t="s">
        <v>374</v>
      </c>
      <c r="C52" t="s">
        <v>246</v>
      </c>
      <c r="D52" t="s">
        <v>375</v>
      </c>
      <c r="E52" t="s">
        <v>247</v>
      </c>
      <c r="F52" t="n">
        <v>40.8</v>
      </c>
      <c r="G52" t="n">
        <v>23.8</v>
      </c>
      <c r="H52" t="n">
        <v>37.4</v>
      </c>
      <c r="I52" t="n">
        <v>31.6</v>
      </c>
      <c r="J52" t="n">
        <v>41.5</v>
      </c>
      <c r="K52" t="n">
        <v>34.5</v>
      </c>
      <c r="L52" t="n">
        <v>59.6</v>
      </c>
      <c r="M52" t="n">
        <v>63</v>
      </c>
      <c r="N52" t="n">
        <v>30.5</v>
      </c>
      <c r="O52" t="n">
        <v>53.1</v>
      </c>
      <c r="P52" t="n">
        <v>52.1</v>
      </c>
      <c r="Q52" t="n">
        <v>45.2</v>
      </c>
      <c r="R52" t="n">
        <v>53.6</v>
      </c>
      <c r="S52" t="n">
        <v>62</v>
      </c>
      <c r="T52" t="n">
        <v>37.6</v>
      </c>
      <c r="U52" t="n">
        <v>35.4</v>
      </c>
      <c r="V52" t="n">
        <v>49.7</v>
      </c>
      <c r="W52" t="n">
        <v>80</v>
      </c>
      <c r="X52" t="n">
        <v>97</v>
      </c>
      <c r="Y52" t="n">
        <v>150.7</v>
      </c>
      <c r="Z52" t="n">
        <v>192.9</v>
      </c>
      <c r="AA52" t="n">
        <v>136.8</v>
      </c>
      <c r="AB52" t="n">
        <v>128.4</v>
      </c>
      <c r="AC52" t="n">
        <v>109.5</v>
      </c>
      <c r="AD52" t="n">
        <v>112.4</v>
      </c>
      <c r="AE52" t="n">
        <v>134.4</v>
      </c>
      <c r="AF52" t="n">
        <v>87.1</v>
      </c>
    </row>
    <row r="53">
      <c r="A53" t="s">
        <v>7</v>
      </c>
      <c r="B53" t="s">
        <v>376</v>
      </c>
      <c r="C53" t="s">
        <v>246</v>
      </c>
      <c r="D53" t="s">
        <v>377</v>
      </c>
      <c r="E53" t="s">
        <v>247</v>
      </c>
      <c r="F53" t="n">
        <v>421.7</v>
      </c>
      <c r="G53" t="n">
        <v>418</v>
      </c>
      <c r="H53" t="n">
        <v>486.5</v>
      </c>
      <c r="I53" t="n">
        <v>504.3</v>
      </c>
      <c r="J53" t="n">
        <v>529.8</v>
      </c>
      <c r="K53" t="n">
        <v>553.9</v>
      </c>
      <c r="L53" t="n">
        <v>538.9</v>
      </c>
      <c r="M53" t="n">
        <v>687.8</v>
      </c>
      <c r="N53" t="n">
        <v>607.4</v>
      </c>
      <c r="O53" t="n">
        <v>450.4</v>
      </c>
      <c r="P53" t="n">
        <v>845.1</v>
      </c>
      <c r="Q53" t="n">
        <v>562.9</v>
      </c>
      <c r="R53" t="n">
        <v>662.4</v>
      </c>
      <c r="S53" t="n">
        <v>539.2</v>
      </c>
      <c r="T53" t="n">
        <v>604.2</v>
      </c>
      <c r="U53" t="n">
        <v>635.9</v>
      </c>
      <c r="V53" t="n">
        <v>593.2</v>
      </c>
      <c r="W53" t="n">
        <v>371.9</v>
      </c>
      <c r="X53" t="n">
        <v>688.8</v>
      </c>
      <c r="Y53" t="n">
        <v>435.9</v>
      </c>
      <c r="Z53" t="n">
        <v>374.7</v>
      </c>
      <c r="AA53" t="n">
        <v>373.3</v>
      </c>
      <c r="AB53" t="n">
        <v>531.3</v>
      </c>
      <c r="AC53" t="n">
        <v>532.4</v>
      </c>
      <c r="AD53" t="n">
        <v>787.9</v>
      </c>
      <c r="AE53" t="n">
        <v>783.1</v>
      </c>
      <c r="AF53" t="n">
        <v>615.6</v>
      </c>
    </row>
    <row r="54">
      <c r="A54" t="s">
        <v>7</v>
      </c>
      <c r="B54" t="s">
        <v>378</v>
      </c>
      <c r="C54" t="s">
        <v>246</v>
      </c>
      <c r="D54" t="s">
        <v>379</v>
      </c>
      <c r="E54" t="s">
        <v>247</v>
      </c>
      <c r="F54" t="n">
        <v>461.5</v>
      </c>
      <c r="G54" t="n">
        <v>456.8</v>
      </c>
      <c r="H54" t="n">
        <v>530.7</v>
      </c>
      <c r="I54" t="n">
        <v>548.9</v>
      </c>
      <c r="J54" t="n">
        <v>582</v>
      </c>
      <c r="K54" t="n">
        <v>604.3</v>
      </c>
      <c r="L54" t="n">
        <v>598.5</v>
      </c>
      <c r="M54" t="n">
        <v>748.6</v>
      </c>
      <c r="N54" t="n">
        <v>661.2</v>
      </c>
      <c r="O54" t="n">
        <v>501</v>
      </c>
      <c r="P54" t="n">
        <v>898.4</v>
      </c>
      <c r="Q54" t="n">
        <v>616.2</v>
      </c>
      <c r="R54" t="n">
        <v>721.5</v>
      </c>
      <c r="S54" t="n">
        <v>632</v>
      </c>
      <c r="T54" t="n">
        <v>654.5</v>
      </c>
      <c r="U54" t="n">
        <v>692</v>
      </c>
      <c r="V54" t="n">
        <v>647.7</v>
      </c>
      <c r="W54" t="n">
        <v>425.3</v>
      </c>
      <c r="X54" t="n">
        <v>759.3</v>
      </c>
      <c r="Y54" t="n">
        <v>527.4</v>
      </c>
      <c r="Z54" t="n">
        <v>449.5</v>
      </c>
      <c r="AA54" t="n">
        <v>481.4</v>
      </c>
      <c r="AB54" t="n">
        <v>617.3</v>
      </c>
      <c r="AC54" t="n">
        <v>648.8</v>
      </c>
      <c r="AD54" t="n">
        <v>944.8</v>
      </c>
      <c r="AE54" t="n">
        <v>870.4</v>
      </c>
      <c r="AF54" t="n">
        <v>730.3</v>
      </c>
    </row>
    <row r="55">
      <c r="A55" t="s">
        <v>7</v>
      </c>
      <c r="B55" t="s">
        <v>380</v>
      </c>
      <c r="C55" t="s">
        <v>246</v>
      </c>
      <c r="D55" t="s">
        <v>381</v>
      </c>
      <c r="E55" t="s">
        <v>247</v>
      </c>
      <c r="F55" t="n">
        <v>39.8</v>
      </c>
      <c r="G55" t="n">
        <v>38.8</v>
      </c>
      <c r="H55" t="n">
        <v>44.2</v>
      </c>
      <c r="I55" t="n">
        <v>44.6</v>
      </c>
      <c r="J55" t="n">
        <v>52.2</v>
      </c>
      <c r="K55" t="n">
        <v>50.4</v>
      </c>
      <c r="L55" t="n">
        <v>59.6</v>
      </c>
      <c r="M55" t="n">
        <v>60.8</v>
      </c>
      <c r="N55" t="n">
        <v>53.8</v>
      </c>
      <c r="O55" t="n">
        <v>50.6</v>
      </c>
      <c r="P55" t="n">
        <v>53.3</v>
      </c>
      <c r="Q55" t="n">
        <v>53.3</v>
      </c>
      <c r="R55" t="n">
        <v>59.1</v>
      </c>
      <c r="S55" t="n">
        <v>92.8</v>
      </c>
      <c r="T55" t="n">
        <v>50.3</v>
      </c>
      <c r="U55" t="n">
        <v>56.1</v>
      </c>
      <c r="V55" t="n">
        <v>54.5</v>
      </c>
      <c r="W55" t="n">
        <v>53.4</v>
      </c>
      <c r="X55" t="n">
        <v>70.5</v>
      </c>
      <c r="Y55" t="n">
        <v>91.5</v>
      </c>
      <c r="Z55" t="n">
        <v>74.8</v>
      </c>
      <c r="AA55" t="n">
        <v>108.1</v>
      </c>
      <c r="AB55" t="n">
        <v>86</v>
      </c>
      <c r="AC55" t="n">
        <v>116.4</v>
      </c>
      <c r="AD55" t="n">
        <v>156.9</v>
      </c>
      <c r="AE55" t="n">
        <v>87.3</v>
      </c>
      <c r="AF55" t="n">
        <v>114.7</v>
      </c>
    </row>
    <row r="56">
      <c r="A56" t="s">
        <v>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</v>
      </c>
      <c r="B57" t="s">
        <v>384</v>
      </c>
      <c r="C57" t="s">
        <v>246</v>
      </c>
      <c r="D57" t="s">
        <v>385</v>
      </c>
      <c r="E57" t="s">
        <v>247</v>
      </c>
      <c r="F57" t="n">
        <v>12098.7</v>
      </c>
      <c r="G57" t="n">
        <v>13926.2</v>
      </c>
      <c r="H57" t="n">
        <v>14356.7</v>
      </c>
      <c r="I57" t="n">
        <v>15518.4</v>
      </c>
      <c r="J57" t="n">
        <v>16701.1</v>
      </c>
      <c r="K57" t="n">
        <v>17549.3</v>
      </c>
      <c r="L57" t="n">
        <v>18902.8</v>
      </c>
      <c r="M57" t="n">
        <v>19853.3</v>
      </c>
      <c r="N57" t="n">
        <v>19091.1</v>
      </c>
      <c r="O57" t="n">
        <v>18144.6</v>
      </c>
      <c r="P57" t="n">
        <v>18592.1</v>
      </c>
      <c r="Q57" t="n">
        <v>19057.2</v>
      </c>
      <c r="R57" t="n">
        <v>20015.2</v>
      </c>
      <c r="S57" t="n">
        <v>19877.7</v>
      </c>
      <c r="T57" t="n">
        <v>19211.2</v>
      </c>
      <c r="U57" t="n">
        <v>19722.1</v>
      </c>
      <c r="V57" t="n">
        <v>19015.5</v>
      </c>
      <c r="W57" t="n">
        <v>20104.5</v>
      </c>
      <c r="X57" t="n">
        <v>20912.9</v>
      </c>
      <c r="Y57" t="n">
        <v>22853.3</v>
      </c>
      <c r="Z57" t="n">
        <v>23990.2</v>
      </c>
      <c r="AA57" t="n">
        <v>25006.4</v>
      </c>
      <c r="AB57" t="n">
        <v>24892.8</v>
      </c>
      <c r="AC57" t="n">
        <v>25684.9</v>
      </c>
      <c r="AD57" t="n">
        <v>26136.3</v>
      </c>
      <c r="AE57" t="n">
        <v>26695.6</v>
      </c>
      <c r="AF57" t="n">
        <v>28303.4</v>
      </c>
    </row>
    <row r="58">
      <c r="A58" t="s">
        <v>7</v>
      </c>
      <c r="B58" t="s">
        <v>386</v>
      </c>
      <c r="C58" t="s">
        <v>246</v>
      </c>
      <c r="D58" t="s">
        <v>387</v>
      </c>
      <c r="E58" t="s">
        <v>247</v>
      </c>
      <c r="F58" t="n">
        <v>12098.7</v>
      </c>
      <c r="G58" t="n">
        <v>13926.2</v>
      </c>
      <c r="H58" t="n">
        <v>14356.7</v>
      </c>
      <c r="I58" t="n">
        <v>15518.4</v>
      </c>
      <c r="J58" t="n">
        <v>16701.1</v>
      </c>
      <c r="K58" t="n">
        <v>17549.3</v>
      </c>
      <c r="L58" t="n">
        <v>18902.8</v>
      </c>
      <c r="M58" t="n">
        <v>19853.3</v>
      </c>
      <c r="N58" t="n">
        <v>19091.1</v>
      </c>
      <c r="O58" t="n">
        <v>18144.6</v>
      </c>
      <c r="P58" t="n">
        <v>18592.1</v>
      </c>
      <c r="Q58" t="n">
        <v>19057.2</v>
      </c>
      <c r="R58" t="n">
        <v>20015.2</v>
      </c>
      <c r="S58" t="n">
        <v>19877.7</v>
      </c>
      <c r="T58" t="n">
        <v>19211.2</v>
      </c>
      <c r="U58" t="n">
        <v>19722.1</v>
      </c>
      <c r="V58" t="n">
        <v>19015.5</v>
      </c>
      <c r="W58" t="n">
        <v>20104.5</v>
      </c>
      <c r="X58" t="n">
        <v>20912.9</v>
      </c>
      <c r="Y58" t="n">
        <v>22853.3</v>
      </c>
      <c r="Z58" t="n">
        <v>23990.2</v>
      </c>
      <c r="AA58" t="n">
        <v>25006.4</v>
      </c>
      <c r="AB58" t="n">
        <v>24892.8</v>
      </c>
      <c r="AC58" t="n">
        <v>25684.9</v>
      </c>
      <c r="AD58" t="n">
        <v>26136.3</v>
      </c>
      <c r="AE58" t="n">
        <v>26695.6</v>
      </c>
      <c r="AF58" t="n">
        <v>28303.4</v>
      </c>
    </row>
    <row r="59">
      <c r="A59" t="s">
        <v>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</v>
      </c>
      <c r="B2" t="s">
        <v>197</v>
      </c>
      <c r="C2" t="s">
        <v>246</v>
      </c>
      <c r="D2" t="s">
        <v>199</v>
      </c>
      <c r="E2" t="s">
        <v>247</v>
      </c>
      <c r="F2" t="n">
        <v>229.7</v>
      </c>
      <c r="G2" t="n">
        <v>223.9</v>
      </c>
      <c r="H2" t="n">
        <v>299.8</v>
      </c>
      <c r="I2" t="n">
        <v>300.3</v>
      </c>
      <c r="J2" t="n">
        <v>388.5</v>
      </c>
      <c r="K2" t="n">
        <v>369.7</v>
      </c>
      <c r="L2" t="n">
        <v>357.1</v>
      </c>
      <c r="M2" t="n">
        <v>457.3</v>
      </c>
      <c r="N2" t="n">
        <v>362</v>
      </c>
      <c r="O2" t="n">
        <v>453.1</v>
      </c>
      <c r="P2" t="n">
        <v>411.7</v>
      </c>
      <c r="Q2" t="n">
        <v>423</v>
      </c>
      <c r="R2" t="n">
        <v>419.4</v>
      </c>
      <c r="S2" t="n">
        <v>393.8</v>
      </c>
      <c r="T2" t="n">
        <v>289.6</v>
      </c>
      <c r="U2" t="n">
        <v>283.5</v>
      </c>
      <c r="V2" t="n">
        <v>337.4</v>
      </c>
      <c r="W2" t="n">
        <v>151.5</v>
      </c>
      <c r="X2" t="n">
        <v>132.4</v>
      </c>
      <c r="Y2" t="n">
        <v>131.1</v>
      </c>
      <c r="Z2" t="n">
        <v>151.3</v>
      </c>
      <c r="AA2" t="n">
        <v>218</v>
      </c>
      <c r="AB2" t="n">
        <v>257.8</v>
      </c>
      <c r="AC2" t="n">
        <v>264.2</v>
      </c>
      <c r="AD2" t="n">
        <v>283.8</v>
      </c>
      <c r="AE2" t="n">
        <v>257.5</v>
      </c>
      <c r="AF2" t="n">
        <v>304</v>
      </c>
    </row>
    <row r="3">
      <c r="A3" t="s">
        <v>9</v>
      </c>
      <c r="B3" t="s">
        <v>276</v>
      </c>
      <c r="C3" t="s">
        <v>246</v>
      </c>
      <c r="D3" t="s">
        <v>277</v>
      </c>
      <c r="E3" t="s">
        <v>247</v>
      </c>
      <c r="F3" t="n">
        <v>12.7</v>
      </c>
      <c r="G3" t="n">
        <v>22.1</v>
      </c>
      <c r="H3" t="n">
        <v>20</v>
      </c>
      <c r="I3" t="n">
        <v>16.2</v>
      </c>
      <c r="J3" t="n">
        <v>30.6</v>
      </c>
      <c r="K3" t="n">
        <v>26.4</v>
      </c>
      <c r="L3" t="n">
        <v>26.5</v>
      </c>
      <c r="M3" t="n">
        <v>31.2</v>
      </c>
      <c r="N3" t="n">
        <v>23.9</v>
      </c>
      <c r="O3" t="n">
        <v>28.8</v>
      </c>
      <c r="P3" t="n">
        <v>31.1</v>
      </c>
      <c r="Q3" t="n">
        <v>29.3</v>
      </c>
      <c r="R3" t="n">
        <v>30.7</v>
      </c>
      <c r="S3" t="n">
        <v>30.8</v>
      </c>
      <c r="T3" t="n">
        <v>22.4</v>
      </c>
      <c r="U3" t="n">
        <v>22.9</v>
      </c>
      <c r="V3" t="n">
        <v>24.2</v>
      </c>
      <c r="W3" t="n">
        <v>9.1</v>
      </c>
      <c r="X3" t="n">
        <v>7.8</v>
      </c>
      <c r="Y3" t="n">
        <v>12</v>
      </c>
      <c r="Z3" t="n">
        <v>12.6</v>
      </c>
      <c r="AA3" t="n">
        <v>20.4</v>
      </c>
      <c r="AB3" t="n">
        <v>18.6</v>
      </c>
      <c r="AC3" t="n">
        <v>22.1</v>
      </c>
      <c r="AD3" t="n">
        <v>23.3</v>
      </c>
      <c r="AE3" t="n">
        <v>20.9</v>
      </c>
      <c r="AF3" t="n">
        <v>36.6</v>
      </c>
    </row>
    <row r="4">
      <c r="A4" t="s">
        <v>9</v>
      </c>
      <c r="B4" t="s">
        <v>278</v>
      </c>
      <c r="C4" t="s">
        <v>246</v>
      </c>
      <c r="D4" t="s">
        <v>279</v>
      </c>
      <c r="E4" t="s">
        <v>247</v>
      </c>
      <c r="F4" t="n">
        <v>1121.8</v>
      </c>
      <c r="G4" t="n">
        <v>1248.1</v>
      </c>
      <c r="H4" t="n">
        <v>1040</v>
      </c>
      <c r="I4" t="n">
        <v>1529.3</v>
      </c>
      <c r="J4" t="n">
        <v>1641.9</v>
      </c>
      <c r="K4" t="n">
        <v>1890.1</v>
      </c>
      <c r="L4" t="n">
        <v>1881.4</v>
      </c>
      <c r="M4" t="n">
        <v>2044</v>
      </c>
      <c r="N4" t="n">
        <v>1764</v>
      </c>
      <c r="O4" t="n">
        <v>2067.9</v>
      </c>
      <c r="P4" t="n">
        <v>1909.5</v>
      </c>
      <c r="Q4" t="n">
        <v>2053.8</v>
      </c>
      <c r="R4" t="n">
        <v>1980.5</v>
      </c>
      <c r="S4" t="n">
        <v>2093.5</v>
      </c>
      <c r="T4" t="n">
        <v>1354</v>
      </c>
      <c r="U4" t="n">
        <v>1389.5</v>
      </c>
      <c r="V4" t="n">
        <v>1603.6</v>
      </c>
      <c r="W4" t="n">
        <v>1231.3</v>
      </c>
      <c r="X4" t="n">
        <v>718.6</v>
      </c>
      <c r="Y4" t="n">
        <v>826.9</v>
      </c>
      <c r="Z4" t="n">
        <v>944.8</v>
      </c>
      <c r="AA4" t="n">
        <v>1643.6</v>
      </c>
      <c r="AB4" t="n">
        <v>1585.3</v>
      </c>
      <c r="AC4" t="n">
        <v>1407</v>
      </c>
      <c r="AD4" t="n">
        <v>940.2</v>
      </c>
      <c r="AE4" t="n">
        <v>538.4</v>
      </c>
      <c r="AF4" t="n">
        <v>1642.9</v>
      </c>
    </row>
    <row r="5">
      <c r="A5" t="s">
        <v>9</v>
      </c>
      <c r="B5" t="s">
        <v>280</v>
      </c>
      <c r="C5" t="s">
        <v>246</v>
      </c>
      <c r="D5" t="s">
        <v>281</v>
      </c>
      <c r="E5" t="s">
        <v>247</v>
      </c>
      <c r="F5" t="n">
        <v>148.4</v>
      </c>
      <c r="G5" t="n">
        <v>157.2</v>
      </c>
      <c r="H5" t="n">
        <v>94.1</v>
      </c>
      <c r="I5" t="n">
        <v>217.7</v>
      </c>
      <c r="J5" t="n">
        <v>186.7</v>
      </c>
      <c r="K5" t="n">
        <v>239.7</v>
      </c>
      <c r="L5" t="n">
        <v>210.6</v>
      </c>
      <c r="M5" t="n">
        <v>239</v>
      </c>
      <c r="N5" t="n">
        <v>208.3</v>
      </c>
      <c r="O5" t="n">
        <v>238.1</v>
      </c>
      <c r="P5" t="n">
        <v>243.6</v>
      </c>
      <c r="Q5" t="n">
        <v>225.5</v>
      </c>
      <c r="R5" t="n">
        <v>238.7</v>
      </c>
      <c r="S5" t="n">
        <v>234.7</v>
      </c>
      <c r="T5" t="n">
        <v>155.8</v>
      </c>
      <c r="U5" t="n">
        <v>169.6</v>
      </c>
      <c r="V5" t="n">
        <v>188.3</v>
      </c>
      <c r="W5" t="n">
        <v>115.4</v>
      </c>
      <c r="X5" t="n">
        <v>107.1</v>
      </c>
      <c r="Y5" t="n">
        <v>132.5</v>
      </c>
      <c r="Z5" t="n">
        <v>146.8</v>
      </c>
      <c r="AA5" t="n">
        <v>195.3</v>
      </c>
      <c r="AB5" t="n">
        <v>202.6</v>
      </c>
      <c r="AC5" t="n">
        <v>189.6</v>
      </c>
      <c r="AD5" t="n">
        <v>191.2</v>
      </c>
      <c r="AE5" t="n">
        <v>156</v>
      </c>
      <c r="AF5" t="n">
        <v>185.2</v>
      </c>
    </row>
    <row r="6">
      <c r="A6" t="s">
        <v>9</v>
      </c>
      <c r="B6" t="s">
        <v>282</v>
      </c>
      <c r="C6" t="s">
        <v>246</v>
      </c>
      <c r="D6" t="s">
        <v>283</v>
      </c>
      <c r="E6" t="s">
        <v>247</v>
      </c>
      <c r="F6" t="n">
        <v>110</v>
      </c>
      <c r="G6" t="n">
        <v>125.4</v>
      </c>
      <c r="H6" t="n">
        <v>99.9</v>
      </c>
      <c r="I6" t="n">
        <v>205.4</v>
      </c>
      <c r="J6" t="n">
        <v>169.1</v>
      </c>
      <c r="K6" t="n">
        <v>186.4</v>
      </c>
      <c r="L6" t="n">
        <v>200.3</v>
      </c>
      <c r="M6" t="n">
        <v>201</v>
      </c>
      <c r="N6" t="n">
        <v>197.1</v>
      </c>
      <c r="O6" t="n">
        <v>204</v>
      </c>
      <c r="P6" t="n">
        <v>216.7</v>
      </c>
      <c r="Q6" t="n">
        <v>199.7</v>
      </c>
      <c r="R6" t="n">
        <v>210</v>
      </c>
      <c r="S6" t="n">
        <v>212.3</v>
      </c>
      <c r="T6" t="n">
        <v>136.1</v>
      </c>
      <c r="U6" t="n">
        <v>136.2</v>
      </c>
      <c r="V6" t="n">
        <v>163.5</v>
      </c>
      <c r="W6" t="n">
        <v>64.2</v>
      </c>
      <c r="X6" t="n">
        <v>76.8</v>
      </c>
      <c r="Y6" t="n">
        <v>92.9</v>
      </c>
      <c r="Z6" t="n">
        <v>105.8</v>
      </c>
      <c r="AA6" t="n">
        <v>145.3</v>
      </c>
      <c r="AB6" t="n">
        <v>160.1</v>
      </c>
      <c r="AC6" t="n">
        <v>143.7</v>
      </c>
      <c r="AD6" t="n">
        <v>135.3</v>
      </c>
      <c r="AE6" t="n">
        <v>88.6</v>
      </c>
      <c r="AF6" t="n">
        <v>116.9</v>
      </c>
    </row>
    <row r="7">
      <c r="A7" t="s">
        <v>9</v>
      </c>
      <c r="B7" t="s">
        <v>284</v>
      </c>
      <c r="C7" t="s">
        <v>246</v>
      </c>
      <c r="D7" t="s">
        <v>285</v>
      </c>
      <c r="E7" t="s">
        <v>247</v>
      </c>
      <c r="F7" t="n">
        <v>120.5</v>
      </c>
      <c r="G7" t="n">
        <v>113</v>
      </c>
      <c r="H7" t="n">
        <v>69</v>
      </c>
      <c r="I7" t="n">
        <v>116.3</v>
      </c>
      <c r="J7" t="n">
        <v>163.7</v>
      </c>
      <c r="K7" t="n">
        <v>151.2</v>
      </c>
      <c r="L7" t="n">
        <v>148.5</v>
      </c>
      <c r="M7" t="n">
        <v>155</v>
      </c>
      <c r="N7" t="n">
        <v>152.8</v>
      </c>
      <c r="O7" t="n">
        <v>171.9</v>
      </c>
      <c r="P7" t="n">
        <v>150.3</v>
      </c>
      <c r="Q7" t="n">
        <v>149.4</v>
      </c>
      <c r="R7" t="n">
        <v>163.9</v>
      </c>
      <c r="S7" t="n">
        <v>164.5</v>
      </c>
      <c r="T7" t="n">
        <v>107.2</v>
      </c>
      <c r="U7" t="n">
        <v>108.7</v>
      </c>
      <c r="V7" t="n">
        <v>125.3</v>
      </c>
      <c r="W7" t="n">
        <v>50.9</v>
      </c>
      <c r="X7" t="n">
        <v>54.9</v>
      </c>
      <c r="Y7" t="n">
        <v>64.6</v>
      </c>
      <c r="Z7" t="n">
        <v>80.5</v>
      </c>
      <c r="AA7" t="n">
        <v>120.7</v>
      </c>
      <c r="AB7" t="n">
        <v>121.4</v>
      </c>
      <c r="AC7" t="n">
        <v>117.7</v>
      </c>
      <c r="AD7" t="n">
        <v>124.4</v>
      </c>
      <c r="AE7" t="n">
        <v>93.2</v>
      </c>
      <c r="AF7" t="n">
        <v>121.4</v>
      </c>
    </row>
    <row r="8">
      <c r="A8" t="s">
        <v>9</v>
      </c>
      <c r="B8" t="s">
        <v>286</v>
      </c>
      <c r="C8" t="s">
        <v>246</v>
      </c>
      <c r="D8" t="s">
        <v>287</v>
      </c>
      <c r="E8" t="s">
        <v>247</v>
      </c>
      <c r="F8" t="n">
        <v>7.1</v>
      </c>
      <c r="G8" t="n">
        <v>3.8</v>
      </c>
      <c r="H8" t="n">
        <v>5.5</v>
      </c>
      <c r="I8" t="n">
        <v>5.7</v>
      </c>
      <c r="J8" t="n">
        <v>6.3</v>
      </c>
      <c r="K8" t="n">
        <v>9.5</v>
      </c>
      <c r="L8" t="n">
        <v>7.3</v>
      </c>
      <c r="M8" t="n">
        <v>9.6</v>
      </c>
      <c r="N8" t="n">
        <v>8.5</v>
      </c>
      <c r="O8" t="n">
        <v>9.7</v>
      </c>
      <c r="P8" t="n">
        <v>9.3</v>
      </c>
      <c r="Q8" t="n">
        <v>9.8</v>
      </c>
      <c r="R8" t="n">
        <v>8.7</v>
      </c>
      <c r="S8" t="n">
        <v>9.2</v>
      </c>
      <c r="T8" t="n">
        <v>6.8</v>
      </c>
      <c r="U8" t="n">
        <v>7.3</v>
      </c>
      <c r="V8" t="n">
        <v>7.9</v>
      </c>
      <c r="W8" t="n">
        <v>5.3</v>
      </c>
      <c r="X8" t="n">
        <v>-0.6</v>
      </c>
      <c r="Y8" t="n">
        <v>3.6</v>
      </c>
      <c r="Z8" t="n">
        <v>4.1</v>
      </c>
      <c r="AA8" t="n">
        <v>6.3</v>
      </c>
      <c r="AB8" t="n">
        <v>7.6</v>
      </c>
      <c r="AC8" t="n">
        <v>6.7</v>
      </c>
      <c r="AD8" t="n">
        <v>4.9</v>
      </c>
      <c r="AE8" t="n">
        <v>6.8</v>
      </c>
      <c r="AF8" t="n">
        <v>10.9</v>
      </c>
    </row>
    <row r="9">
      <c r="A9" t="s">
        <v>9</v>
      </c>
      <c r="B9" t="s">
        <v>288</v>
      </c>
      <c r="C9" t="s">
        <v>246</v>
      </c>
      <c r="D9" t="s">
        <v>289</v>
      </c>
      <c r="E9" t="s">
        <v>247</v>
      </c>
      <c r="F9" t="n">
        <v>32.2</v>
      </c>
      <c r="G9" t="n">
        <v>25</v>
      </c>
      <c r="H9" t="n">
        <v>40.1</v>
      </c>
      <c r="I9" t="n">
        <v>41.1</v>
      </c>
      <c r="J9" t="n">
        <v>44.1</v>
      </c>
      <c r="K9" t="n">
        <v>58.8</v>
      </c>
      <c r="L9" t="n">
        <v>45.7</v>
      </c>
      <c r="M9" t="n">
        <v>57.2</v>
      </c>
      <c r="N9" t="n">
        <v>54</v>
      </c>
      <c r="O9" t="n">
        <v>63.7</v>
      </c>
      <c r="P9" t="n">
        <v>44.2</v>
      </c>
      <c r="Q9" t="n">
        <v>55.9</v>
      </c>
      <c r="R9" t="n">
        <v>53.2</v>
      </c>
      <c r="S9" t="n">
        <v>56.7</v>
      </c>
      <c r="T9" t="n">
        <v>35.8</v>
      </c>
      <c r="U9" t="n">
        <v>37.5</v>
      </c>
      <c r="V9" t="n">
        <v>43.5</v>
      </c>
      <c r="W9" t="n">
        <v>21.9</v>
      </c>
      <c r="X9" t="n">
        <v>21.3</v>
      </c>
      <c r="Y9" t="n">
        <v>23.4</v>
      </c>
      <c r="Z9" t="n">
        <v>32.3</v>
      </c>
      <c r="AA9" t="n">
        <v>39.6</v>
      </c>
      <c r="AB9" t="n">
        <v>45.1</v>
      </c>
      <c r="AC9" t="n">
        <v>36.2</v>
      </c>
      <c r="AD9" t="n">
        <v>40.5</v>
      </c>
      <c r="AE9" t="n">
        <v>34.2</v>
      </c>
      <c r="AF9" t="n">
        <v>40.7</v>
      </c>
    </row>
    <row r="10">
      <c r="A10" t="s">
        <v>9</v>
      </c>
      <c r="B10" t="s">
        <v>290</v>
      </c>
      <c r="C10" t="s">
        <v>246</v>
      </c>
      <c r="D10" t="s">
        <v>291</v>
      </c>
      <c r="E10" t="s">
        <v>247</v>
      </c>
      <c r="F10" t="n">
        <v>40.3</v>
      </c>
      <c r="G10" t="n">
        <v>31.6</v>
      </c>
      <c r="H10" t="n">
        <v>47.3</v>
      </c>
      <c r="I10" t="n">
        <v>49.6</v>
      </c>
      <c r="J10" t="n">
        <v>53.8</v>
      </c>
      <c r="K10" t="n">
        <v>70.2</v>
      </c>
      <c r="L10" t="n">
        <v>57.8</v>
      </c>
      <c r="M10" t="n">
        <v>70.6</v>
      </c>
      <c r="N10" t="n">
        <v>64.4</v>
      </c>
      <c r="O10" t="n">
        <v>78.9</v>
      </c>
      <c r="P10" t="n">
        <v>53.7</v>
      </c>
      <c r="Q10" t="n">
        <v>69.7</v>
      </c>
      <c r="R10" t="n">
        <v>64.6</v>
      </c>
      <c r="S10" t="n">
        <v>69.2</v>
      </c>
      <c r="T10" t="n">
        <v>43.5</v>
      </c>
      <c r="U10" t="n">
        <v>45.6</v>
      </c>
      <c r="V10" t="n">
        <v>53.6</v>
      </c>
      <c r="W10" t="n">
        <v>26.2</v>
      </c>
      <c r="X10" t="n">
        <v>25.4</v>
      </c>
      <c r="Y10" t="n">
        <v>26.5</v>
      </c>
      <c r="Z10" t="n">
        <v>37.1</v>
      </c>
      <c r="AA10" t="n">
        <v>44.9</v>
      </c>
      <c r="AB10" t="n">
        <v>49.9</v>
      </c>
      <c r="AC10" t="n">
        <v>40.7</v>
      </c>
      <c r="AD10" t="n">
        <v>46.6</v>
      </c>
      <c r="AE10" t="n">
        <v>38.5</v>
      </c>
      <c r="AF10" t="n">
        <v>47.4</v>
      </c>
    </row>
    <row r="11">
      <c r="A11" t="s">
        <v>9</v>
      </c>
      <c r="B11" t="s">
        <v>292</v>
      </c>
      <c r="C11" t="s">
        <v>246</v>
      </c>
      <c r="D11" t="s">
        <v>293</v>
      </c>
      <c r="E11" t="s">
        <v>247</v>
      </c>
      <c r="F11" t="n">
        <v>8.1</v>
      </c>
      <c r="G11" t="n">
        <v>6.6</v>
      </c>
      <c r="H11" t="n">
        <v>7.2</v>
      </c>
      <c r="I11" t="n">
        <v>8.5</v>
      </c>
      <c r="J11" t="n">
        <v>9.7</v>
      </c>
      <c r="K11" t="n">
        <v>11.4</v>
      </c>
      <c r="L11" t="n">
        <v>12.1</v>
      </c>
      <c r="M11" t="n">
        <v>13.4</v>
      </c>
      <c r="N11" t="n">
        <v>10.4</v>
      </c>
      <c r="O11" t="n">
        <v>15.2</v>
      </c>
      <c r="P11" t="n">
        <v>9.5</v>
      </c>
      <c r="Q11" t="n">
        <v>13.8</v>
      </c>
      <c r="R11" t="n">
        <v>11.4</v>
      </c>
      <c r="S11" t="n">
        <v>12.5</v>
      </c>
      <c r="T11" t="n">
        <v>7.7</v>
      </c>
      <c r="U11" t="n">
        <v>8.1</v>
      </c>
      <c r="V11" t="n">
        <v>10.1</v>
      </c>
      <c r="W11" t="n">
        <v>4.3</v>
      </c>
      <c r="X11" t="n">
        <v>4.1</v>
      </c>
      <c r="Y11" t="n">
        <v>3.1</v>
      </c>
      <c r="Z11" t="n">
        <v>4.8</v>
      </c>
      <c r="AA11" t="n">
        <v>5.3</v>
      </c>
      <c r="AB11" t="n">
        <v>4.8</v>
      </c>
      <c r="AC11" t="n">
        <v>4.5</v>
      </c>
      <c r="AD11" t="n">
        <v>6.1</v>
      </c>
      <c r="AE11" t="n">
        <v>4.3</v>
      </c>
      <c r="AF11" t="n">
        <v>6.7</v>
      </c>
    </row>
    <row r="12">
      <c r="A12" t="s">
        <v>9</v>
      </c>
      <c r="B12" t="s">
        <v>294</v>
      </c>
      <c r="C12" t="s">
        <v>246</v>
      </c>
      <c r="D12" t="s">
        <v>295</v>
      </c>
      <c r="E12" t="s">
        <v>247</v>
      </c>
      <c r="F12" t="n">
        <v>157.1</v>
      </c>
      <c r="G12" t="n">
        <v>96.2</v>
      </c>
      <c r="H12" t="n">
        <v>112.7</v>
      </c>
      <c r="I12" t="n">
        <v>135.6</v>
      </c>
      <c r="J12" t="n">
        <v>176.9</v>
      </c>
      <c r="K12" t="n">
        <v>167</v>
      </c>
      <c r="L12" t="n">
        <v>168.2</v>
      </c>
      <c r="M12" t="n">
        <v>200.4</v>
      </c>
      <c r="N12" t="n">
        <v>176.8</v>
      </c>
      <c r="O12" t="n">
        <v>202.1</v>
      </c>
      <c r="P12" t="n">
        <v>176.8</v>
      </c>
      <c r="Q12" t="n">
        <v>206.5</v>
      </c>
      <c r="R12" t="n">
        <v>189.9</v>
      </c>
      <c r="S12" t="n">
        <v>209.2</v>
      </c>
      <c r="T12" t="n">
        <v>137.6</v>
      </c>
      <c r="U12" t="n">
        <v>141.6</v>
      </c>
      <c r="V12" t="n">
        <v>157.6</v>
      </c>
      <c r="W12" t="n">
        <v>82.6</v>
      </c>
      <c r="X12" t="n">
        <v>63.9</v>
      </c>
      <c r="Y12" t="n">
        <v>81.5</v>
      </c>
      <c r="Z12" t="n">
        <v>92</v>
      </c>
      <c r="AA12" t="n">
        <v>142.9</v>
      </c>
      <c r="AB12" t="n">
        <v>164.2</v>
      </c>
      <c r="AC12" t="n">
        <v>154.9</v>
      </c>
      <c r="AD12" t="n">
        <v>176.3</v>
      </c>
      <c r="AE12" t="n">
        <v>164.9</v>
      </c>
      <c r="AF12" t="n">
        <v>225.1</v>
      </c>
    </row>
    <row r="13">
      <c r="A13" t="s">
        <v>9</v>
      </c>
      <c r="B13" t="s">
        <v>296</v>
      </c>
      <c r="C13" t="s">
        <v>246</v>
      </c>
      <c r="D13" t="s">
        <v>297</v>
      </c>
      <c r="E13" t="s">
        <v>247</v>
      </c>
      <c r="F13" t="n">
        <v>163.9</v>
      </c>
      <c r="G13" t="n">
        <v>294.4</v>
      </c>
      <c r="H13" t="n">
        <v>157.1</v>
      </c>
      <c r="I13" t="n">
        <v>292.8</v>
      </c>
      <c r="J13" t="n">
        <v>328.8</v>
      </c>
      <c r="K13" t="n">
        <v>333.2</v>
      </c>
      <c r="L13" t="n">
        <v>359.4</v>
      </c>
      <c r="M13" t="n">
        <v>380</v>
      </c>
      <c r="N13" t="n">
        <v>319.7</v>
      </c>
      <c r="O13" t="n">
        <v>390.7</v>
      </c>
      <c r="P13" t="n">
        <v>324.3</v>
      </c>
      <c r="Q13" t="n">
        <v>374.7</v>
      </c>
      <c r="R13" t="n">
        <v>375.3</v>
      </c>
      <c r="S13" t="n">
        <v>399.4</v>
      </c>
      <c r="T13" t="n">
        <v>256.5</v>
      </c>
      <c r="U13" t="n">
        <v>259.2</v>
      </c>
      <c r="V13" t="n">
        <v>298.6</v>
      </c>
      <c r="W13" t="n">
        <v>122.5</v>
      </c>
      <c r="X13" t="n">
        <v>131.8</v>
      </c>
      <c r="Y13" t="n">
        <v>157.9</v>
      </c>
      <c r="Z13" t="n">
        <v>180.1</v>
      </c>
      <c r="AA13" t="n">
        <v>281.5</v>
      </c>
      <c r="AB13" t="n">
        <v>309.8</v>
      </c>
      <c r="AC13" t="n">
        <v>298.5</v>
      </c>
      <c r="AD13" t="n">
        <v>301</v>
      </c>
      <c r="AE13" t="n">
        <v>235.8</v>
      </c>
      <c r="AF13" t="n">
        <v>322</v>
      </c>
    </row>
    <row r="14">
      <c r="A14" t="s">
        <v>9</v>
      </c>
      <c r="B14" t="s">
        <v>298</v>
      </c>
      <c r="C14" t="s">
        <v>246</v>
      </c>
      <c r="D14" t="s">
        <v>299</v>
      </c>
      <c r="E14" t="s">
        <v>247</v>
      </c>
      <c r="F14" t="n">
        <v>17.2</v>
      </c>
      <c r="G14" t="n">
        <v>27.3</v>
      </c>
      <c r="H14" t="n">
        <v>20.6</v>
      </c>
      <c r="I14" t="n">
        <v>22</v>
      </c>
      <c r="J14" t="n">
        <v>28.4</v>
      </c>
      <c r="K14" t="n">
        <v>38.2</v>
      </c>
      <c r="L14" t="n">
        <v>37.4</v>
      </c>
      <c r="M14" t="n">
        <v>37.8</v>
      </c>
      <c r="N14" t="n">
        <v>32.2</v>
      </c>
      <c r="O14" t="n">
        <v>36.1</v>
      </c>
      <c r="P14" t="n">
        <v>38.9</v>
      </c>
      <c r="Q14" t="n">
        <v>36.8</v>
      </c>
      <c r="R14" t="n">
        <v>37.7</v>
      </c>
      <c r="S14" t="n">
        <v>38.2</v>
      </c>
      <c r="T14" t="n">
        <v>24.2</v>
      </c>
      <c r="U14" t="n">
        <v>24.5</v>
      </c>
      <c r="V14" t="n">
        <v>29.5</v>
      </c>
      <c r="W14" t="n">
        <v>17.2</v>
      </c>
      <c r="X14" t="n">
        <v>13.4</v>
      </c>
      <c r="Y14" t="n">
        <v>13.9</v>
      </c>
      <c r="Z14" t="n">
        <v>18.1</v>
      </c>
      <c r="AA14" t="n">
        <v>25.4</v>
      </c>
      <c r="AB14" t="n">
        <v>27.2</v>
      </c>
      <c r="AC14" t="n">
        <v>23.3</v>
      </c>
      <c r="AD14" t="n">
        <v>24.6</v>
      </c>
      <c r="AE14" t="n">
        <v>18.6</v>
      </c>
      <c r="AF14" t="n">
        <v>23.9</v>
      </c>
    </row>
    <row r="15">
      <c r="A15" t="s">
        <v>9</v>
      </c>
      <c r="B15" t="s">
        <v>300</v>
      </c>
      <c r="C15" t="s">
        <v>246</v>
      </c>
      <c r="D15" t="s">
        <v>301</v>
      </c>
      <c r="E15" t="s">
        <v>247</v>
      </c>
      <c r="F15" t="n">
        <v>37</v>
      </c>
      <c r="G15" t="n">
        <v>57.2</v>
      </c>
      <c r="H15" t="n">
        <v>74.9</v>
      </c>
      <c r="I15" t="n">
        <v>58.5</v>
      </c>
      <c r="J15" t="n">
        <v>95</v>
      </c>
      <c r="K15" t="n">
        <v>99.1</v>
      </c>
      <c r="L15" t="n">
        <v>95.5</v>
      </c>
      <c r="M15" t="n">
        <v>106.5</v>
      </c>
      <c r="N15" t="n">
        <v>86.3</v>
      </c>
      <c r="O15" t="n">
        <v>106.1</v>
      </c>
      <c r="P15" t="n">
        <v>100</v>
      </c>
      <c r="Q15" t="n">
        <v>107.8</v>
      </c>
      <c r="R15" t="n">
        <v>99.7</v>
      </c>
      <c r="S15" t="n">
        <v>106.5</v>
      </c>
      <c r="T15" t="n">
        <v>66.9</v>
      </c>
      <c r="U15" t="n">
        <v>68.4</v>
      </c>
      <c r="V15" t="n">
        <v>81.1</v>
      </c>
      <c r="W15" t="n">
        <v>33.9</v>
      </c>
      <c r="X15" t="n">
        <v>35.6</v>
      </c>
      <c r="Y15" t="n">
        <v>40.4</v>
      </c>
      <c r="Z15" t="n">
        <v>48.8</v>
      </c>
      <c r="AA15" t="n">
        <v>70.9</v>
      </c>
      <c r="AB15" t="n">
        <v>74.8</v>
      </c>
      <c r="AC15" t="n">
        <v>67.2</v>
      </c>
      <c r="AD15" t="n">
        <v>70.1</v>
      </c>
      <c r="AE15" t="n">
        <v>50.9</v>
      </c>
      <c r="AF15" t="n">
        <v>65.2</v>
      </c>
    </row>
    <row r="16">
      <c r="A16" t="s">
        <v>9</v>
      </c>
      <c r="B16" t="s">
        <v>302</v>
      </c>
      <c r="C16" t="s">
        <v>246</v>
      </c>
      <c r="D16" t="s">
        <v>303</v>
      </c>
      <c r="E16" t="s">
        <v>247</v>
      </c>
      <c r="F16" t="n">
        <v>19.8</v>
      </c>
      <c r="G16" t="n">
        <v>29.9</v>
      </c>
      <c r="H16" t="n">
        <v>54.3</v>
      </c>
      <c r="I16" t="n">
        <v>36.5</v>
      </c>
      <c r="J16" t="n">
        <v>66.6</v>
      </c>
      <c r="K16" t="n">
        <v>60.9</v>
      </c>
      <c r="L16" t="n">
        <v>58.1</v>
      </c>
      <c r="M16" t="n">
        <v>68.7</v>
      </c>
      <c r="N16" t="n">
        <v>54.1</v>
      </c>
      <c r="O16" t="n">
        <v>70</v>
      </c>
      <c r="P16" t="n">
        <v>61.1</v>
      </c>
      <c r="Q16" t="n">
        <v>71</v>
      </c>
      <c r="R16" t="n">
        <v>62</v>
      </c>
      <c r="S16" t="n">
        <v>68.3</v>
      </c>
      <c r="T16" t="n">
        <v>42.7</v>
      </c>
      <c r="U16" t="n">
        <v>43.9</v>
      </c>
      <c r="V16" t="n">
        <v>51.6</v>
      </c>
      <c r="W16" t="n">
        <v>16.7</v>
      </c>
      <c r="X16" t="n">
        <v>22.2</v>
      </c>
      <c r="Y16" t="n">
        <v>26.5</v>
      </c>
      <c r="Z16" t="n">
        <v>30.7</v>
      </c>
      <c r="AA16" t="n">
        <v>45.5</v>
      </c>
      <c r="AB16" t="n">
        <v>47.6</v>
      </c>
      <c r="AC16" t="n">
        <v>43.9</v>
      </c>
      <c r="AD16" t="n">
        <v>45.5</v>
      </c>
      <c r="AE16" t="n">
        <v>32.3</v>
      </c>
      <c r="AF16" t="n">
        <v>41.3</v>
      </c>
    </row>
    <row r="17">
      <c r="A17" t="s">
        <v>9</v>
      </c>
      <c r="B17" t="s">
        <v>304</v>
      </c>
      <c r="C17" t="s">
        <v>246</v>
      </c>
      <c r="D17" t="s">
        <v>305</v>
      </c>
      <c r="E17" t="s">
        <v>247</v>
      </c>
      <c r="F17" t="n">
        <v>94.6</v>
      </c>
      <c r="G17" t="n">
        <v>120.5</v>
      </c>
      <c r="H17" t="n">
        <v>173.9</v>
      </c>
      <c r="I17" t="n">
        <v>144.1</v>
      </c>
      <c r="J17" t="n">
        <v>152.3</v>
      </c>
      <c r="K17" t="n">
        <v>237.8</v>
      </c>
      <c r="L17" t="n">
        <v>237.1</v>
      </c>
      <c r="M17" t="n">
        <v>258.5</v>
      </c>
      <c r="N17" t="n">
        <v>211.3</v>
      </c>
      <c r="O17" t="n">
        <v>252.9</v>
      </c>
      <c r="P17" t="n">
        <v>230.1</v>
      </c>
      <c r="Q17" t="n">
        <v>276</v>
      </c>
      <c r="R17" t="n">
        <v>234.3</v>
      </c>
      <c r="S17" t="n">
        <v>267.2</v>
      </c>
      <c r="T17" t="n">
        <v>169.8</v>
      </c>
      <c r="U17" t="n">
        <v>173.1</v>
      </c>
      <c r="V17" t="n">
        <v>200.8</v>
      </c>
      <c r="W17" t="n">
        <v>91.7</v>
      </c>
      <c r="X17" t="n">
        <v>99.6</v>
      </c>
      <c r="Y17" t="n">
        <v>118</v>
      </c>
      <c r="Z17" t="n">
        <v>134.3</v>
      </c>
      <c r="AA17" t="n">
        <v>199.2</v>
      </c>
      <c r="AB17" t="n">
        <v>217.4</v>
      </c>
      <c r="AC17" t="n">
        <v>202.9</v>
      </c>
      <c r="AD17" t="n">
        <v>209</v>
      </c>
      <c r="AE17" t="n">
        <v>163.9</v>
      </c>
      <c r="AF17" t="n">
        <v>208.2</v>
      </c>
    </row>
    <row r="18">
      <c r="A18" t="s">
        <v>9</v>
      </c>
      <c r="B18" t="s">
        <v>306</v>
      </c>
      <c r="C18" t="s">
        <v>246</v>
      </c>
      <c r="D18" t="s">
        <v>307</v>
      </c>
      <c r="E18" t="s">
        <v>247</v>
      </c>
      <c r="F18" t="n">
        <v>78</v>
      </c>
      <c r="G18" t="n">
        <v>77.8</v>
      </c>
      <c r="H18" t="n">
        <v>81.3</v>
      </c>
      <c r="I18" t="n">
        <v>84.3</v>
      </c>
      <c r="J18" t="n">
        <v>93.2</v>
      </c>
      <c r="K18" t="n">
        <v>129.3</v>
      </c>
      <c r="L18" t="n">
        <v>138.8</v>
      </c>
      <c r="M18" t="n">
        <v>137.2</v>
      </c>
      <c r="N18" t="n">
        <v>102.9</v>
      </c>
      <c r="O18" t="n">
        <v>145.2</v>
      </c>
      <c r="P18" t="n">
        <v>155.5</v>
      </c>
      <c r="Q18" t="n">
        <v>143.4</v>
      </c>
      <c r="R18" t="n">
        <v>133.1</v>
      </c>
      <c r="S18" t="n">
        <v>141</v>
      </c>
      <c r="T18" t="n">
        <v>93.3</v>
      </c>
      <c r="U18" t="n">
        <v>92.9</v>
      </c>
      <c r="V18" t="n">
        <v>110.8</v>
      </c>
      <c r="W18" t="n">
        <v>533.1</v>
      </c>
      <c r="X18" t="n">
        <v>11.9</v>
      </c>
      <c r="Y18" t="n">
        <v>-33.2</v>
      </c>
      <c r="Z18" t="n">
        <v>-51.4</v>
      </c>
      <c r="AA18" t="n">
        <v>188.1</v>
      </c>
      <c r="AB18" t="n">
        <v>19.4</v>
      </c>
      <c r="AC18" t="n">
        <v>-63.5</v>
      </c>
      <c r="AD18" t="n">
        <v>-589.2</v>
      </c>
      <c r="AE18" t="n">
        <v>-675.2</v>
      </c>
      <c r="AF18" t="n">
        <v>73.5</v>
      </c>
    </row>
    <row r="19">
      <c r="A19" t="s">
        <v>9</v>
      </c>
      <c r="B19" t="s">
        <v>308</v>
      </c>
      <c r="C19" t="s">
        <v>246</v>
      </c>
      <c r="D19" t="s">
        <v>309</v>
      </c>
      <c r="E19" t="s">
        <v>247</v>
      </c>
      <c r="F19" t="n">
        <v>164.9</v>
      </c>
      <c r="G19" t="n">
        <v>171</v>
      </c>
      <c r="H19" t="n">
        <v>124.3</v>
      </c>
      <c r="I19" t="n">
        <v>219.3</v>
      </c>
      <c r="J19" t="n">
        <v>216.1</v>
      </c>
      <c r="K19" t="n">
        <v>266.7</v>
      </c>
      <c r="L19" t="n">
        <v>257.9</v>
      </c>
      <c r="M19" t="n">
        <v>286.2</v>
      </c>
      <c r="N19" t="n">
        <v>235.9</v>
      </c>
      <c r="O19" t="n">
        <v>268.3</v>
      </c>
      <c r="P19" t="n">
        <v>249.2</v>
      </c>
      <c r="Q19" t="n">
        <v>291.3</v>
      </c>
      <c r="R19" t="n">
        <v>262.3</v>
      </c>
      <c r="S19" t="n">
        <v>280.3</v>
      </c>
      <c r="T19" t="n">
        <v>180.5</v>
      </c>
      <c r="U19" t="n">
        <v>186.9</v>
      </c>
      <c r="V19" t="n">
        <v>216.1</v>
      </c>
      <c r="W19" t="n">
        <v>105.5</v>
      </c>
      <c r="X19" t="n">
        <v>112.2</v>
      </c>
      <c r="Y19" t="n">
        <v>142.2</v>
      </c>
      <c r="Z19" t="n">
        <v>166.7</v>
      </c>
      <c r="AA19" t="n">
        <v>248.5</v>
      </c>
      <c r="AB19" t="n">
        <v>258.1</v>
      </c>
      <c r="AC19" t="n">
        <v>248.6</v>
      </c>
      <c r="AD19" t="n">
        <v>270.6</v>
      </c>
      <c r="AE19" t="n">
        <v>215</v>
      </c>
      <c r="AF19" t="n">
        <v>267.1</v>
      </c>
    </row>
    <row r="20">
      <c r="A20" t="s">
        <v>9</v>
      </c>
      <c r="B20" t="s">
        <v>310</v>
      </c>
      <c r="C20" t="s">
        <v>246</v>
      </c>
      <c r="D20" t="s">
        <v>311</v>
      </c>
      <c r="E20" t="s">
        <v>247</v>
      </c>
      <c r="F20" t="n">
        <v>68.3</v>
      </c>
      <c r="G20" t="n">
        <v>59.2</v>
      </c>
      <c r="H20" t="n">
        <v>32.7</v>
      </c>
      <c r="I20" t="n">
        <v>47.5</v>
      </c>
      <c r="J20" t="n">
        <v>92.7</v>
      </c>
      <c r="K20" t="n">
        <v>76.1</v>
      </c>
      <c r="L20" t="n">
        <v>72.5</v>
      </c>
      <c r="M20" t="n">
        <v>75</v>
      </c>
      <c r="N20" t="n">
        <v>67.5</v>
      </c>
      <c r="O20" t="n">
        <v>66.3</v>
      </c>
      <c r="P20" t="n">
        <v>60.5</v>
      </c>
      <c r="Q20" t="n">
        <v>59.9</v>
      </c>
      <c r="R20" t="n">
        <v>86.5</v>
      </c>
      <c r="S20" t="n">
        <v>78.3</v>
      </c>
      <c r="T20" t="n">
        <v>55.7</v>
      </c>
      <c r="U20" t="n">
        <v>57.1</v>
      </c>
      <c r="V20" t="n">
        <v>60.6</v>
      </c>
      <c r="W20" t="n">
        <v>43.1</v>
      </c>
      <c r="X20" t="n">
        <v>18.5</v>
      </c>
      <c r="Y20" t="n">
        <v>21</v>
      </c>
      <c r="Z20" t="n">
        <v>27.1</v>
      </c>
      <c r="AA20" t="n">
        <v>49.8</v>
      </c>
      <c r="AB20" t="n">
        <v>44.2</v>
      </c>
      <c r="AC20" t="n">
        <v>47</v>
      </c>
      <c r="AD20" t="n">
        <v>34.2</v>
      </c>
      <c r="AE20" t="n">
        <v>45.2</v>
      </c>
      <c r="AF20" t="n">
        <v>40.8</v>
      </c>
    </row>
    <row r="21">
      <c r="A21" t="s">
        <v>9</v>
      </c>
      <c r="B21" t="s">
        <v>312</v>
      </c>
      <c r="C21" t="s">
        <v>246</v>
      </c>
      <c r="D21" t="s">
        <v>313</v>
      </c>
      <c r="E21" t="s">
        <v>247</v>
      </c>
      <c r="F21" t="n">
        <v>218.5</v>
      </c>
      <c r="G21" t="n">
        <v>236.1</v>
      </c>
      <c r="H21" t="n">
        <v>230.8</v>
      </c>
      <c r="I21" t="n">
        <v>316.7</v>
      </c>
      <c r="J21" t="n">
        <v>339.4</v>
      </c>
      <c r="K21" t="n">
        <v>360.4</v>
      </c>
      <c r="L21" t="n">
        <v>380.5</v>
      </c>
      <c r="M21" t="n">
        <v>401.1</v>
      </c>
      <c r="N21" t="n">
        <v>360.1</v>
      </c>
      <c r="O21" t="n">
        <v>369.5</v>
      </c>
      <c r="P21" t="n">
        <v>367.7</v>
      </c>
      <c r="Q21" t="n">
        <v>395.1</v>
      </c>
      <c r="R21" t="n">
        <v>403.6</v>
      </c>
      <c r="S21" t="n">
        <v>403.7</v>
      </c>
      <c r="T21" t="n">
        <v>290</v>
      </c>
      <c r="U21" t="n">
        <v>317.2</v>
      </c>
      <c r="V21" t="n">
        <v>332.2</v>
      </c>
      <c r="W21" t="n">
        <v>279.3</v>
      </c>
      <c r="X21" t="n">
        <v>235.4</v>
      </c>
      <c r="Y21" t="n">
        <v>240.8</v>
      </c>
      <c r="Z21" t="n">
        <v>295.9</v>
      </c>
      <c r="AA21" t="n">
        <v>350.1</v>
      </c>
      <c r="AB21" t="n">
        <v>360.5</v>
      </c>
      <c r="AC21" t="n">
        <v>434.2</v>
      </c>
      <c r="AD21" t="n">
        <v>501.9</v>
      </c>
      <c r="AE21" t="n">
        <v>503</v>
      </c>
      <c r="AF21" t="n">
        <v>595.1</v>
      </c>
    </row>
    <row r="22">
      <c r="A22" t="s">
        <v>9</v>
      </c>
      <c r="B22" t="s">
        <v>314</v>
      </c>
      <c r="C22" t="s">
        <v>246</v>
      </c>
      <c r="D22" t="s">
        <v>315</v>
      </c>
      <c r="E22" t="s">
        <v>247</v>
      </c>
      <c r="F22" t="n">
        <v>150.2</v>
      </c>
      <c r="G22" t="n">
        <v>176.9</v>
      </c>
      <c r="H22" t="n">
        <v>198.1</v>
      </c>
      <c r="I22" t="n">
        <v>269.2</v>
      </c>
      <c r="J22" t="n">
        <v>246.7</v>
      </c>
      <c r="K22" t="n">
        <v>284.3</v>
      </c>
      <c r="L22" t="n">
        <v>308</v>
      </c>
      <c r="M22" t="n">
        <v>326.1</v>
      </c>
      <c r="N22" t="n">
        <v>292.6</v>
      </c>
      <c r="O22" t="n">
        <v>303.2</v>
      </c>
      <c r="P22" t="n">
        <v>307.2</v>
      </c>
      <c r="Q22" t="n">
        <v>335.2</v>
      </c>
      <c r="R22" t="n">
        <v>317.1</v>
      </c>
      <c r="S22" t="n">
        <v>325.4</v>
      </c>
      <c r="T22" t="n">
        <v>234.3</v>
      </c>
      <c r="U22" t="n">
        <v>260.1</v>
      </c>
      <c r="V22" t="n">
        <v>271.6</v>
      </c>
      <c r="W22" t="n">
        <v>236.2</v>
      </c>
      <c r="X22" t="n">
        <v>216.9</v>
      </c>
      <c r="Y22" t="n">
        <v>219.8</v>
      </c>
      <c r="Z22" t="n">
        <v>268.8</v>
      </c>
      <c r="AA22" t="n">
        <v>300.3</v>
      </c>
      <c r="AB22" t="n">
        <v>316.3</v>
      </c>
      <c r="AC22" t="n">
        <v>387.2</v>
      </c>
      <c r="AD22" t="n">
        <v>467.7</v>
      </c>
      <c r="AE22" t="n">
        <v>457.8</v>
      </c>
      <c r="AF22" t="n">
        <v>554.3</v>
      </c>
    </row>
    <row r="23">
      <c r="A23" t="s">
        <v>9</v>
      </c>
      <c r="B23" t="s">
        <v>316</v>
      </c>
      <c r="C23" t="s">
        <v>246</v>
      </c>
      <c r="D23" t="s">
        <v>317</v>
      </c>
      <c r="E23" t="s">
        <v>247</v>
      </c>
      <c r="F23" t="n">
        <v>658.4</v>
      </c>
      <c r="G23" t="n">
        <v>860.1</v>
      </c>
      <c r="H23" t="n">
        <v>687</v>
      </c>
      <c r="I23" t="n">
        <v>1334.4</v>
      </c>
      <c r="J23" t="n">
        <v>1059.7</v>
      </c>
      <c r="K23" t="n">
        <v>1283.2</v>
      </c>
      <c r="L23" t="n">
        <v>1392.1</v>
      </c>
      <c r="M23" t="n">
        <v>1658.1</v>
      </c>
      <c r="N23" t="n">
        <v>1463.3</v>
      </c>
      <c r="O23" t="n">
        <v>1599.5</v>
      </c>
      <c r="P23" t="n">
        <v>1411.9</v>
      </c>
      <c r="Q23" t="n">
        <v>1625.1</v>
      </c>
      <c r="R23" t="n">
        <v>1561.7</v>
      </c>
      <c r="S23" t="n">
        <v>1598</v>
      </c>
      <c r="T23" t="n">
        <v>1072.8</v>
      </c>
      <c r="U23" t="n">
        <v>1123.5</v>
      </c>
      <c r="V23" t="n">
        <v>1245.8</v>
      </c>
      <c r="W23" t="n">
        <v>595.8</v>
      </c>
      <c r="X23" t="n">
        <v>563</v>
      </c>
      <c r="Y23" t="n">
        <v>588.2</v>
      </c>
      <c r="Z23" t="n">
        <v>735.1</v>
      </c>
      <c r="AA23" t="n">
        <v>1247.5</v>
      </c>
      <c r="AB23" t="n">
        <v>1296.3</v>
      </c>
      <c r="AC23" t="n">
        <v>1387.9</v>
      </c>
      <c r="AD23" t="n">
        <v>1518.8</v>
      </c>
      <c r="AE23" t="n">
        <v>1398.9</v>
      </c>
      <c r="AF23" t="n">
        <v>1931.2</v>
      </c>
    </row>
    <row r="24">
      <c r="A24" t="s">
        <v>9</v>
      </c>
      <c r="B24" t="s">
        <v>318</v>
      </c>
      <c r="C24" t="s">
        <v>246</v>
      </c>
      <c r="D24" t="s">
        <v>319</v>
      </c>
      <c r="E24" t="s">
        <v>247</v>
      </c>
      <c r="F24" t="n">
        <v>1720.1</v>
      </c>
      <c r="G24" t="n">
        <v>1908.5</v>
      </c>
      <c r="H24" t="n">
        <v>1781.5</v>
      </c>
      <c r="I24" t="n">
        <v>2561.7</v>
      </c>
      <c r="J24" t="n">
        <v>3141</v>
      </c>
      <c r="K24" t="n">
        <v>3064.5</v>
      </c>
      <c r="L24" t="n">
        <v>3149.7</v>
      </c>
      <c r="M24" t="n">
        <v>3310</v>
      </c>
      <c r="N24" t="n">
        <v>3013.5</v>
      </c>
      <c r="O24" t="n">
        <v>3472.4</v>
      </c>
      <c r="P24" t="n">
        <v>3379.9</v>
      </c>
      <c r="Q24" t="n">
        <v>3477.8</v>
      </c>
      <c r="R24" t="n">
        <v>3501.4</v>
      </c>
      <c r="S24" t="n">
        <v>3243</v>
      </c>
      <c r="T24" t="n">
        <v>2387.6</v>
      </c>
      <c r="U24" t="n">
        <v>2347.3</v>
      </c>
      <c r="V24" t="n">
        <v>2691.4</v>
      </c>
      <c r="W24" t="n">
        <v>959.5</v>
      </c>
      <c r="X24" t="n">
        <v>1569</v>
      </c>
      <c r="Y24" t="n">
        <v>1716.4</v>
      </c>
      <c r="Z24" t="n">
        <v>1955.5</v>
      </c>
      <c r="AA24" t="n">
        <v>2817.7</v>
      </c>
      <c r="AB24" t="n">
        <v>2739.7</v>
      </c>
      <c r="AC24" t="n">
        <v>2399.8</v>
      </c>
      <c r="AD24" t="n">
        <v>2517.8</v>
      </c>
      <c r="AE24" t="n">
        <v>2022.8</v>
      </c>
      <c r="AF24" t="n">
        <v>2499.4</v>
      </c>
    </row>
    <row r="25">
      <c r="A25" t="s">
        <v>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</v>
      </c>
      <c r="B28" t="s">
        <v>326</v>
      </c>
      <c r="C28" t="s">
        <v>246</v>
      </c>
      <c r="D28" t="s">
        <v>327</v>
      </c>
      <c r="E28" t="s">
        <v>247</v>
      </c>
      <c r="F28" t="n">
        <v>4358.5</v>
      </c>
      <c r="G28" t="n">
        <v>4095.3</v>
      </c>
      <c r="H28" t="n">
        <v>4746.5</v>
      </c>
      <c r="I28" t="n">
        <v>4976.2</v>
      </c>
      <c r="J28" t="n">
        <v>5816</v>
      </c>
      <c r="K28" t="n">
        <v>5949.2</v>
      </c>
      <c r="L28" t="n">
        <v>6125</v>
      </c>
      <c r="M28" t="n">
        <v>6808.6</v>
      </c>
      <c r="N28" t="n">
        <v>6918.8</v>
      </c>
      <c r="O28" t="n">
        <v>7071.6</v>
      </c>
      <c r="P28" t="n">
        <v>6448.5</v>
      </c>
      <c r="Q28" t="n">
        <v>7767.9</v>
      </c>
      <c r="R28" t="n">
        <v>6789.9</v>
      </c>
      <c r="S28" t="n">
        <v>8090.3</v>
      </c>
      <c r="T28" t="n">
        <v>7808.2</v>
      </c>
      <c r="U28" t="n">
        <v>7128.7</v>
      </c>
      <c r="V28" t="n">
        <v>6726.6</v>
      </c>
      <c r="W28" t="n">
        <v>5998.4</v>
      </c>
      <c r="X28" t="n">
        <v>4589.8</v>
      </c>
      <c r="Y28" t="n">
        <v>4964.7</v>
      </c>
      <c r="Z28" t="n">
        <v>6690.2</v>
      </c>
      <c r="AA28" t="n">
        <v>5840.9</v>
      </c>
      <c r="AB28" t="n">
        <v>6216.5</v>
      </c>
      <c r="AC28" t="n">
        <v>7312.5</v>
      </c>
      <c r="AD28" t="n">
        <v>8195.1</v>
      </c>
      <c r="AE28" t="n">
        <v>6479.4</v>
      </c>
      <c r="AF28" t="n">
        <v>8470.3</v>
      </c>
    </row>
    <row r="29">
      <c r="A29" t="s">
        <v>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</v>
      </c>
      <c r="B34" t="s">
        <v>338</v>
      </c>
      <c r="C34" t="s">
        <v>246</v>
      </c>
      <c r="D34" t="s">
        <v>339</v>
      </c>
      <c r="E34" t="s">
        <v>247</v>
      </c>
      <c r="F34" t="n">
        <v>148.5</v>
      </c>
      <c r="G34" t="n">
        <v>120.5</v>
      </c>
      <c r="H34" t="n">
        <v>168.5</v>
      </c>
      <c r="I34" t="n">
        <v>213.6</v>
      </c>
      <c r="J34" t="n">
        <v>289.1</v>
      </c>
      <c r="K34" t="n">
        <v>273.3</v>
      </c>
      <c r="L34" t="n">
        <v>295.5</v>
      </c>
      <c r="M34" t="n">
        <v>271.2</v>
      </c>
      <c r="N34" t="n">
        <v>237.5</v>
      </c>
      <c r="O34" t="n">
        <v>326.9</v>
      </c>
      <c r="P34" t="n">
        <v>274.7</v>
      </c>
      <c r="Q34" t="n">
        <v>302</v>
      </c>
      <c r="R34" t="n">
        <v>286.3</v>
      </c>
      <c r="S34" t="n">
        <v>287.6</v>
      </c>
      <c r="T34" t="n">
        <v>187.2</v>
      </c>
      <c r="U34" t="n">
        <v>189.3</v>
      </c>
      <c r="V34" t="n">
        <v>233.1</v>
      </c>
      <c r="W34" t="n">
        <v>58.1</v>
      </c>
      <c r="X34" t="n">
        <v>104.6</v>
      </c>
      <c r="Y34" t="n">
        <v>120.7</v>
      </c>
      <c r="Z34" t="n">
        <v>159.1</v>
      </c>
      <c r="AA34" t="n">
        <v>246.7</v>
      </c>
      <c r="AB34" t="n">
        <v>309</v>
      </c>
      <c r="AC34" t="n">
        <v>271.4</v>
      </c>
      <c r="AD34" t="n">
        <v>281.4</v>
      </c>
      <c r="AE34" t="n">
        <v>185.1</v>
      </c>
      <c r="AF34" t="n">
        <v>210.2</v>
      </c>
    </row>
    <row r="35">
      <c r="A35" t="s">
        <v>9</v>
      </c>
      <c r="B35" t="s">
        <v>340</v>
      </c>
      <c r="C35" t="s">
        <v>246</v>
      </c>
      <c r="D35" t="s">
        <v>341</v>
      </c>
      <c r="E35" t="s">
        <v>247</v>
      </c>
      <c r="F35" t="n">
        <v>103.6</v>
      </c>
      <c r="G35" t="n">
        <v>112</v>
      </c>
      <c r="H35" t="n">
        <v>113</v>
      </c>
      <c r="I35" t="n">
        <v>128.2</v>
      </c>
      <c r="J35" t="n">
        <v>139.8</v>
      </c>
      <c r="K35" t="n">
        <v>177.8</v>
      </c>
      <c r="L35" t="n">
        <v>174.8</v>
      </c>
      <c r="M35" t="n">
        <v>214.6</v>
      </c>
      <c r="N35" t="n">
        <v>179.5</v>
      </c>
      <c r="O35" t="n">
        <v>224.6</v>
      </c>
      <c r="P35" t="n">
        <v>192.3</v>
      </c>
      <c r="Q35" t="n">
        <v>187.8</v>
      </c>
      <c r="R35" t="n">
        <v>210.1</v>
      </c>
      <c r="S35" t="n">
        <v>194.7</v>
      </c>
      <c r="T35" t="n">
        <v>127.2</v>
      </c>
      <c r="U35" t="n">
        <v>127.1</v>
      </c>
      <c r="V35" t="n">
        <v>158.1</v>
      </c>
      <c r="W35" t="n">
        <v>57</v>
      </c>
      <c r="X35" t="n">
        <v>70.1</v>
      </c>
      <c r="Y35" t="n">
        <v>232.4</v>
      </c>
      <c r="Z35" t="n">
        <v>390.6</v>
      </c>
      <c r="AA35" t="n">
        <v>426.7</v>
      </c>
      <c r="AB35" t="n">
        <v>321.4</v>
      </c>
      <c r="AC35" t="n">
        <v>340.1</v>
      </c>
      <c r="AD35" t="n">
        <v>379.5</v>
      </c>
      <c r="AE35" t="n">
        <v>361.2</v>
      </c>
      <c r="AF35" t="n">
        <v>379.8</v>
      </c>
    </row>
    <row r="36">
      <c r="A36" t="s">
        <v>9</v>
      </c>
      <c r="B36" t="s">
        <v>342</v>
      </c>
      <c r="C36" t="s">
        <v>246</v>
      </c>
      <c r="D36" t="s">
        <v>343</v>
      </c>
      <c r="E36" t="s">
        <v>247</v>
      </c>
      <c r="F36" t="n">
        <v>13.7</v>
      </c>
      <c r="G36" t="n">
        <v>17.1</v>
      </c>
      <c r="H36" t="n">
        <v>16.9</v>
      </c>
      <c r="I36" t="n">
        <v>27.4</v>
      </c>
      <c r="J36" t="n">
        <v>21.8</v>
      </c>
      <c r="K36" t="n">
        <v>28</v>
      </c>
      <c r="L36" t="n">
        <v>34.4</v>
      </c>
      <c r="M36" t="n">
        <v>27.5</v>
      </c>
      <c r="N36" t="n">
        <v>28.4</v>
      </c>
      <c r="O36" t="n">
        <v>31.7</v>
      </c>
      <c r="P36" t="n">
        <v>31.8</v>
      </c>
      <c r="Q36" t="n">
        <v>29.5</v>
      </c>
      <c r="R36" t="n">
        <v>32.2</v>
      </c>
      <c r="S36" t="n">
        <v>30.2</v>
      </c>
      <c r="T36" t="n">
        <v>19.9</v>
      </c>
      <c r="U36" t="n">
        <v>20.1</v>
      </c>
      <c r="V36" t="n">
        <v>24.5</v>
      </c>
      <c r="W36" t="n">
        <v>8.5</v>
      </c>
      <c r="X36" t="n">
        <v>9.9</v>
      </c>
      <c r="Y36" t="n">
        <v>10.2</v>
      </c>
      <c r="Z36" t="n">
        <v>13.1</v>
      </c>
      <c r="AA36" t="n">
        <v>14.7</v>
      </c>
      <c r="AB36" t="n">
        <v>17.8</v>
      </c>
      <c r="AC36" t="n">
        <v>23</v>
      </c>
      <c r="AD36" t="n">
        <v>21.5</v>
      </c>
      <c r="AE36" t="n">
        <v>14.5</v>
      </c>
      <c r="AF36" t="n">
        <v>19.9</v>
      </c>
    </row>
    <row r="37">
      <c r="A37" t="s">
        <v>9</v>
      </c>
      <c r="B37" t="s">
        <v>344</v>
      </c>
      <c r="C37" t="s">
        <v>246</v>
      </c>
      <c r="D37" t="s">
        <v>345</v>
      </c>
      <c r="E37" t="s">
        <v>247</v>
      </c>
      <c r="F37" t="n">
        <v>4.5</v>
      </c>
      <c r="G37" t="n">
        <v>3.5</v>
      </c>
      <c r="H37" t="n">
        <v>5.7</v>
      </c>
      <c r="I37" t="n">
        <v>5.7</v>
      </c>
      <c r="J37" t="n">
        <v>6.1</v>
      </c>
      <c r="K37" t="n">
        <v>5.5</v>
      </c>
      <c r="L37" t="n">
        <v>5.3</v>
      </c>
      <c r="M37" t="n">
        <v>9</v>
      </c>
      <c r="N37" t="n">
        <v>8</v>
      </c>
      <c r="O37" t="n">
        <v>5.6</v>
      </c>
      <c r="P37" t="n">
        <v>6.3</v>
      </c>
      <c r="Q37" t="n">
        <v>6.6</v>
      </c>
      <c r="R37" t="n">
        <v>8</v>
      </c>
      <c r="S37" t="n">
        <v>5.1</v>
      </c>
      <c r="T37" t="n">
        <v>3.3</v>
      </c>
      <c r="U37" t="n">
        <v>5</v>
      </c>
      <c r="V37" t="n">
        <v>6</v>
      </c>
      <c r="W37" t="n">
        <v>7.2</v>
      </c>
      <c r="X37" t="n">
        <v>4.2</v>
      </c>
      <c r="Y37" t="n">
        <v>126.9</v>
      </c>
      <c r="Z37" t="n">
        <v>256.4</v>
      </c>
      <c r="AA37" t="n">
        <v>231.5</v>
      </c>
      <c r="AB37" t="n">
        <v>127.9</v>
      </c>
      <c r="AC37" t="n">
        <v>117.5</v>
      </c>
      <c r="AD37" t="n">
        <v>140.7</v>
      </c>
      <c r="AE37" t="n">
        <v>144.7</v>
      </c>
      <c r="AF37" t="n">
        <v>151.1</v>
      </c>
    </row>
    <row r="38">
      <c r="A38" t="s">
        <v>9</v>
      </c>
      <c r="B38" t="s">
        <v>346</v>
      </c>
      <c r="C38" t="s">
        <v>246</v>
      </c>
      <c r="D38" t="s">
        <v>347</v>
      </c>
      <c r="E38" t="s">
        <v>247</v>
      </c>
      <c r="F38" t="n">
        <v>85.4</v>
      </c>
      <c r="G38" t="n">
        <v>91.4</v>
      </c>
      <c r="H38" t="n">
        <v>90.4</v>
      </c>
      <c r="I38" t="n">
        <v>95.1</v>
      </c>
      <c r="J38" t="n">
        <v>111.9</v>
      </c>
      <c r="K38" t="n">
        <v>144.3</v>
      </c>
      <c r="L38" t="n">
        <v>135.1</v>
      </c>
      <c r="M38" t="n">
        <v>178.1</v>
      </c>
      <c r="N38" t="n">
        <v>143.1</v>
      </c>
      <c r="O38" t="n">
        <v>187.3</v>
      </c>
      <c r="P38" t="n">
        <v>154.2</v>
      </c>
      <c r="Q38" t="n">
        <v>151.7</v>
      </c>
      <c r="R38" t="n">
        <v>169.9</v>
      </c>
      <c r="S38" t="n">
        <v>159.4</v>
      </c>
      <c r="T38" t="n">
        <v>104</v>
      </c>
      <c r="U38" t="n">
        <v>102</v>
      </c>
      <c r="V38" t="n">
        <v>127.6</v>
      </c>
      <c r="W38" t="n">
        <v>41.3</v>
      </c>
      <c r="X38" t="n">
        <v>56</v>
      </c>
      <c r="Y38" t="n">
        <v>95.3</v>
      </c>
      <c r="Z38" t="n">
        <v>121.1</v>
      </c>
      <c r="AA38" t="n">
        <v>180.5</v>
      </c>
      <c r="AB38" t="n">
        <v>175.7</v>
      </c>
      <c r="AC38" t="n">
        <v>199.6</v>
      </c>
      <c r="AD38" t="n">
        <v>217.3</v>
      </c>
      <c r="AE38" t="n">
        <v>202</v>
      </c>
      <c r="AF38" t="n">
        <v>208.8</v>
      </c>
    </row>
    <row r="39">
      <c r="A39" t="s">
        <v>9</v>
      </c>
      <c r="B39" t="s">
        <v>348</v>
      </c>
      <c r="C39" t="s">
        <v>246</v>
      </c>
      <c r="D39" t="s">
        <v>349</v>
      </c>
      <c r="E39" t="s">
        <v>247</v>
      </c>
      <c r="F39" t="n">
        <v>118.1</v>
      </c>
      <c r="G39" t="n">
        <v>167.7</v>
      </c>
      <c r="H39" t="n">
        <v>257.1</v>
      </c>
      <c r="I39" t="n">
        <v>196.2</v>
      </c>
      <c r="J39" t="n">
        <v>226.7</v>
      </c>
      <c r="K39" t="n">
        <v>270.7</v>
      </c>
      <c r="L39" t="n">
        <v>271.2</v>
      </c>
      <c r="M39" t="n">
        <v>272.1</v>
      </c>
      <c r="N39" t="n">
        <v>313.8</v>
      </c>
      <c r="O39" t="n">
        <v>277.9</v>
      </c>
      <c r="P39" t="n">
        <v>289.1</v>
      </c>
      <c r="Q39" t="n">
        <v>293.5</v>
      </c>
      <c r="R39" t="n">
        <v>301.4</v>
      </c>
      <c r="S39" t="n">
        <v>288.3</v>
      </c>
      <c r="T39" t="n">
        <v>255.3</v>
      </c>
      <c r="U39" t="n">
        <v>170.4</v>
      </c>
      <c r="V39" t="n">
        <v>242.7</v>
      </c>
      <c r="W39" t="n">
        <v>214.1</v>
      </c>
      <c r="X39" t="n">
        <v>162.3</v>
      </c>
      <c r="Y39" t="n">
        <v>172.8</v>
      </c>
      <c r="Z39" t="n">
        <v>211.9</v>
      </c>
      <c r="AA39" t="n">
        <v>295.7</v>
      </c>
      <c r="AB39" t="n">
        <v>290.5</v>
      </c>
      <c r="AC39" t="n">
        <v>266.3</v>
      </c>
      <c r="AD39" t="n">
        <v>284.5</v>
      </c>
      <c r="AE39" t="n">
        <v>238</v>
      </c>
      <c r="AF39" t="n">
        <v>264.7</v>
      </c>
    </row>
    <row r="40">
      <c r="A40" t="s">
        <v>9</v>
      </c>
      <c r="B40" t="s">
        <v>350</v>
      </c>
      <c r="C40" t="s">
        <v>246</v>
      </c>
      <c r="D40" t="s">
        <v>351</v>
      </c>
      <c r="E40" t="s">
        <v>247</v>
      </c>
      <c r="F40" t="n">
        <v>140.6</v>
      </c>
      <c r="G40" t="n">
        <v>149.1</v>
      </c>
      <c r="H40" t="n">
        <v>152.7</v>
      </c>
      <c r="I40" t="n">
        <v>172.8</v>
      </c>
      <c r="J40" t="n">
        <v>196.8</v>
      </c>
      <c r="K40" t="n">
        <v>158.2</v>
      </c>
      <c r="L40" t="n">
        <v>375.8</v>
      </c>
      <c r="M40" t="n">
        <v>262</v>
      </c>
      <c r="N40" t="n">
        <v>237.4</v>
      </c>
      <c r="O40" t="n">
        <v>279.6</v>
      </c>
      <c r="P40" t="n">
        <v>232.7</v>
      </c>
      <c r="Q40" t="n">
        <v>254.5</v>
      </c>
      <c r="R40" t="n">
        <v>285.2</v>
      </c>
      <c r="S40" t="n">
        <v>234.9</v>
      </c>
      <c r="T40" t="n">
        <v>161.2</v>
      </c>
      <c r="U40" t="n">
        <v>193.4</v>
      </c>
      <c r="V40" t="n">
        <v>214.2</v>
      </c>
      <c r="W40" t="n">
        <v>-16.3</v>
      </c>
      <c r="X40" t="n">
        <v>57.3</v>
      </c>
      <c r="Y40" t="n">
        <v>90.6</v>
      </c>
      <c r="Z40" t="n">
        <v>97.5</v>
      </c>
      <c r="AA40" t="n">
        <v>147.3</v>
      </c>
      <c r="AB40" t="n">
        <v>216.3</v>
      </c>
      <c r="AC40" t="n">
        <v>192.9</v>
      </c>
      <c r="AD40" t="n">
        <v>236.5</v>
      </c>
      <c r="AE40" t="n">
        <v>193</v>
      </c>
      <c r="AF40" t="n">
        <v>248.2</v>
      </c>
    </row>
    <row r="41">
      <c r="A41" t="s">
        <v>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9</v>
      </c>
      <c r="B42" t="s">
        <v>354</v>
      </c>
      <c r="C42" t="s">
        <v>246</v>
      </c>
      <c r="D42" t="s">
        <v>355</v>
      </c>
      <c r="E42" t="s">
        <v>247</v>
      </c>
      <c r="F42" t="n">
        <v>254.2</v>
      </c>
      <c r="G42" t="n">
        <v>271.6</v>
      </c>
      <c r="H42" t="n">
        <v>272</v>
      </c>
      <c r="I42" t="n">
        <v>287.9</v>
      </c>
      <c r="J42" t="n">
        <v>336</v>
      </c>
      <c r="K42" t="n">
        <v>499.7</v>
      </c>
      <c r="L42" t="n">
        <v>416.7</v>
      </c>
      <c r="M42" t="n">
        <v>451.6</v>
      </c>
      <c r="N42" t="n">
        <v>451.8</v>
      </c>
      <c r="O42" t="n">
        <v>434.4</v>
      </c>
      <c r="P42" t="n">
        <v>485.3</v>
      </c>
      <c r="Q42" t="n">
        <v>497.3</v>
      </c>
      <c r="R42" t="n">
        <v>451</v>
      </c>
      <c r="S42" t="n">
        <v>465.9</v>
      </c>
      <c r="T42" t="n">
        <v>306.4</v>
      </c>
      <c r="U42" t="n">
        <v>308.1</v>
      </c>
      <c r="V42" t="n">
        <v>394.4</v>
      </c>
      <c r="W42" t="n">
        <v>10.2</v>
      </c>
      <c r="X42" t="n">
        <v>157.1</v>
      </c>
      <c r="Y42" t="n">
        <v>148.4</v>
      </c>
      <c r="Z42" t="n">
        <v>202.5</v>
      </c>
      <c r="AA42" t="n">
        <v>307.1</v>
      </c>
      <c r="AB42" t="n">
        <v>365.9</v>
      </c>
      <c r="AC42" t="n">
        <v>312.4</v>
      </c>
      <c r="AD42" t="n">
        <v>337.7</v>
      </c>
      <c r="AE42" t="n">
        <v>276.9</v>
      </c>
      <c r="AF42" t="n">
        <v>340.2</v>
      </c>
    </row>
    <row r="43">
      <c r="A43" t="s">
        <v>9</v>
      </c>
      <c r="B43" t="s">
        <v>356</v>
      </c>
      <c r="C43" t="s">
        <v>246</v>
      </c>
      <c r="D43" t="s">
        <v>357</v>
      </c>
      <c r="E43" t="s">
        <v>247</v>
      </c>
      <c r="F43" t="n">
        <v>2730.6</v>
      </c>
      <c r="G43" t="n">
        <v>2800.3</v>
      </c>
      <c r="H43" t="n">
        <v>2880.7</v>
      </c>
      <c r="I43" t="n">
        <v>3007.5</v>
      </c>
      <c r="J43" t="n">
        <v>3544.9</v>
      </c>
      <c r="K43" t="n">
        <v>5010</v>
      </c>
      <c r="L43" t="n">
        <v>4805.1</v>
      </c>
      <c r="M43" t="n">
        <v>4511.2</v>
      </c>
      <c r="N43" t="n">
        <v>3840.3</v>
      </c>
      <c r="O43" t="n">
        <v>4001.9</v>
      </c>
      <c r="P43" t="n">
        <v>4731.3</v>
      </c>
      <c r="Q43" t="n">
        <v>4452.1</v>
      </c>
      <c r="R43" t="n">
        <v>5493.3</v>
      </c>
      <c r="S43" t="n">
        <v>5609.9</v>
      </c>
      <c r="T43" t="n">
        <v>3606.8</v>
      </c>
      <c r="U43" t="n">
        <v>3520.2</v>
      </c>
      <c r="V43" t="n">
        <v>3948.3</v>
      </c>
      <c r="W43" t="n">
        <v>3778.4</v>
      </c>
      <c r="X43" t="n">
        <v>2738.8</v>
      </c>
      <c r="Y43" t="n">
        <v>3002.7</v>
      </c>
      <c r="Z43" t="n">
        <v>3800.3</v>
      </c>
      <c r="AA43" t="n">
        <v>4711.6</v>
      </c>
      <c r="AB43" t="n">
        <v>7017.2</v>
      </c>
      <c r="AC43" t="n">
        <v>6324.2</v>
      </c>
      <c r="AD43" t="n">
        <v>6956</v>
      </c>
      <c r="AE43" t="n">
        <v>4586.9</v>
      </c>
      <c r="AF43" t="n">
        <v>5705.7</v>
      </c>
    </row>
    <row r="44">
      <c r="A44" t="s">
        <v>9</v>
      </c>
      <c r="B44" t="s">
        <v>358</v>
      </c>
      <c r="C44" t="s">
        <v>246</v>
      </c>
      <c r="D44" t="s">
        <v>359</v>
      </c>
      <c r="E44" t="s">
        <v>247</v>
      </c>
      <c r="F44" t="n">
        <v>11547.5</v>
      </c>
      <c r="G44" t="n">
        <v>11949.8</v>
      </c>
      <c r="H44" t="n">
        <v>12417.9</v>
      </c>
      <c r="I44" t="n">
        <v>14841.3</v>
      </c>
      <c r="J44" t="n">
        <v>16850.3</v>
      </c>
      <c r="K44" t="n">
        <v>18934.3</v>
      </c>
      <c r="L44" t="n">
        <v>19170.8</v>
      </c>
      <c r="M44" t="n">
        <v>20272.9</v>
      </c>
      <c r="N44" t="n">
        <v>18754.5</v>
      </c>
      <c r="O44" t="n">
        <v>20213.7</v>
      </c>
      <c r="P44" t="n">
        <v>19723.6</v>
      </c>
      <c r="Q44" t="n">
        <v>21320.6</v>
      </c>
      <c r="R44" t="n">
        <v>21275.9</v>
      </c>
      <c r="S44" t="n">
        <v>22510.1</v>
      </c>
      <c r="T44" t="n">
        <v>17610.5</v>
      </c>
      <c r="U44" t="n">
        <v>16820.5</v>
      </c>
      <c r="V44" t="n">
        <v>17780.3</v>
      </c>
      <c r="W44" t="n">
        <v>13461.5</v>
      </c>
      <c r="X44" t="n">
        <v>11024.9</v>
      </c>
      <c r="Y44" t="n">
        <v>12156.6</v>
      </c>
      <c r="Z44" t="n">
        <v>15524.3</v>
      </c>
      <c r="AA44" t="n">
        <v>18054.9</v>
      </c>
      <c r="AB44" t="n">
        <v>20671.2</v>
      </c>
      <c r="AC44" t="n">
        <v>20670</v>
      </c>
      <c r="AD44" t="n">
        <v>22118.7</v>
      </c>
      <c r="AE44" t="n">
        <v>16786.3</v>
      </c>
      <c r="AF44" t="n">
        <v>22252.9</v>
      </c>
    </row>
    <row r="45">
      <c r="A45" t="s">
        <v>9</v>
      </c>
      <c r="B45" t="s">
        <v>360</v>
      </c>
      <c r="C45" t="s">
        <v>246</v>
      </c>
      <c r="D45" t="s">
        <v>361</v>
      </c>
      <c r="E45" t="s">
        <v>247</v>
      </c>
      <c r="F45" t="n">
        <v>11317.8</v>
      </c>
      <c r="G45" t="n">
        <v>11725.9</v>
      </c>
      <c r="H45" t="n">
        <v>12118.1</v>
      </c>
      <c r="I45" t="n">
        <v>14541</v>
      </c>
      <c r="J45" t="n">
        <v>16461.8</v>
      </c>
      <c r="K45" t="n">
        <v>18564.6</v>
      </c>
      <c r="L45" t="n">
        <v>18813.7</v>
      </c>
      <c r="M45" t="n">
        <v>19815.6</v>
      </c>
      <c r="N45" t="n">
        <v>18392.5</v>
      </c>
      <c r="O45" t="n">
        <v>19760.6</v>
      </c>
      <c r="P45" t="n">
        <v>19311.9</v>
      </c>
      <c r="Q45" t="n">
        <v>20897.6</v>
      </c>
      <c r="R45" t="n">
        <v>20856.5</v>
      </c>
      <c r="S45" t="n">
        <v>22116.3</v>
      </c>
      <c r="T45" t="n">
        <v>17320.9</v>
      </c>
      <c r="U45" t="n">
        <v>16537</v>
      </c>
      <c r="V45" t="n">
        <v>17442.9</v>
      </c>
      <c r="W45" t="n">
        <v>13310</v>
      </c>
      <c r="X45" t="n">
        <v>10892.5</v>
      </c>
      <c r="Y45" t="n">
        <v>12025.5</v>
      </c>
      <c r="Z45" t="n">
        <v>15373</v>
      </c>
      <c r="AA45" t="n">
        <v>17836.9</v>
      </c>
      <c r="AB45" t="n">
        <v>20413.4</v>
      </c>
      <c r="AC45" t="n">
        <v>20405.8</v>
      </c>
      <c r="AD45" t="n">
        <v>21834.9</v>
      </c>
      <c r="AE45" t="n">
        <v>16528.8</v>
      </c>
      <c r="AF45" t="n">
        <v>21948.9</v>
      </c>
    </row>
    <row r="46">
      <c r="A46" t="s">
        <v>9</v>
      </c>
      <c r="B46" t="s">
        <v>362</v>
      </c>
      <c r="C46" t="s">
        <v>246</v>
      </c>
      <c r="D46" t="s">
        <v>363</v>
      </c>
      <c r="E46" t="s">
        <v>247</v>
      </c>
      <c r="F46" t="n">
        <v>2476.4</v>
      </c>
      <c r="G46" t="n">
        <v>2528.7</v>
      </c>
      <c r="H46" t="n">
        <v>2608.7</v>
      </c>
      <c r="I46" t="n">
        <v>2719.6</v>
      </c>
      <c r="J46" t="n">
        <v>3208.9</v>
      </c>
      <c r="K46" t="n">
        <v>4510.3</v>
      </c>
      <c r="L46" t="n">
        <v>4388.4</v>
      </c>
      <c r="M46" t="n">
        <v>4059.6</v>
      </c>
      <c r="N46" t="n">
        <v>3388.5</v>
      </c>
      <c r="O46" t="n">
        <v>3567.5</v>
      </c>
      <c r="P46" t="n">
        <v>4246</v>
      </c>
      <c r="Q46" t="n">
        <v>3954.8</v>
      </c>
      <c r="R46" t="n">
        <v>5042.3</v>
      </c>
      <c r="S46" t="n">
        <v>5144</v>
      </c>
      <c r="T46" t="n">
        <v>3300.4</v>
      </c>
      <c r="U46" t="n">
        <v>3212.1</v>
      </c>
      <c r="V46" t="n">
        <v>3553.9</v>
      </c>
      <c r="W46" t="n">
        <v>3768.2</v>
      </c>
      <c r="X46" t="n">
        <v>2581.7</v>
      </c>
      <c r="Y46" t="n">
        <v>2854.3</v>
      </c>
      <c r="Z46" t="n">
        <v>3597.8</v>
      </c>
      <c r="AA46" t="n">
        <v>4404.5</v>
      </c>
      <c r="AB46" t="n">
        <v>6651.3</v>
      </c>
      <c r="AC46" t="n">
        <v>6011.8</v>
      </c>
      <c r="AD46" t="n">
        <v>6618.3</v>
      </c>
      <c r="AE46" t="n">
        <v>4310</v>
      </c>
      <c r="AF46" t="n">
        <v>5365.5</v>
      </c>
    </row>
    <row r="47">
      <c r="A47" t="s">
        <v>9</v>
      </c>
      <c r="B47" t="s">
        <v>364</v>
      </c>
      <c r="C47" t="s">
        <v>246</v>
      </c>
      <c r="D47" t="s">
        <v>365</v>
      </c>
      <c r="E47" t="s">
        <v>247</v>
      </c>
      <c r="F47" t="n">
        <v>391</v>
      </c>
      <c r="G47" t="n">
        <v>452</v>
      </c>
      <c r="H47" t="n">
        <v>484</v>
      </c>
      <c r="I47" t="n">
        <v>596</v>
      </c>
      <c r="J47" t="n">
        <v>740</v>
      </c>
      <c r="K47" t="n">
        <v>475</v>
      </c>
      <c r="L47" t="n">
        <v>598</v>
      </c>
      <c r="M47" t="n">
        <v>669</v>
      </c>
      <c r="N47" t="n">
        <v>883</v>
      </c>
      <c r="O47" t="n">
        <v>654</v>
      </c>
      <c r="P47" t="n">
        <v>1326</v>
      </c>
      <c r="Q47" t="n">
        <v>694</v>
      </c>
      <c r="R47" t="n">
        <v>1216</v>
      </c>
      <c r="S47" t="n">
        <v>950</v>
      </c>
      <c r="T47" t="n">
        <v>988</v>
      </c>
      <c r="U47" t="n">
        <v>1032</v>
      </c>
      <c r="V47" t="n">
        <v>1109</v>
      </c>
      <c r="W47" t="n">
        <v>1175</v>
      </c>
      <c r="X47" t="n">
        <v>576</v>
      </c>
      <c r="Y47" t="n">
        <v>422</v>
      </c>
      <c r="Z47" t="n">
        <v>285</v>
      </c>
      <c r="AA47" t="n">
        <v>359</v>
      </c>
      <c r="AB47" t="n">
        <v>542</v>
      </c>
      <c r="AC47" t="n">
        <v>491</v>
      </c>
      <c r="AD47" t="n">
        <v>669</v>
      </c>
      <c r="AE47" t="n">
        <v>726</v>
      </c>
      <c r="AF47" t="n">
        <v>960.5</v>
      </c>
    </row>
    <row r="48">
      <c r="A48" t="s">
        <v>9</v>
      </c>
      <c r="B48" t="s">
        <v>366</v>
      </c>
      <c r="C48" t="s">
        <v>246</v>
      </c>
      <c r="D48" t="s">
        <v>367</v>
      </c>
      <c r="E48" t="s">
        <v>247</v>
      </c>
      <c r="F48" t="n">
        <v>479.2</v>
      </c>
      <c r="G48" t="n">
        <v>656.8</v>
      </c>
      <c r="H48" t="n">
        <v>669.7</v>
      </c>
      <c r="I48" t="n">
        <v>879.9</v>
      </c>
      <c r="J48" t="n">
        <v>1063.1</v>
      </c>
      <c r="K48" t="n">
        <v>806.3</v>
      </c>
      <c r="L48" t="n">
        <v>916.5</v>
      </c>
      <c r="M48" t="n">
        <v>1013.3</v>
      </c>
      <c r="N48" t="n">
        <v>1203</v>
      </c>
      <c r="O48" t="n">
        <v>1010.6</v>
      </c>
      <c r="P48" t="n">
        <v>1706.4</v>
      </c>
      <c r="Q48" t="n">
        <v>1064.2</v>
      </c>
      <c r="R48" t="n">
        <v>1624.4</v>
      </c>
      <c r="S48" t="n">
        <v>1294.5</v>
      </c>
      <c r="T48" t="n">
        <v>1303.3</v>
      </c>
      <c r="U48" t="n">
        <v>1270.8</v>
      </c>
      <c r="V48" t="n">
        <v>1390.7</v>
      </c>
      <c r="W48" t="n">
        <v>1334.3</v>
      </c>
      <c r="X48" t="n">
        <v>755.5</v>
      </c>
      <c r="Y48" t="n">
        <v>609.9</v>
      </c>
      <c r="Z48" t="n">
        <v>492</v>
      </c>
      <c r="AA48" t="n">
        <v>609</v>
      </c>
      <c r="AB48" t="n">
        <v>890.9</v>
      </c>
      <c r="AC48" t="n">
        <v>819.8</v>
      </c>
      <c r="AD48" t="n">
        <v>1018.3</v>
      </c>
      <c r="AE48" t="n">
        <v>1123.3</v>
      </c>
      <c r="AF48" t="n">
        <v>1339.6</v>
      </c>
    </row>
    <row r="49">
      <c r="A49" t="s">
        <v>9</v>
      </c>
      <c r="B49" t="s">
        <v>368</v>
      </c>
      <c r="C49" t="s">
        <v>246</v>
      </c>
      <c r="D49" t="s">
        <v>369</v>
      </c>
      <c r="E49" t="s">
        <v>247</v>
      </c>
      <c r="F49" t="n">
        <v>35.4</v>
      </c>
      <c r="G49" t="n">
        <v>71</v>
      </c>
      <c r="H49" t="n">
        <v>60.2</v>
      </c>
      <c r="I49" t="n">
        <v>71</v>
      </c>
      <c r="J49" t="n">
        <v>97.8</v>
      </c>
      <c r="K49" t="n">
        <v>89.5</v>
      </c>
      <c r="L49" t="n">
        <v>96.7</v>
      </c>
      <c r="M49" t="n">
        <v>99.3</v>
      </c>
      <c r="N49" t="n">
        <v>86.5</v>
      </c>
      <c r="O49" t="n">
        <v>80.8</v>
      </c>
      <c r="P49" t="n">
        <v>111.7</v>
      </c>
      <c r="Q49" t="n">
        <v>116.6</v>
      </c>
      <c r="R49" t="n">
        <v>116.6</v>
      </c>
      <c r="S49" t="n">
        <v>135.1</v>
      </c>
      <c r="T49" t="n">
        <v>90.4</v>
      </c>
      <c r="U49" t="n">
        <v>49</v>
      </c>
      <c r="V49" t="n">
        <v>74.9</v>
      </c>
      <c r="W49" t="n">
        <v>54.2</v>
      </c>
      <c r="X49" t="n">
        <v>44.6</v>
      </c>
      <c r="Y49" t="n">
        <v>63.3</v>
      </c>
      <c r="Z49" t="n">
        <v>58.2</v>
      </c>
      <c r="AA49" t="n">
        <v>64.1</v>
      </c>
      <c r="AB49" t="n">
        <v>96.3</v>
      </c>
      <c r="AC49" t="n">
        <v>114.3</v>
      </c>
      <c r="AD49" t="n">
        <v>115.2</v>
      </c>
      <c r="AE49" t="n">
        <v>182.9</v>
      </c>
      <c r="AF49" t="n">
        <v>135.5</v>
      </c>
    </row>
    <row r="50">
      <c r="A50" t="s">
        <v>9</v>
      </c>
      <c r="B50" t="s">
        <v>370</v>
      </c>
      <c r="C50" t="s">
        <v>246</v>
      </c>
      <c r="D50" t="s">
        <v>371</v>
      </c>
      <c r="E50" t="s">
        <v>247</v>
      </c>
      <c r="F50" t="n">
        <v>52.9</v>
      </c>
      <c r="G50" t="n">
        <v>133.9</v>
      </c>
      <c r="H50" t="n">
        <v>125.5</v>
      </c>
      <c r="I50" t="n">
        <v>212.9</v>
      </c>
      <c r="J50" t="n">
        <v>225.3</v>
      </c>
      <c r="K50" t="n">
        <v>241.7</v>
      </c>
      <c r="L50" t="n">
        <v>221.8</v>
      </c>
      <c r="M50" t="n">
        <v>245</v>
      </c>
      <c r="N50" t="n">
        <v>233.4</v>
      </c>
      <c r="O50" t="n">
        <v>275.8</v>
      </c>
      <c r="P50" t="n">
        <v>268.8</v>
      </c>
      <c r="Q50" t="n">
        <v>253.7</v>
      </c>
      <c r="R50" t="n">
        <v>291.8</v>
      </c>
      <c r="S50" t="n">
        <v>209.5</v>
      </c>
      <c r="T50" t="n">
        <v>224.9</v>
      </c>
      <c r="U50" t="n">
        <v>189.9</v>
      </c>
      <c r="V50" t="n">
        <v>206.7</v>
      </c>
      <c r="W50" t="n">
        <v>105</v>
      </c>
      <c r="X50" t="n">
        <v>135</v>
      </c>
      <c r="Y50" t="n">
        <v>124.6</v>
      </c>
      <c r="Z50" t="n">
        <v>148.7</v>
      </c>
      <c r="AA50" t="n">
        <v>185.9</v>
      </c>
      <c r="AB50" t="n">
        <v>252.6</v>
      </c>
      <c r="AC50" t="n">
        <v>214.5</v>
      </c>
      <c r="AD50" t="n">
        <v>234.2</v>
      </c>
      <c r="AE50" t="n">
        <v>214.3</v>
      </c>
      <c r="AF50" t="n">
        <v>243.5</v>
      </c>
    </row>
    <row r="51">
      <c r="A51" t="s">
        <v>9</v>
      </c>
      <c r="B51" t="s">
        <v>372</v>
      </c>
      <c r="C51" t="s">
        <v>246</v>
      </c>
      <c r="D51" t="s">
        <v>373</v>
      </c>
      <c r="E51" t="s">
        <v>247</v>
      </c>
      <c r="F51" t="n">
        <v>36.8</v>
      </c>
      <c r="G51" t="n">
        <v>90</v>
      </c>
      <c r="H51" t="n">
        <v>85.2</v>
      </c>
      <c r="I51" t="n">
        <v>143.8</v>
      </c>
      <c r="J51" t="n">
        <v>150.9</v>
      </c>
      <c r="K51" t="n">
        <v>149.1</v>
      </c>
      <c r="L51" t="n">
        <v>145.7</v>
      </c>
      <c r="M51" t="n">
        <v>176.1</v>
      </c>
      <c r="N51" t="n">
        <v>165.5</v>
      </c>
      <c r="O51" t="n">
        <v>183.1</v>
      </c>
      <c r="P51" t="n">
        <v>185.1</v>
      </c>
      <c r="Q51" t="n">
        <v>178.9</v>
      </c>
      <c r="R51" t="n">
        <v>193.7</v>
      </c>
      <c r="S51" t="n">
        <v>143</v>
      </c>
      <c r="T51" t="n">
        <v>153.2</v>
      </c>
      <c r="U51" t="n">
        <v>134</v>
      </c>
      <c r="V51" t="n">
        <v>137.6</v>
      </c>
      <c r="W51" t="n">
        <v>45.7</v>
      </c>
      <c r="X51" t="n">
        <v>84.6</v>
      </c>
      <c r="Y51" t="n">
        <v>78.9</v>
      </c>
      <c r="Z51" t="n">
        <v>95.5</v>
      </c>
      <c r="AA51" t="n">
        <v>119</v>
      </c>
      <c r="AB51" t="n">
        <v>127.5</v>
      </c>
      <c r="AC51" t="n">
        <v>132.5</v>
      </c>
      <c r="AD51" t="n">
        <v>149.8</v>
      </c>
      <c r="AE51" t="n">
        <v>134</v>
      </c>
      <c r="AF51" t="n">
        <v>167.7</v>
      </c>
    </row>
    <row r="52">
      <c r="A52" t="s">
        <v>9</v>
      </c>
      <c r="B52" t="s">
        <v>374</v>
      </c>
      <c r="C52" t="s">
        <v>246</v>
      </c>
      <c r="D52" t="s">
        <v>375</v>
      </c>
      <c r="E52" t="s">
        <v>247</v>
      </c>
      <c r="F52" t="n">
        <v>16.1</v>
      </c>
      <c r="G52" t="n">
        <v>43.9</v>
      </c>
      <c r="H52" t="n">
        <v>40.3</v>
      </c>
      <c r="I52" t="n">
        <v>69.1</v>
      </c>
      <c r="J52" t="n">
        <v>74.4</v>
      </c>
      <c r="K52" t="n">
        <v>92.6</v>
      </c>
      <c r="L52" t="n">
        <v>76.1</v>
      </c>
      <c r="M52" t="n">
        <v>68.9</v>
      </c>
      <c r="N52" t="n">
        <v>67.9</v>
      </c>
      <c r="O52" t="n">
        <v>92.7</v>
      </c>
      <c r="P52" t="n">
        <v>83.7</v>
      </c>
      <c r="Q52" t="n">
        <v>74.8</v>
      </c>
      <c r="R52" t="n">
        <v>98.1</v>
      </c>
      <c r="S52" t="n">
        <v>66.5</v>
      </c>
      <c r="T52" t="n">
        <v>71.7</v>
      </c>
      <c r="U52" t="n">
        <v>55.9</v>
      </c>
      <c r="V52" t="n">
        <v>69.1</v>
      </c>
      <c r="W52" t="n">
        <v>59.3</v>
      </c>
      <c r="X52" t="n">
        <v>50.4</v>
      </c>
      <c r="Y52" t="n">
        <v>45.7</v>
      </c>
      <c r="Z52" t="n">
        <v>53.2</v>
      </c>
      <c r="AA52" t="n">
        <v>66.9</v>
      </c>
      <c r="AB52" t="n">
        <v>125.1</v>
      </c>
      <c r="AC52" t="n">
        <v>82</v>
      </c>
      <c r="AD52" t="n">
        <v>84.4</v>
      </c>
      <c r="AE52" t="n">
        <v>80.3</v>
      </c>
      <c r="AF52" t="n">
        <v>75.8</v>
      </c>
    </row>
    <row r="53">
      <c r="A53" t="s">
        <v>9</v>
      </c>
      <c r="B53" t="s">
        <v>376</v>
      </c>
      <c r="C53" t="s">
        <v>246</v>
      </c>
      <c r="D53" t="s">
        <v>377</v>
      </c>
      <c r="E53" t="s">
        <v>247</v>
      </c>
      <c r="F53" t="n">
        <v>55</v>
      </c>
      <c r="G53" t="n">
        <v>69.5</v>
      </c>
      <c r="H53" t="n">
        <v>85.7</v>
      </c>
      <c r="I53" t="n">
        <v>115.6</v>
      </c>
      <c r="J53" t="n">
        <v>103.2</v>
      </c>
      <c r="K53" t="n">
        <v>130.1</v>
      </c>
      <c r="L53" t="n">
        <v>143.9</v>
      </c>
      <c r="M53" t="n">
        <v>108.2</v>
      </c>
      <c r="N53" t="n">
        <v>117.5</v>
      </c>
      <c r="O53" t="n">
        <v>131.1</v>
      </c>
      <c r="P53" t="n">
        <v>112.8</v>
      </c>
      <c r="Q53" t="n">
        <v>114.7</v>
      </c>
      <c r="R53" t="n">
        <v>129.3</v>
      </c>
      <c r="S53" t="n">
        <v>105.7</v>
      </c>
      <c r="T53" t="n">
        <v>98.7</v>
      </c>
      <c r="U53" t="n">
        <v>83.7</v>
      </c>
      <c r="V53" t="n">
        <v>96.5</v>
      </c>
      <c r="W53" t="n">
        <v>55.8</v>
      </c>
      <c r="X53" t="n">
        <v>45.9</v>
      </c>
      <c r="Y53" t="n">
        <v>52.1</v>
      </c>
      <c r="Z53" t="n">
        <v>69.1</v>
      </c>
      <c r="AA53" t="n">
        <v>88.1</v>
      </c>
      <c r="AB53" t="n">
        <v>94.1</v>
      </c>
      <c r="AC53" t="n">
        <v>99</v>
      </c>
      <c r="AD53" t="n">
        <v>92.1</v>
      </c>
      <c r="AE53" t="n">
        <v>76.1</v>
      </c>
      <c r="AF53" t="n">
        <v>77.8</v>
      </c>
    </row>
    <row r="54">
      <c r="A54" t="s">
        <v>9</v>
      </c>
      <c r="B54" t="s">
        <v>378</v>
      </c>
      <c r="C54" t="s">
        <v>246</v>
      </c>
      <c r="D54" t="s">
        <v>379</v>
      </c>
      <c r="E54" t="s">
        <v>247</v>
      </c>
      <c r="F54" t="n">
        <v>127</v>
      </c>
      <c r="G54" t="n">
        <v>155.2</v>
      </c>
      <c r="H54" t="n">
        <v>193</v>
      </c>
      <c r="I54" t="n">
        <v>261</v>
      </c>
      <c r="J54" t="n">
        <v>232.7</v>
      </c>
      <c r="K54" t="n">
        <v>259</v>
      </c>
      <c r="L54" t="n">
        <v>311.9</v>
      </c>
      <c r="M54" t="n">
        <v>293.5</v>
      </c>
      <c r="N54" t="n">
        <v>277.8</v>
      </c>
      <c r="O54" t="n">
        <v>319.6</v>
      </c>
      <c r="P54" t="n">
        <v>275.9</v>
      </c>
      <c r="Q54" t="n">
        <v>313.2</v>
      </c>
      <c r="R54" t="n">
        <v>297.6</v>
      </c>
      <c r="S54" t="n">
        <v>276.5</v>
      </c>
      <c r="T54" t="n">
        <v>209.4</v>
      </c>
      <c r="U54" t="n">
        <v>200.9</v>
      </c>
      <c r="V54" t="n">
        <v>236.9</v>
      </c>
      <c r="W54" t="n">
        <v>129</v>
      </c>
      <c r="X54" t="n">
        <v>133.1</v>
      </c>
      <c r="Y54" t="n">
        <v>147.9</v>
      </c>
      <c r="Z54" t="n">
        <v>177</v>
      </c>
      <c r="AA54" t="n">
        <v>236</v>
      </c>
      <c r="AB54" t="n">
        <v>258.4</v>
      </c>
      <c r="AC54" t="n">
        <v>240.3</v>
      </c>
      <c r="AD54" t="n">
        <v>236.4</v>
      </c>
      <c r="AE54" t="n">
        <v>194.2</v>
      </c>
      <c r="AF54" t="n">
        <v>213</v>
      </c>
    </row>
    <row r="55">
      <c r="A55" t="s">
        <v>9</v>
      </c>
      <c r="B55" t="s">
        <v>380</v>
      </c>
      <c r="C55" t="s">
        <v>246</v>
      </c>
      <c r="D55" t="s">
        <v>381</v>
      </c>
      <c r="E55" t="s">
        <v>247</v>
      </c>
      <c r="F55" t="n">
        <v>72</v>
      </c>
      <c r="G55" t="n">
        <v>85.7</v>
      </c>
      <c r="H55" t="n">
        <v>107.3</v>
      </c>
      <c r="I55" t="n">
        <v>145.4</v>
      </c>
      <c r="J55" t="n">
        <v>129.5</v>
      </c>
      <c r="K55" t="n">
        <v>128.9</v>
      </c>
      <c r="L55" t="n">
        <v>168</v>
      </c>
      <c r="M55" t="n">
        <v>185.3</v>
      </c>
      <c r="N55" t="n">
        <v>160.3</v>
      </c>
      <c r="O55" t="n">
        <v>188.5</v>
      </c>
      <c r="P55" t="n">
        <v>163.1</v>
      </c>
      <c r="Q55" t="n">
        <v>198.5</v>
      </c>
      <c r="R55" t="n">
        <v>168.3</v>
      </c>
      <c r="S55" t="n">
        <v>170.8</v>
      </c>
      <c r="T55" t="n">
        <v>110.7</v>
      </c>
      <c r="U55" t="n">
        <v>117.2</v>
      </c>
      <c r="V55" t="n">
        <v>140.4</v>
      </c>
      <c r="W55" t="n">
        <v>73.2</v>
      </c>
      <c r="X55" t="n">
        <v>87.2</v>
      </c>
      <c r="Y55" t="n">
        <v>95.8</v>
      </c>
      <c r="Z55" t="n">
        <v>107.9</v>
      </c>
      <c r="AA55" t="n">
        <v>147.9</v>
      </c>
      <c r="AB55" t="n">
        <v>164.3</v>
      </c>
      <c r="AC55" t="n">
        <v>141.3</v>
      </c>
      <c r="AD55" t="n">
        <v>144.3</v>
      </c>
      <c r="AE55" t="n">
        <v>118.1</v>
      </c>
      <c r="AF55" t="n">
        <v>135.2</v>
      </c>
    </row>
    <row r="56">
      <c r="A56" t="s">
        <v>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</v>
      </c>
      <c r="B57" t="s">
        <v>384</v>
      </c>
      <c r="C57" t="s">
        <v>246</v>
      </c>
      <c r="D57" t="s">
        <v>385</v>
      </c>
      <c r="E57" t="s">
        <v>247</v>
      </c>
      <c r="F57" t="n">
        <v>12167.4</v>
      </c>
      <c r="G57" t="n">
        <v>12755.8</v>
      </c>
      <c r="H57" t="n">
        <v>13240.3</v>
      </c>
      <c r="I57" t="n">
        <v>15894</v>
      </c>
      <c r="J57" t="n">
        <v>18110.2</v>
      </c>
      <c r="K57" t="n">
        <v>19898.7</v>
      </c>
      <c r="L57" t="n">
        <v>20463.1</v>
      </c>
      <c r="M57" t="n">
        <v>21548.2</v>
      </c>
      <c r="N57" t="n">
        <v>20194.8</v>
      </c>
      <c r="O57" t="n">
        <v>21503.9</v>
      </c>
      <c r="P57" t="n">
        <v>21662.8</v>
      </c>
      <c r="Q57" t="n">
        <v>22639.4</v>
      </c>
      <c r="R57" t="n">
        <v>23185.5</v>
      </c>
      <c r="S57" t="n">
        <v>24039.6</v>
      </c>
      <c r="T57" t="n">
        <v>19075</v>
      </c>
      <c r="U57" t="n">
        <v>18284.8</v>
      </c>
      <c r="V57" t="n">
        <v>19385.1</v>
      </c>
      <c r="W57" t="n">
        <v>14779.4</v>
      </c>
      <c r="X57" t="n">
        <v>11837.8</v>
      </c>
      <c r="Y57" t="n">
        <v>12857.1</v>
      </c>
      <c r="Z57" t="n">
        <v>16113.7</v>
      </c>
      <c r="AA57" t="n">
        <v>18811.2</v>
      </c>
      <c r="AB57" t="n">
        <v>21778.4</v>
      </c>
      <c r="AC57" t="n">
        <v>21682.7</v>
      </c>
      <c r="AD57" t="n">
        <v>23373.6</v>
      </c>
      <c r="AE57" t="n">
        <v>18102.5</v>
      </c>
      <c r="AF57" t="n">
        <v>23840.6</v>
      </c>
    </row>
    <row r="58">
      <c r="A58" t="s">
        <v>9</v>
      </c>
      <c r="B58" t="s">
        <v>386</v>
      </c>
      <c r="C58" t="s">
        <v>246</v>
      </c>
      <c r="D58" t="s">
        <v>387</v>
      </c>
      <c r="E58" t="s">
        <v>247</v>
      </c>
      <c r="F58" t="n">
        <v>12167.4</v>
      </c>
      <c r="G58" t="n">
        <v>12755.8</v>
      </c>
      <c r="H58" t="n">
        <v>13240.3</v>
      </c>
      <c r="I58" t="n">
        <v>15894</v>
      </c>
      <c r="J58" t="n">
        <v>18110.2</v>
      </c>
      <c r="K58" t="n">
        <v>19898.7</v>
      </c>
      <c r="L58" t="n">
        <v>20463.1</v>
      </c>
      <c r="M58" t="n">
        <v>21548.2</v>
      </c>
      <c r="N58" t="n">
        <v>20194.8</v>
      </c>
      <c r="O58" t="n">
        <v>21503.9</v>
      </c>
      <c r="P58" t="n">
        <v>21662.8</v>
      </c>
      <c r="Q58" t="n">
        <v>22639.4</v>
      </c>
      <c r="R58" t="n">
        <v>23185.5</v>
      </c>
      <c r="S58" t="n">
        <v>24039.6</v>
      </c>
      <c r="T58" t="n">
        <v>19075</v>
      </c>
      <c r="U58" t="n">
        <v>18284.8</v>
      </c>
      <c r="V58" t="n">
        <v>19385.1</v>
      </c>
      <c r="W58" t="n">
        <v>14779.4</v>
      </c>
      <c r="X58" t="n">
        <v>11837.8</v>
      </c>
      <c r="Y58" t="n">
        <v>12857.1</v>
      </c>
      <c r="Z58" t="n">
        <v>16113.7</v>
      </c>
      <c r="AA58" t="n">
        <v>18811.2</v>
      </c>
      <c r="AB58" t="n">
        <v>21778.4</v>
      </c>
      <c r="AC58" t="n">
        <v>21682.7</v>
      </c>
      <c r="AD58" t="n">
        <v>23373.6</v>
      </c>
      <c r="AE58" t="n">
        <v>18102.5</v>
      </c>
      <c r="AF58" t="n">
        <v>23840.6</v>
      </c>
    </row>
    <row r="59">
      <c r="A59" t="s">
        <v>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</v>
      </c>
      <c r="B2" t="s">
        <v>197</v>
      </c>
      <c r="C2" t="s">
        <v>246</v>
      </c>
      <c r="D2" t="s">
        <v>199</v>
      </c>
      <c r="E2" t="s">
        <v>247</v>
      </c>
      <c r="F2" t="n">
        <v>2964.2</v>
      </c>
      <c r="G2" t="n">
        <v>3045.2</v>
      </c>
      <c r="H2" t="n">
        <v>3257.9</v>
      </c>
      <c r="I2" t="n">
        <v>3564.8</v>
      </c>
      <c r="J2" t="n">
        <v>3669.4</v>
      </c>
      <c r="K2" t="n">
        <v>4319.1</v>
      </c>
      <c r="L2" t="n">
        <v>4036.4</v>
      </c>
      <c r="M2" t="n">
        <v>3990.5</v>
      </c>
      <c r="N2" t="n">
        <v>3959.1</v>
      </c>
      <c r="O2" t="n">
        <v>4608</v>
      </c>
      <c r="P2" t="n">
        <v>4605.5</v>
      </c>
      <c r="Q2" t="n">
        <v>5065.9</v>
      </c>
      <c r="R2" t="n">
        <v>4975.8</v>
      </c>
      <c r="S2" t="n">
        <v>4505.1</v>
      </c>
      <c r="T2" t="n">
        <v>3953.1</v>
      </c>
      <c r="U2" t="n">
        <v>4656.9</v>
      </c>
      <c r="V2" t="n">
        <v>4598.5</v>
      </c>
      <c r="W2" t="n">
        <v>4464.6</v>
      </c>
      <c r="X2" t="n">
        <v>4056.1</v>
      </c>
      <c r="Y2" t="n">
        <v>4589.6</v>
      </c>
      <c r="Z2" t="n">
        <v>4569.1</v>
      </c>
      <c r="AA2" t="n">
        <v>4802.7</v>
      </c>
      <c r="AB2" t="n">
        <v>5448.8</v>
      </c>
      <c r="AC2" t="n">
        <v>6196.9</v>
      </c>
      <c r="AD2" t="n">
        <v>6293</v>
      </c>
      <c r="AE2" t="n">
        <v>5437.3</v>
      </c>
      <c r="AF2" t="n">
        <v>6992.2</v>
      </c>
    </row>
    <row r="3">
      <c r="A3" t="s">
        <v>11</v>
      </c>
      <c r="B3" t="s">
        <v>276</v>
      </c>
      <c r="C3" t="s">
        <v>246</v>
      </c>
      <c r="D3" t="s">
        <v>277</v>
      </c>
      <c r="E3" t="s">
        <v>247</v>
      </c>
      <c r="F3" t="n">
        <v>276.5</v>
      </c>
      <c r="G3" t="n">
        <v>337.6</v>
      </c>
      <c r="H3" t="n">
        <v>386.8</v>
      </c>
      <c r="I3" t="n">
        <v>328.9</v>
      </c>
      <c r="J3" t="n">
        <v>375.9</v>
      </c>
      <c r="K3" t="n">
        <v>444.8</v>
      </c>
      <c r="L3" t="n">
        <v>371.8</v>
      </c>
      <c r="M3" t="n">
        <v>460.7</v>
      </c>
      <c r="N3" t="n">
        <v>327.1</v>
      </c>
      <c r="O3" t="n">
        <v>393.9</v>
      </c>
      <c r="P3" t="n">
        <v>534.9</v>
      </c>
      <c r="Q3" t="n">
        <v>445.9</v>
      </c>
      <c r="R3" t="n">
        <v>587.9</v>
      </c>
      <c r="S3" t="n">
        <v>425.9</v>
      </c>
      <c r="T3" t="n">
        <v>289.3</v>
      </c>
      <c r="U3" t="n">
        <v>478.7</v>
      </c>
      <c r="V3" t="n">
        <v>464.8</v>
      </c>
      <c r="W3" t="n">
        <v>320.2</v>
      </c>
      <c r="X3" t="n">
        <v>365.7</v>
      </c>
      <c r="Y3" t="n">
        <v>326.6</v>
      </c>
      <c r="Z3" t="n">
        <v>448.5</v>
      </c>
      <c r="AA3" t="n">
        <v>448.2</v>
      </c>
      <c r="AB3" t="n">
        <v>299.2</v>
      </c>
      <c r="AC3" t="n">
        <v>571.3</v>
      </c>
      <c r="AD3" t="n">
        <v>430.8</v>
      </c>
      <c r="AE3" t="n">
        <v>315.5</v>
      </c>
      <c r="AF3" t="n">
        <v>426.6</v>
      </c>
    </row>
    <row r="4">
      <c r="A4" t="s">
        <v>11</v>
      </c>
      <c r="B4" t="s">
        <v>278</v>
      </c>
      <c r="C4" t="s">
        <v>246</v>
      </c>
      <c r="D4" t="s">
        <v>279</v>
      </c>
      <c r="E4" t="s">
        <v>247</v>
      </c>
      <c r="F4" t="n">
        <v>22335.7</v>
      </c>
      <c r="G4" t="n">
        <v>21157.7</v>
      </c>
      <c r="H4" t="n">
        <v>21292.9</v>
      </c>
      <c r="I4" t="n">
        <v>24127.3</v>
      </c>
      <c r="J4" t="n">
        <v>25920</v>
      </c>
      <c r="K4" t="n">
        <v>29051.5</v>
      </c>
      <c r="L4" t="n">
        <v>29713.6</v>
      </c>
      <c r="M4" t="n">
        <v>31199.1</v>
      </c>
      <c r="N4" t="n">
        <v>30114.9</v>
      </c>
      <c r="O4" t="n">
        <v>30783.2</v>
      </c>
      <c r="P4" t="n">
        <v>30734.7</v>
      </c>
      <c r="Q4" t="n">
        <v>34509.8</v>
      </c>
      <c r="R4" t="n">
        <v>35556.6</v>
      </c>
      <c r="S4" t="n">
        <v>35322.4</v>
      </c>
      <c r="T4" t="n">
        <v>28653.8</v>
      </c>
      <c r="U4" t="n">
        <v>32259.8</v>
      </c>
      <c r="V4" t="n">
        <v>32206.3</v>
      </c>
      <c r="W4" t="n">
        <v>31831.8</v>
      </c>
      <c r="X4" t="n">
        <v>29939.6</v>
      </c>
      <c r="Y4" t="n">
        <v>32545.2</v>
      </c>
      <c r="Z4" t="n">
        <v>34696.4</v>
      </c>
      <c r="AA4" t="n">
        <v>36201.6</v>
      </c>
      <c r="AB4" t="n">
        <v>38491.6</v>
      </c>
      <c r="AC4" t="n">
        <v>42696.4</v>
      </c>
      <c r="AD4" t="n">
        <v>40670.2</v>
      </c>
      <c r="AE4" t="n">
        <v>35590.9</v>
      </c>
      <c r="AF4" t="n">
        <v>43430.7</v>
      </c>
    </row>
    <row r="5">
      <c r="A5" t="s">
        <v>11</v>
      </c>
      <c r="B5" t="s">
        <v>280</v>
      </c>
      <c r="C5" t="s">
        <v>246</v>
      </c>
      <c r="D5" t="s">
        <v>281</v>
      </c>
      <c r="E5" t="s">
        <v>247</v>
      </c>
      <c r="F5" t="n">
        <v>3671.7</v>
      </c>
      <c r="G5" t="n">
        <v>3356.6</v>
      </c>
      <c r="H5" t="n">
        <v>3659.2</v>
      </c>
      <c r="I5" t="n">
        <v>3144.7</v>
      </c>
      <c r="J5" t="n">
        <v>4641.2</v>
      </c>
      <c r="K5" t="n">
        <v>4602.9</v>
      </c>
      <c r="L5" t="n">
        <v>4552.6</v>
      </c>
      <c r="M5" t="n">
        <v>4801.4</v>
      </c>
      <c r="N5" t="n">
        <v>4181.1</v>
      </c>
      <c r="O5" t="n">
        <v>5309.4</v>
      </c>
      <c r="P5" t="n">
        <v>4519.4</v>
      </c>
      <c r="Q5" t="n">
        <v>5695.7</v>
      </c>
      <c r="R5" t="n">
        <v>5362.6</v>
      </c>
      <c r="S5" t="n">
        <v>5383.6</v>
      </c>
      <c r="T5" t="n">
        <v>4025</v>
      </c>
      <c r="U5" t="n">
        <v>5087.1</v>
      </c>
      <c r="V5" t="n">
        <v>5045.2</v>
      </c>
      <c r="W5" t="n">
        <v>5088.9</v>
      </c>
      <c r="X5" t="n">
        <v>4674.3</v>
      </c>
      <c r="Y5" t="n">
        <v>4994.7</v>
      </c>
      <c r="Z5" t="n">
        <v>4827.7</v>
      </c>
      <c r="AA5" t="n">
        <v>5229.3</v>
      </c>
      <c r="AB5" t="n">
        <v>5735.5</v>
      </c>
      <c r="AC5" t="n">
        <v>7411</v>
      </c>
      <c r="AD5" t="n">
        <v>6200.7</v>
      </c>
      <c r="AE5" t="n">
        <v>4918.1</v>
      </c>
      <c r="AF5" t="n">
        <v>6508.4</v>
      </c>
    </row>
    <row r="6">
      <c r="A6" t="s">
        <v>11</v>
      </c>
      <c r="B6" t="s">
        <v>282</v>
      </c>
      <c r="C6" t="s">
        <v>246</v>
      </c>
      <c r="D6" t="s">
        <v>283</v>
      </c>
      <c r="E6" t="s">
        <v>247</v>
      </c>
      <c r="F6" t="n">
        <v>1601.6</v>
      </c>
      <c r="G6" t="n">
        <v>1455.5</v>
      </c>
      <c r="H6" t="n">
        <v>1283.7</v>
      </c>
      <c r="I6" t="n">
        <v>1933.7</v>
      </c>
      <c r="J6" t="n">
        <v>1536.2</v>
      </c>
      <c r="K6" t="n">
        <v>1798</v>
      </c>
      <c r="L6" t="n">
        <v>1847.6</v>
      </c>
      <c r="M6" t="n">
        <v>2194.1</v>
      </c>
      <c r="N6" t="n">
        <v>2247.1</v>
      </c>
      <c r="O6" t="n">
        <v>2114.2</v>
      </c>
      <c r="P6" t="n">
        <v>2134</v>
      </c>
      <c r="Q6" t="n">
        <v>2107.9</v>
      </c>
      <c r="R6" t="n">
        <v>2243.2</v>
      </c>
      <c r="S6" t="n">
        <v>2506</v>
      </c>
      <c r="T6" t="n">
        <v>1882.5</v>
      </c>
      <c r="U6" t="n">
        <v>2150.2</v>
      </c>
      <c r="V6" t="n">
        <v>2084.3</v>
      </c>
      <c r="W6" t="n">
        <v>2025.1</v>
      </c>
      <c r="X6" t="n">
        <v>1954.8</v>
      </c>
      <c r="Y6" t="n">
        <v>2181</v>
      </c>
      <c r="Z6" t="n">
        <v>2025.1</v>
      </c>
      <c r="AA6" t="n">
        <v>2169.7</v>
      </c>
      <c r="AB6" t="n">
        <v>2693.3</v>
      </c>
      <c r="AC6" t="n">
        <v>2935.2</v>
      </c>
      <c r="AD6" t="n">
        <v>2428.6</v>
      </c>
      <c r="AE6" t="n">
        <v>1861.3</v>
      </c>
      <c r="AF6" t="n">
        <v>2241.7</v>
      </c>
    </row>
    <row r="7">
      <c r="A7" t="s">
        <v>11</v>
      </c>
      <c r="B7" t="s">
        <v>284</v>
      </c>
      <c r="C7" t="s">
        <v>246</v>
      </c>
      <c r="D7" t="s">
        <v>285</v>
      </c>
      <c r="E7" t="s">
        <v>247</v>
      </c>
      <c r="F7" t="n">
        <v>3135.7</v>
      </c>
      <c r="G7" t="n">
        <v>1607.2</v>
      </c>
      <c r="H7" t="n">
        <v>1319.7</v>
      </c>
      <c r="I7" t="n">
        <v>1935.9</v>
      </c>
      <c r="J7" t="n">
        <v>1913.7</v>
      </c>
      <c r="K7" t="n">
        <v>2152.4</v>
      </c>
      <c r="L7" t="n">
        <v>2349.5</v>
      </c>
      <c r="M7" t="n">
        <v>2251.5</v>
      </c>
      <c r="N7" t="n">
        <v>2249.5</v>
      </c>
      <c r="O7" t="n">
        <v>2319</v>
      </c>
      <c r="P7" t="n">
        <v>2469</v>
      </c>
      <c r="Q7" t="n">
        <v>2634.8</v>
      </c>
      <c r="R7" t="n">
        <v>2674.8</v>
      </c>
      <c r="S7" t="n">
        <v>2542.5</v>
      </c>
      <c r="T7" t="n">
        <v>1983.1</v>
      </c>
      <c r="U7" t="n">
        <v>2401.3</v>
      </c>
      <c r="V7" t="n">
        <v>2410.8</v>
      </c>
      <c r="W7" t="n">
        <v>2456.2</v>
      </c>
      <c r="X7" t="n">
        <v>1999.8</v>
      </c>
      <c r="Y7" t="n">
        <v>2190.9</v>
      </c>
      <c r="Z7" t="n">
        <v>2634.4</v>
      </c>
      <c r="AA7" t="n">
        <v>2601.6</v>
      </c>
      <c r="AB7" t="n">
        <v>2848.8</v>
      </c>
      <c r="AC7" t="n">
        <v>3437.1</v>
      </c>
      <c r="AD7" t="n">
        <v>2896.4</v>
      </c>
      <c r="AE7" t="n">
        <v>2381.9</v>
      </c>
      <c r="AF7" t="n">
        <v>2906.7</v>
      </c>
    </row>
    <row r="8">
      <c r="A8" t="s">
        <v>11</v>
      </c>
      <c r="B8" t="s">
        <v>286</v>
      </c>
      <c r="C8" t="s">
        <v>246</v>
      </c>
      <c r="D8" t="s">
        <v>287</v>
      </c>
      <c r="E8" t="s">
        <v>247</v>
      </c>
      <c r="F8" t="n">
        <v>550.8</v>
      </c>
      <c r="G8" t="n">
        <v>802.9</v>
      </c>
      <c r="H8" t="n">
        <v>518.9</v>
      </c>
      <c r="I8" t="n">
        <v>1092.8</v>
      </c>
      <c r="J8" t="n">
        <v>620.5</v>
      </c>
      <c r="K8" t="n">
        <v>1063.6</v>
      </c>
      <c r="L8" t="n">
        <v>1232.3</v>
      </c>
      <c r="M8" t="n">
        <v>981.2</v>
      </c>
      <c r="N8" t="n">
        <v>879.1</v>
      </c>
      <c r="O8" t="n">
        <v>687.7</v>
      </c>
      <c r="P8" t="n">
        <v>802.7</v>
      </c>
      <c r="Q8" t="n">
        <v>919.3</v>
      </c>
      <c r="R8" t="n">
        <v>1155.6</v>
      </c>
      <c r="S8" t="n">
        <v>1030.9</v>
      </c>
      <c r="T8" t="n">
        <v>1216.8</v>
      </c>
      <c r="U8" t="n">
        <v>1023.7</v>
      </c>
      <c r="V8" t="n">
        <v>1030.6</v>
      </c>
      <c r="W8" t="n">
        <v>1161.9</v>
      </c>
      <c r="X8" t="n">
        <v>934.6</v>
      </c>
      <c r="Y8" t="n">
        <v>913.9</v>
      </c>
      <c r="Z8" t="n">
        <v>702.5</v>
      </c>
      <c r="AA8" t="n">
        <v>846</v>
      </c>
      <c r="AB8" t="n">
        <v>857.8</v>
      </c>
      <c r="AC8" t="n">
        <v>694.7</v>
      </c>
      <c r="AD8" t="n">
        <v>968.7</v>
      </c>
      <c r="AE8" t="n">
        <v>652.5</v>
      </c>
      <c r="AF8" t="n">
        <v>692.2</v>
      </c>
    </row>
    <row r="9">
      <c r="A9" t="s">
        <v>11</v>
      </c>
      <c r="B9" t="s">
        <v>288</v>
      </c>
      <c r="C9" t="s">
        <v>246</v>
      </c>
      <c r="D9" t="s">
        <v>289</v>
      </c>
      <c r="E9" t="s">
        <v>247</v>
      </c>
      <c r="F9" t="n">
        <v>745.1</v>
      </c>
      <c r="G9" t="n">
        <v>1062.9</v>
      </c>
      <c r="H9" t="n">
        <v>1571.1</v>
      </c>
      <c r="I9" t="n">
        <v>1759.8</v>
      </c>
      <c r="J9" t="n">
        <v>1905.6</v>
      </c>
      <c r="K9" t="n">
        <v>1952.2</v>
      </c>
      <c r="L9" t="n">
        <v>2030.3</v>
      </c>
      <c r="M9" t="n">
        <v>2011.3</v>
      </c>
      <c r="N9" t="n">
        <v>2446.4</v>
      </c>
      <c r="O9" t="n">
        <v>1978.2</v>
      </c>
      <c r="P9" t="n">
        <v>1977.1</v>
      </c>
      <c r="Q9" t="n">
        <v>2509.1</v>
      </c>
      <c r="R9" t="n">
        <v>2483.9</v>
      </c>
      <c r="S9" t="n">
        <v>2169.5</v>
      </c>
      <c r="T9" t="n">
        <v>2140.9</v>
      </c>
      <c r="U9" t="n">
        <v>2220.4</v>
      </c>
      <c r="V9" t="n">
        <v>2232.5</v>
      </c>
      <c r="W9" t="n">
        <v>1961.2</v>
      </c>
      <c r="X9" t="n">
        <v>2142.2</v>
      </c>
      <c r="Y9" t="n">
        <v>2486.4</v>
      </c>
      <c r="Z9" t="n">
        <v>2308.5</v>
      </c>
      <c r="AA9" t="n">
        <v>2472.7</v>
      </c>
      <c r="AB9" t="n">
        <v>1908.9</v>
      </c>
      <c r="AC9" t="n">
        <v>2212.4</v>
      </c>
      <c r="AD9" t="n">
        <v>2133.2</v>
      </c>
      <c r="AE9" t="n">
        <v>2120.2</v>
      </c>
      <c r="AF9" t="n">
        <v>2468.5</v>
      </c>
    </row>
    <row r="10">
      <c r="A10" t="s">
        <v>11</v>
      </c>
      <c r="B10" t="s">
        <v>290</v>
      </c>
      <c r="C10" t="s">
        <v>246</v>
      </c>
      <c r="D10" t="s">
        <v>291</v>
      </c>
      <c r="E10" t="s">
        <v>247</v>
      </c>
      <c r="F10" t="n">
        <v>1282.4</v>
      </c>
      <c r="G10" t="n">
        <v>1725.6</v>
      </c>
      <c r="H10" t="n">
        <v>2341.2</v>
      </c>
      <c r="I10" t="n">
        <v>2946.1</v>
      </c>
      <c r="J10" t="n">
        <v>2984.6</v>
      </c>
      <c r="K10" t="n">
        <v>2918.1</v>
      </c>
      <c r="L10" t="n">
        <v>2892.1</v>
      </c>
      <c r="M10" t="n">
        <v>3131</v>
      </c>
      <c r="N10" t="n">
        <v>3564.8</v>
      </c>
      <c r="O10" t="n">
        <v>2927.4</v>
      </c>
      <c r="P10" t="n">
        <v>3084.7</v>
      </c>
      <c r="Q10" t="n">
        <v>3652.7</v>
      </c>
      <c r="R10" t="n">
        <v>3577.4</v>
      </c>
      <c r="S10" t="n">
        <v>3067</v>
      </c>
      <c r="T10" t="n">
        <v>3173.9</v>
      </c>
      <c r="U10" t="n">
        <v>3297.5</v>
      </c>
      <c r="V10" t="n">
        <v>3320.3</v>
      </c>
      <c r="W10" t="n">
        <v>3065.3</v>
      </c>
      <c r="X10" t="n">
        <v>3311.2</v>
      </c>
      <c r="Y10" t="n">
        <v>3915.5</v>
      </c>
      <c r="Z10" t="n">
        <v>3740.9</v>
      </c>
      <c r="AA10" t="n">
        <v>4166.6</v>
      </c>
      <c r="AB10" t="n">
        <v>4111.6</v>
      </c>
      <c r="AC10" t="n">
        <v>4103.9</v>
      </c>
      <c r="AD10" t="n">
        <v>3810.3</v>
      </c>
      <c r="AE10" t="n">
        <v>4042.5</v>
      </c>
      <c r="AF10" t="n">
        <v>4479.1</v>
      </c>
    </row>
    <row r="11">
      <c r="A11" t="s">
        <v>11</v>
      </c>
      <c r="B11" t="s">
        <v>292</v>
      </c>
      <c r="C11" t="s">
        <v>246</v>
      </c>
      <c r="D11" t="s">
        <v>293</v>
      </c>
      <c r="E11" t="s">
        <v>247</v>
      </c>
      <c r="F11" t="n">
        <v>537.3</v>
      </c>
      <c r="G11" t="n">
        <v>662.7</v>
      </c>
      <c r="H11" t="n">
        <v>770.1</v>
      </c>
      <c r="I11" t="n">
        <v>1186.3</v>
      </c>
      <c r="J11" t="n">
        <v>1079</v>
      </c>
      <c r="K11" t="n">
        <v>965.9</v>
      </c>
      <c r="L11" t="n">
        <v>861.8</v>
      </c>
      <c r="M11" t="n">
        <v>1119.7</v>
      </c>
      <c r="N11" t="n">
        <v>1118.4</v>
      </c>
      <c r="O11" t="n">
        <v>949.2</v>
      </c>
      <c r="P11" t="n">
        <v>1107.6</v>
      </c>
      <c r="Q11" t="n">
        <v>1143.6</v>
      </c>
      <c r="R11" t="n">
        <v>1093.5</v>
      </c>
      <c r="S11" t="n">
        <v>897.5</v>
      </c>
      <c r="T11" t="n">
        <v>1033</v>
      </c>
      <c r="U11" t="n">
        <v>1077.1</v>
      </c>
      <c r="V11" t="n">
        <v>1087.8</v>
      </c>
      <c r="W11" t="n">
        <v>1104.1</v>
      </c>
      <c r="X11" t="n">
        <v>1169</v>
      </c>
      <c r="Y11" t="n">
        <v>1429.1</v>
      </c>
      <c r="Z11" t="n">
        <v>1432.4</v>
      </c>
      <c r="AA11" t="n">
        <v>1693.9</v>
      </c>
      <c r="AB11" t="n">
        <v>2202.7</v>
      </c>
      <c r="AC11" t="n">
        <v>1891.5</v>
      </c>
      <c r="AD11" t="n">
        <v>1677.1</v>
      </c>
      <c r="AE11" t="n">
        <v>1922.3</v>
      </c>
      <c r="AF11" t="n">
        <v>2010.6</v>
      </c>
    </row>
    <row r="12">
      <c r="A12" t="s">
        <v>11</v>
      </c>
      <c r="B12" t="s">
        <v>294</v>
      </c>
      <c r="C12" t="s">
        <v>246</v>
      </c>
      <c r="D12" t="s">
        <v>295</v>
      </c>
      <c r="E12" t="s">
        <v>247</v>
      </c>
      <c r="F12" t="n">
        <v>2258.6</v>
      </c>
      <c r="G12" t="n">
        <v>1652.3</v>
      </c>
      <c r="H12" t="n">
        <v>1746.1</v>
      </c>
      <c r="I12" t="n">
        <v>1622.5</v>
      </c>
      <c r="J12" t="n">
        <v>2368.9</v>
      </c>
      <c r="K12" t="n">
        <v>2690</v>
      </c>
      <c r="L12" t="n">
        <v>2604.6</v>
      </c>
      <c r="M12" t="n">
        <v>2649.6</v>
      </c>
      <c r="N12" t="n">
        <v>3185.4</v>
      </c>
      <c r="O12" t="n">
        <v>3221.3</v>
      </c>
      <c r="P12" t="n">
        <v>2797</v>
      </c>
      <c r="Q12" t="n">
        <v>3546.4</v>
      </c>
      <c r="R12" t="n">
        <v>3399.7</v>
      </c>
      <c r="S12" t="n">
        <v>3789.4</v>
      </c>
      <c r="T12" t="n">
        <v>2309.8</v>
      </c>
      <c r="U12" t="n">
        <v>3113.6</v>
      </c>
      <c r="V12" t="n">
        <v>3105.7</v>
      </c>
      <c r="W12" t="n">
        <v>3046.6</v>
      </c>
      <c r="X12" t="n">
        <v>2736.5</v>
      </c>
      <c r="Y12" t="n">
        <v>2922.9</v>
      </c>
      <c r="Z12" t="n">
        <v>3285.5</v>
      </c>
      <c r="AA12" t="n">
        <v>3463.3</v>
      </c>
      <c r="AB12" t="n">
        <v>4039.5</v>
      </c>
      <c r="AC12" t="n">
        <v>4261.6</v>
      </c>
      <c r="AD12" t="n">
        <v>4181.5</v>
      </c>
      <c r="AE12" t="n">
        <v>3522</v>
      </c>
      <c r="AF12" t="n">
        <v>4323.9</v>
      </c>
    </row>
    <row r="13">
      <c r="A13" t="s">
        <v>11</v>
      </c>
      <c r="B13" t="s">
        <v>296</v>
      </c>
      <c r="C13" t="s">
        <v>246</v>
      </c>
      <c r="D13" t="s">
        <v>297</v>
      </c>
      <c r="E13" t="s">
        <v>247</v>
      </c>
      <c r="F13" t="n">
        <v>3451.9</v>
      </c>
      <c r="G13" t="n">
        <v>3654.1</v>
      </c>
      <c r="H13" t="n">
        <v>3211.8</v>
      </c>
      <c r="I13" t="n">
        <v>3938.2</v>
      </c>
      <c r="J13" t="n">
        <v>3810.8</v>
      </c>
      <c r="K13" t="n">
        <v>4336.5</v>
      </c>
      <c r="L13" t="n">
        <v>4612.8</v>
      </c>
      <c r="M13" t="n">
        <v>5294.5</v>
      </c>
      <c r="N13" t="n">
        <v>4913.6</v>
      </c>
      <c r="O13" t="n">
        <v>4885.5</v>
      </c>
      <c r="P13" t="n">
        <v>4529.4</v>
      </c>
      <c r="Q13" t="n">
        <v>4628.3</v>
      </c>
      <c r="R13" t="n">
        <v>5800.8</v>
      </c>
      <c r="S13" t="n">
        <v>5550.7</v>
      </c>
      <c r="T13" t="n">
        <v>4578.6</v>
      </c>
      <c r="U13" t="n">
        <v>5074.6</v>
      </c>
      <c r="V13" t="n">
        <v>5042.9</v>
      </c>
      <c r="W13" t="n">
        <v>4974</v>
      </c>
      <c r="X13" t="n">
        <v>4043.4</v>
      </c>
      <c r="Y13" t="n">
        <v>4702.7</v>
      </c>
      <c r="Z13" t="n">
        <v>5280.1</v>
      </c>
      <c r="AA13" t="n">
        <v>4918</v>
      </c>
      <c r="AB13" t="n">
        <v>5170.5</v>
      </c>
      <c r="AC13" t="n">
        <v>5911.5</v>
      </c>
      <c r="AD13" t="n">
        <v>6785.3</v>
      </c>
      <c r="AE13" t="n">
        <v>5496.6</v>
      </c>
      <c r="AF13" t="n">
        <v>7171.3</v>
      </c>
    </row>
    <row r="14">
      <c r="A14" t="s">
        <v>11</v>
      </c>
      <c r="B14" t="s">
        <v>298</v>
      </c>
      <c r="C14" t="s">
        <v>246</v>
      </c>
      <c r="D14" t="s">
        <v>299</v>
      </c>
      <c r="E14" t="s">
        <v>247</v>
      </c>
      <c r="F14" t="n">
        <v>1558.7</v>
      </c>
      <c r="G14" t="n">
        <v>1078.9</v>
      </c>
      <c r="H14" t="n">
        <v>656.3</v>
      </c>
      <c r="I14" t="n">
        <v>1640.8</v>
      </c>
      <c r="J14" t="n">
        <v>1265.7</v>
      </c>
      <c r="K14" t="n">
        <v>1168.1</v>
      </c>
      <c r="L14" t="n">
        <v>1736.3</v>
      </c>
      <c r="M14" t="n">
        <v>979.2</v>
      </c>
      <c r="N14" t="n">
        <v>1152.5</v>
      </c>
      <c r="O14" t="n">
        <v>1316.9</v>
      </c>
      <c r="P14" t="n">
        <v>1440.1</v>
      </c>
      <c r="Q14" t="n">
        <v>1565.3</v>
      </c>
      <c r="R14" t="n">
        <v>1660.1</v>
      </c>
      <c r="S14" t="n">
        <v>1113.5</v>
      </c>
      <c r="T14" t="n">
        <v>1459.9</v>
      </c>
      <c r="U14" t="n">
        <v>1357.4</v>
      </c>
      <c r="V14" t="n">
        <v>1353.5</v>
      </c>
      <c r="W14" t="n">
        <v>1234.7</v>
      </c>
      <c r="X14" t="n">
        <v>816.3</v>
      </c>
      <c r="Y14" t="n">
        <v>886.1</v>
      </c>
      <c r="Z14" t="n">
        <v>806.3</v>
      </c>
      <c r="AA14" t="n">
        <v>944.1</v>
      </c>
      <c r="AB14" t="n">
        <v>1376.4</v>
      </c>
      <c r="AC14" t="n">
        <v>1521.1</v>
      </c>
      <c r="AD14" t="n">
        <v>1523.5</v>
      </c>
      <c r="AE14" t="n">
        <v>1548</v>
      </c>
      <c r="AF14" t="n">
        <v>1856.1</v>
      </c>
    </row>
    <row r="15">
      <c r="A15" t="s">
        <v>11</v>
      </c>
      <c r="B15" t="s">
        <v>300</v>
      </c>
      <c r="C15" t="s">
        <v>246</v>
      </c>
      <c r="D15" t="s">
        <v>301</v>
      </c>
      <c r="E15" t="s">
        <v>247</v>
      </c>
      <c r="F15" t="n">
        <v>1855.2</v>
      </c>
      <c r="G15" t="n">
        <v>2329.9</v>
      </c>
      <c r="H15" t="n">
        <v>1630.9</v>
      </c>
      <c r="I15" t="n">
        <v>2637.8</v>
      </c>
      <c r="J15" t="n">
        <v>2369.8</v>
      </c>
      <c r="K15" t="n">
        <v>2480.6</v>
      </c>
      <c r="L15" t="n">
        <v>3095</v>
      </c>
      <c r="M15" t="n">
        <v>2292.7</v>
      </c>
      <c r="N15" t="n">
        <v>2373.6</v>
      </c>
      <c r="O15" t="n">
        <v>2732.7</v>
      </c>
      <c r="P15" t="n">
        <v>2817.4</v>
      </c>
      <c r="Q15" t="n">
        <v>3049.7</v>
      </c>
      <c r="R15" t="n">
        <v>3341.4</v>
      </c>
      <c r="S15" t="n">
        <v>2629.7</v>
      </c>
      <c r="T15" t="n">
        <v>2569.3</v>
      </c>
      <c r="U15" t="n">
        <v>2757.7</v>
      </c>
      <c r="V15" t="n">
        <v>2768.2</v>
      </c>
      <c r="W15" t="n">
        <v>2306.1</v>
      </c>
      <c r="X15" t="n">
        <v>1720.3</v>
      </c>
      <c r="Y15" t="n">
        <v>1823.9</v>
      </c>
      <c r="Z15" t="n">
        <v>1807.6</v>
      </c>
      <c r="AA15" t="n">
        <v>2050.9</v>
      </c>
      <c r="AB15" t="n">
        <v>2725</v>
      </c>
      <c r="AC15" t="n">
        <v>2826.4</v>
      </c>
      <c r="AD15" t="n">
        <v>2786</v>
      </c>
      <c r="AE15" t="n">
        <v>2675.3</v>
      </c>
      <c r="AF15" t="n">
        <v>3261.1</v>
      </c>
    </row>
    <row r="16">
      <c r="A16" t="s">
        <v>11</v>
      </c>
      <c r="B16" t="s">
        <v>302</v>
      </c>
      <c r="C16" t="s">
        <v>246</v>
      </c>
      <c r="D16" t="s">
        <v>303</v>
      </c>
      <c r="E16" t="s">
        <v>247</v>
      </c>
      <c r="F16" t="n">
        <v>296.5</v>
      </c>
      <c r="G16" t="n">
        <v>1251</v>
      </c>
      <c r="H16" t="n">
        <v>974.6</v>
      </c>
      <c r="I16" t="n">
        <v>997</v>
      </c>
      <c r="J16" t="n">
        <v>1104.1</v>
      </c>
      <c r="K16" t="n">
        <v>1312.5</v>
      </c>
      <c r="L16" t="n">
        <v>1358.7</v>
      </c>
      <c r="M16" t="n">
        <v>1313.5</v>
      </c>
      <c r="N16" t="n">
        <v>1221.1</v>
      </c>
      <c r="O16" t="n">
        <v>1415.8</v>
      </c>
      <c r="P16" t="n">
        <v>1377.3</v>
      </c>
      <c r="Q16" t="n">
        <v>1484.4</v>
      </c>
      <c r="R16" t="n">
        <v>1681.3</v>
      </c>
      <c r="S16" t="n">
        <v>1516.2</v>
      </c>
      <c r="T16" t="n">
        <v>1109.4</v>
      </c>
      <c r="U16" t="n">
        <v>1400.3</v>
      </c>
      <c r="V16" t="n">
        <v>1414.7</v>
      </c>
      <c r="W16" t="n">
        <v>1071.4</v>
      </c>
      <c r="X16" t="n">
        <v>904</v>
      </c>
      <c r="Y16" t="n">
        <v>937.8</v>
      </c>
      <c r="Z16" t="n">
        <v>1001.3</v>
      </c>
      <c r="AA16" t="n">
        <v>1106.8</v>
      </c>
      <c r="AB16" t="n">
        <v>1348.6</v>
      </c>
      <c r="AC16" t="n">
        <v>1305.3</v>
      </c>
      <c r="AD16" t="n">
        <v>1262.5</v>
      </c>
      <c r="AE16" t="n">
        <v>1127.3</v>
      </c>
      <c r="AF16" t="n">
        <v>1405</v>
      </c>
    </row>
    <row r="17">
      <c r="A17" t="s">
        <v>11</v>
      </c>
      <c r="B17" t="s">
        <v>304</v>
      </c>
      <c r="C17" t="s">
        <v>246</v>
      </c>
      <c r="D17" t="s">
        <v>305</v>
      </c>
      <c r="E17" t="s">
        <v>247</v>
      </c>
      <c r="F17" t="n">
        <v>1211.2</v>
      </c>
      <c r="G17" t="n">
        <v>1360.6</v>
      </c>
      <c r="H17" t="n">
        <v>1742.2</v>
      </c>
      <c r="I17" t="n">
        <v>1474.8</v>
      </c>
      <c r="J17" t="n">
        <v>1933</v>
      </c>
      <c r="K17" t="n">
        <v>2322.4</v>
      </c>
      <c r="L17" t="n">
        <v>2064.8</v>
      </c>
      <c r="M17" t="n">
        <v>2412</v>
      </c>
      <c r="N17" t="n">
        <v>1963.1</v>
      </c>
      <c r="O17" t="n">
        <v>2161</v>
      </c>
      <c r="P17" t="n">
        <v>2376.7</v>
      </c>
      <c r="Q17" t="n">
        <v>2365.8</v>
      </c>
      <c r="R17" t="n">
        <v>2637.1</v>
      </c>
      <c r="S17" t="n">
        <v>2840</v>
      </c>
      <c r="T17" t="n">
        <v>1886.2</v>
      </c>
      <c r="U17" t="n">
        <v>2311.1</v>
      </c>
      <c r="V17" t="n">
        <v>2324.2</v>
      </c>
      <c r="W17" t="n">
        <v>2154.9</v>
      </c>
      <c r="X17" t="n">
        <v>2320.3</v>
      </c>
      <c r="Y17" t="n">
        <v>2430.8</v>
      </c>
      <c r="Z17" t="n">
        <v>2744.5</v>
      </c>
      <c r="AA17" t="n">
        <v>2714.6</v>
      </c>
      <c r="AB17" t="n">
        <v>3185.1</v>
      </c>
      <c r="AC17" t="n">
        <v>3749.7</v>
      </c>
      <c r="AD17" t="n">
        <v>2825.2</v>
      </c>
      <c r="AE17" t="n">
        <v>2724.8</v>
      </c>
      <c r="AF17" t="n">
        <v>3507</v>
      </c>
    </row>
    <row r="18">
      <c r="A18" t="s">
        <v>11</v>
      </c>
      <c r="B18" t="s">
        <v>306</v>
      </c>
      <c r="C18" t="s">
        <v>246</v>
      </c>
      <c r="D18" t="s">
        <v>307</v>
      </c>
      <c r="E18" t="s">
        <v>247</v>
      </c>
      <c r="F18" t="n">
        <v>2285</v>
      </c>
      <c r="G18" t="n">
        <v>2345.5</v>
      </c>
      <c r="H18" t="n">
        <v>2805.6</v>
      </c>
      <c r="I18" t="n">
        <v>2374.1</v>
      </c>
      <c r="J18" t="n">
        <v>2854.4</v>
      </c>
      <c r="K18" t="n">
        <v>3455.2</v>
      </c>
      <c r="L18" t="n">
        <v>3230.8</v>
      </c>
      <c r="M18" t="n">
        <v>3754.7</v>
      </c>
      <c r="N18" t="n">
        <v>3211</v>
      </c>
      <c r="O18" t="n">
        <v>3157.3</v>
      </c>
      <c r="P18" t="n">
        <v>3950.7</v>
      </c>
      <c r="Q18" t="n">
        <v>4470.9</v>
      </c>
      <c r="R18" t="n">
        <v>3777.6</v>
      </c>
      <c r="S18" t="n">
        <v>4639.2</v>
      </c>
      <c r="T18" t="n">
        <v>3721.4</v>
      </c>
      <c r="U18" t="n">
        <v>3695.2</v>
      </c>
      <c r="V18" t="n">
        <v>3712</v>
      </c>
      <c r="W18" t="n">
        <v>4399.8</v>
      </c>
      <c r="X18" t="n">
        <v>5157.7</v>
      </c>
      <c r="Y18" t="n">
        <v>5368</v>
      </c>
      <c r="Z18" t="n">
        <v>6379.5</v>
      </c>
      <c r="AA18" t="n">
        <v>6764.2</v>
      </c>
      <c r="AB18" t="n">
        <v>5684</v>
      </c>
      <c r="AC18" t="n">
        <v>5749.8</v>
      </c>
      <c r="AD18" t="n">
        <v>6014.7</v>
      </c>
      <c r="AE18" t="n">
        <v>5892.6</v>
      </c>
      <c r="AF18" t="n">
        <v>6464</v>
      </c>
    </row>
    <row r="19">
      <c r="A19" t="s">
        <v>11</v>
      </c>
      <c r="B19" t="s">
        <v>308</v>
      </c>
      <c r="C19" t="s">
        <v>246</v>
      </c>
      <c r="D19" t="s">
        <v>309</v>
      </c>
      <c r="E19" t="s">
        <v>247</v>
      </c>
      <c r="F19" t="n">
        <v>1031.6</v>
      </c>
      <c r="G19" t="n">
        <v>867.5</v>
      </c>
      <c r="H19" t="n">
        <v>1033.6</v>
      </c>
      <c r="I19" t="n">
        <v>1026.7</v>
      </c>
      <c r="J19" t="n">
        <v>886.9</v>
      </c>
      <c r="K19" t="n">
        <v>1231.8</v>
      </c>
      <c r="L19" t="n">
        <v>1231.5</v>
      </c>
      <c r="M19" t="n">
        <v>1436.4</v>
      </c>
      <c r="N19" t="n">
        <v>1346.6</v>
      </c>
      <c r="O19" t="n">
        <v>1267.7</v>
      </c>
      <c r="P19" t="n">
        <v>1253.7</v>
      </c>
      <c r="Q19" t="n">
        <v>1438.3</v>
      </c>
      <c r="R19" t="n">
        <v>1586.4</v>
      </c>
      <c r="S19" t="n">
        <v>1343.4</v>
      </c>
      <c r="T19" t="n">
        <v>1307.2</v>
      </c>
      <c r="U19" t="n">
        <v>1347.8</v>
      </c>
      <c r="V19" t="n">
        <v>1362.1</v>
      </c>
      <c r="W19" t="n">
        <v>1153</v>
      </c>
      <c r="X19" t="n">
        <v>1086.7</v>
      </c>
      <c r="Y19" t="n">
        <v>1100.9</v>
      </c>
      <c r="Z19" t="n">
        <v>1268.6</v>
      </c>
      <c r="AA19" t="n">
        <v>1277.4</v>
      </c>
      <c r="AB19" t="n">
        <v>1440.5</v>
      </c>
      <c r="AC19" t="n">
        <v>1615.5</v>
      </c>
      <c r="AD19" t="n">
        <v>1772.8</v>
      </c>
      <c r="AE19" t="n">
        <v>1423.3</v>
      </c>
      <c r="AF19" t="n">
        <v>1875.3</v>
      </c>
    </row>
    <row r="20">
      <c r="A20" t="s">
        <v>11</v>
      </c>
      <c r="B20" t="s">
        <v>310</v>
      </c>
      <c r="C20" t="s">
        <v>246</v>
      </c>
      <c r="D20" t="s">
        <v>311</v>
      </c>
      <c r="E20" t="s">
        <v>247</v>
      </c>
      <c r="F20" t="n">
        <v>4291.5</v>
      </c>
      <c r="G20" t="n">
        <v>4509.6</v>
      </c>
      <c r="H20" t="n">
        <v>5297.9</v>
      </c>
      <c r="I20" t="n">
        <v>6485.1</v>
      </c>
      <c r="J20" t="n">
        <v>6715</v>
      </c>
      <c r="K20" t="n">
        <v>6195.1</v>
      </c>
      <c r="L20" t="n">
        <v>5629.7</v>
      </c>
      <c r="M20" t="n">
        <v>6281</v>
      </c>
      <c r="N20" t="n">
        <v>6595.8</v>
      </c>
      <c r="O20" t="n">
        <v>5691.7</v>
      </c>
      <c r="P20" t="n">
        <v>6846.6</v>
      </c>
      <c r="Q20" t="n">
        <v>7049.8</v>
      </c>
      <c r="R20" t="n">
        <v>7417.3</v>
      </c>
      <c r="S20" t="n">
        <v>8898.6</v>
      </c>
      <c r="T20" t="n">
        <v>6127.7</v>
      </c>
      <c r="U20" t="n">
        <v>6882.1</v>
      </c>
      <c r="V20" t="n">
        <v>6954.6</v>
      </c>
      <c r="W20" t="n">
        <v>6622.7</v>
      </c>
      <c r="X20" t="n">
        <v>7934.8</v>
      </c>
      <c r="Y20" t="n">
        <v>5602.3</v>
      </c>
      <c r="Z20" t="n">
        <v>4120.3</v>
      </c>
      <c r="AA20" t="n">
        <v>5620.8</v>
      </c>
      <c r="AB20" t="n">
        <v>3131</v>
      </c>
      <c r="AC20" t="n">
        <v>3328.9</v>
      </c>
      <c r="AD20" t="n">
        <v>3229.9</v>
      </c>
      <c r="AE20" t="n">
        <v>3089.6</v>
      </c>
      <c r="AF20" t="n">
        <v>4165.8</v>
      </c>
    </row>
    <row r="21">
      <c r="A21" t="s">
        <v>11</v>
      </c>
      <c r="B21" t="s">
        <v>312</v>
      </c>
      <c r="C21" t="s">
        <v>246</v>
      </c>
      <c r="D21" t="s">
        <v>313</v>
      </c>
      <c r="E21" t="s">
        <v>247</v>
      </c>
      <c r="F21" t="n">
        <v>5602.6</v>
      </c>
      <c r="G21" t="n">
        <v>5889.9</v>
      </c>
      <c r="H21" t="n">
        <v>6929.3</v>
      </c>
      <c r="I21" t="n">
        <v>8257.7</v>
      </c>
      <c r="J21" t="n">
        <v>8561.6</v>
      </c>
      <c r="K21" t="n">
        <v>7808.5</v>
      </c>
      <c r="L21" t="n">
        <v>7530.9</v>
      </c>
      <c r="M21" t="n">
        <v>8206.1</v>
      </c>
      <c r="N21" t="n">
        <v>8559.9</v>
      </c>
      <c r="O21" t="n">
        <v>7940.1</v>
      </c>
      <c r="P21" t="n">
        <v>8790.6</v>
      </c>
      <c r="Q21" t="n">
        <v>9579.8</v>
      </c>
      <c r="R21" t="n">
        <v>9812.4</v>
      </c>
      <c r="S21" t="n">
        <v>11074.9</v>
      </c>
      <c r="T21" t="n">
        <v>8116.1</v>
      </c>
      <c r="U21" t="n">
        <v>9075.4</v>
      </c>
      <c r="V21" t="n">
        <v>9145.9</v>
      </c>
      <c r="W21" t="n">
        <v>9493.1</v>
      </c>
      <c r="X21" t="n">
        <v>9907.8</v>
      </c>
      <c r="Y21" t="n">
        <v>7597.7</v>
      </c>
      <c r="Z21" t="n">
        <v>6619.1</v>
      </c>
      <c r="AA21" t="n">
        <v>8245.4</v>
      </c>
      <c r="AB21" t="n">
        <v>6017.6</v>
      </c>
      <c r="AC21" t="n">
        <v>6659.9</v>
      </c>
      <c r="AD21" t="n">
        <v>6812.4</v>
      </c>
      <c r="AE21" t="n">
        <v>6554.2</v>
      </c>
      <c r="AF21" t="n">
        <v>8345.2</v>
      </c>
    </row>
    <row r="22">
      <c r="A22" t="s">
        <v>11</v>
      </c>
      <c r="B22" t="s">
        <v>314</v>
      </c>
      <c r="C22" t="s">
        <v>246</v>
      </c>
      <c r="D22" t="s">
        <v>315</v>
      </c>
      <c r="E22" t="s">
        <v>247</v>
      </c>
      <c r="F22" t="n">
        <v>1311.1</v>
      </c>
      <c r="G22" t="n">
        <v>1380.3</v>
      </c>
      <c r="H22" t="n">
        <v>1631.4</v>
      </c>
      <c r="I22" t="n">
        <v>1772.6</v>
      </c>
      <c r="J22" t="n">
        <v>1846.6</v>
      </c>
      <c r="K22" t="n">
        <v>1613.4</v>
      </c>
      <c r="L22" t="n">
        <v>1901.2</v>
      </c>
      <c r="M22" t="n">
        <v>1925.1</v>
      </c>
      <c r="N22" t="n">
        <v>1964.1</v>
      </c>
      <c r="O22" t="n">
        <v>2248.4</v>
      </c>
      <c r="P22" t="n">
        <v>1944</v>
      </c>
      <c r="Q22" t="n">
        <v>2530</v>
      </c>
      <c r="R22" t="n">
        <v>2395.1</v>
      </c>
      <c r="S22" t="n">
        <v>2176.3</v>
      </c>
      <c r="T22" t="n">
        <v>1988.4</v>
      </c>
      <c r="U22" t="n">
        <v>2193.3</v>
      </c>
      <c r="V22" t="n">
        <v>2191.3</v>
      </c>
      <c r="W22" t="n">
        <v>2870.4</v>
      </c>
      <c r="X22" t="n">
        <v>1973</v>
      </c>
      <c r="Y22" t="n">
        <v>1995.4</v>
      </c>
      <c r="Z22" t="n">
        <v>2498.8</v>
      </c>
      <c r="AA22" t="n">
        <v>2624.6</v>
      </c>
      <c r="AB22" t="n">
        <v>2886.6</v>
      </c>
      <c r="AC22" t="n">
        <v>3331</v>
      </c>
      <c r="AD22" t="n">
        <v>3582.5</v>
      </c>
      <c r="AE22" t="n">
        <v>3464.6</v>
      </c>
      <c r="AF22" t="n">
        <v>4179.4</v>
      </c>
    </row>
    <row r="23">
      <c r="A23" t="s">
        <v>11</v>
      </c>
      <c r="B23" t="s">
        <v>316</v>
      </c>
      <c r="C23" t="s">
        <v>246</v>
      </c>
      <c r="D23" t="s">
        <v>317</v>
      </c>
      <c r="E23" t="s">
        <v>247</v>
      </c>
      <c r="F23" t="n">
        <v>3370.7</v>
      </c>
      <c r="G23" t="n">
        <v>3088.6</v>
      </c>
      <c r="H23" t="n">
        <v>3402</v>
      </c>
      <c r="I23" t="n">
        <v>4535.2</v>
      </c>
      <c r="J23" t="n">
        <v>3319.4</v>
      </c>
      <c r="K23" t="n">
        <v>4186.6</v>
      </c>
      <c r="L23" t="n">
        <v>4934.2</v>
      </c>
      <c r="M23" t="n">
        <v>4675.1</v>
      </c>
      <c r="N23" t="n">
        <v>5304</v>
      </c>
      <c r="O23" t="n">
        <v>4327.3</v>
      </c>
      <c r="P23" t="n">
        <v>4955.4</v>
      </c>
      <c r="Q23" t="n">
        <v>5704.9</v>
      </c>
      <c r="R23" t="n">
        <v>6133.1</v>
      </c>
      <c r="S23" t="n">
        <v>5499.1</v>
      </c>
      <c r="T23" t="n">
        <v>3974.7</v>
      </c>
      <c r="U23" t="n">
        <v>5292.8</v>
      </c>
      <c r="V23" t="n">
        <v>5135</v>
      </c>
      <c r="W23" t="n">
        <v>3520.7</v>
      </c>
      <c r="X23" t="n">
        <v>3115.8</v>
      </c>
      <c r="Y23" t="n">
        <v>3184.2</v>
      </c>
      <c r="Z23" t="n">
        <v>3241.7</v>
      </c>
      <c r="AA23" t="n">
        <v>3512.7</v>
      </c>
      <c r="AB23" t="n">
        <v>4859.8</v>
      </c>
      <c r="AC23" t="n">
        <v>3690.2</v>
      </c>
      <c r="AD23" t="n">
        <v>3912.6</v>
      </c>
      <c r="AE23" t="n">
        <v>3515.3</v>
      </c>
      <c r="AF23" t="n">
        <v>4578.2</v>
      </c>
    </row>
    <row r="24">
      <c r="A24" t="s">
        <v>11</v>
      </c>
      <c r="B24" t="s">
        <v>318</v>
      </c>
      <c r="C24" t="s">
        <v>246</v>
      </c>
      <c r="D24" t="s">
        <v>319</v>
      </c>
      <c r="E24" t="s">
        <v>247</v>
      </c>
      <c r="F24" t="n">
        <v>5360.5</v>
      </c>
      <c r="G24" t="n">
        <v>6088.7</v>
      </c>
      <c r="H24" t="n">
        <v>7357.4</v>
      </c>
      <c r="I24" t="n">
        <v>6084.4</v>
      </c>
      <c r="J24" t="n">
        <v>6845.4</v>
      </c>
      <c r="K24" t="n">
        <v>8343.5</v>
      </c>
      <c r="L24" t="n">
        <v>8023.6</v>
      </c>
      <c r="M24" t="n">
        <v>8770.3</v>
      </c>
      <c r="N24" t="n">
        <v>7773.2</v>
      </c>
      <c r="O24" t="n">
        <v>8940.7</v>
      </c>
      <c r="P24" t="n">
        <v>9064.7</v>
      </c>
      <c r="Q24" t="n">
        <v>9955</v>
      </c>
      <c r="R24" t="n">
        <v>10661.4</v>
      </c>
      <c r="S24" t="n">
        <v>8929</v>
      </c>
      <c r="T24" t="n">
        <v>8374.1</v>
      </c>
      <c r="U24" t="n">
        <v>8995</v>
      </c>
      <c r="V24" t="n">
        <v>9069.9</v>
      </c>
      <c r="W24" t="n">
        <v>7593.9</v>
      </c>
      <c r="X24" t="n">
        <v>7427.2</v>
      </c>
      <c r="Y24" t="n">
        <v>6940.5</v>
      </c>
      <c r="Z24" t="n">
        <v>7870.4</v>
      </c>
      <c r="AA24" t="n">
        <v>8307.4</v>
      </c>
      <c r="AB24" t="n">
        <v>9165.8</v>
      </c>
      <c r="AC24" t="n">
        <v>10192</v>
      </c>
      <c r="AD24" t="n">
        <v>9198.1</v>
      </c>
      <c r="AE24" t="n">
        <v>8013.9</v>
      </c>
      <c r="AF24" t="n">
        <v>8073.5</v>
      </c>
    </row>
    <row r="25">
      <c r="A25" t="s">
        <v>11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</v>
      </c>
      <c r="B28" t="s">
        <v>326</v>
      </c>
      <c r="C28" t="s">
        <v>246</v>
      </c>
      <c r="D28" t="s">
        <v>327</v>
      </c>
      <c r="E28" t="s">
        <v>247</v>
      </c>
      <c r="F28" t="n">
        <v>1413.7</v>
      </c>
      <c r="G28" t="n">
        <v>1723.5</v>
      </c>
      <c r="H28" t="n">
        <v>2503.6</v>
      </c>
      <c r="I28" t="n">
        <v>2643.9</v>
      </c>
      <c r="J28" t="n">
        <v>2982.1</v>
      </c>
      <c r="K28" t="n">
        <v>2808.1</v>
      </c>
      <c r="L28" t="n">
        <v>2916.4</v>
      </c>
      <c r="M28" t="n">
        <v>3514.3</v>
      </c>
      <c r="N28" t="n">
        <v>2729.7</v>
      </c>
      <c r="O28" t="n">
        <v>3186.5</v>
      </c>
      <c r="P28" t="n">
        <v>3668.8</v>
      </c>
      <c r="Q28" t="n">
        <v>3820.1</v>
      </c>
      <c r="R28" t="n">
        <v>4347.8</v>
      </c>
      <c r="S28" t="n">
        <v>3365.8</v>
      </c>
      <c r="T28" t="n">
        <v>3940.4</v>
      </c>
      <c r="U28" t="n">
        <v>3669.6</v>
      </c>
      <c r="V28" t="n">
        <v>3578.1</v>
      </c>
      <c r="W28" t="n">
        <v>2820.5</v>
      </c>
      <c r="X28" t="n">
        <v>2698.9</v>
      </c>
      <c r="Y28" t="n">
        <v>3335.1</v>
      </c>
      <c r="Z28" t="n">
        <v>2460</v>
      </c>
      <c r="AA28" t="n">
        <v>2067.9</v>
      </c>
      <c r="AB28" t="n">
        <v>2528.9</v>
      </c>
      <c r="AC28" t="n">
        <v>2575.1</v>
      </c>
      <c r="AD28" t="n">
        <v>3367.9</v>
      </c>
      <c r="AE28" t="n">
        <v>2914.3</v>
      </c>
      <c r="AF28" t="n">
        <v>3307.8</v>
      </c>
    </row>
    <row r="29">
      <c r="A29" t="s">
        <v>11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</v>
      </c>
      <c r="B34" t="s">
        <v>338</v>
      </c>
      <c r="C34" t="s">
        <v>246</v>
      </c>
      <c r="D34" t="s">
        <v>339</v>
      </c>
      <c r="E34" t="s">
        <v>247</v>
      </c>
      <c r="F34" t="n">
        <v>2420.7</v>
      </c>
      <c r="G34" t="n">
        <v>2747.8</v>
      </c>
      <c r="H34" t="n">
        <v>1612.1</v>
      </c>
      <c r="I34" t="n">
        <v>2372.2</v>
      </c>
      <c r="J34" t="n">
        <v>2416.7</v>
      </c>
      <c r="K34" t="n">
        <v>3163.2</v>
      </c>
      <c r="L34" t="n">
        <v>3158.5</v>
      </c>
      <c r="M34" t="n">
        <v>3078.9</v>
      </c>
      <c r="N34" t="n">
        <v>2923.3</v>
      </c>
      <c r="O34" t="n">
        <v>3138.6</v>
      </c>
      <c r="P34" t="n">
        <v>3330.4</v>
      </c>
      <c r="Q34" t="n">
        <v>3462</v>
      </c>
      <c r="R34" t="n">
        <v>4067.8</v>
      </c>
      <c r="S34" t="n">
        <v>3687.9</v>
      </c>
      <c r="T34" t="n">
        <v>3210.3</v>
      </c>
      <c r="U34" t="n">
        <v>3193.4</v>
      </c>
      <c r="V34" t="n">
        <v>3204.7</v>
      </c>
      <c r="W34" t="n">
        <v>2777.6</v>
      </c>
      <c r="X34" t="n">
        <v>2630.9</v>
      </c>
      <c r="Y34" t="n">
        <v>2554.4</v>
      </c>
      <c r="Z34" t="n">
        <v>2179.7</v>
      </c>
      <c r="AA34" t="n">
        <v>2218.9</v>
      </c>
      <c r="AB34" t="n">
        <v>2201.4</v>
      </c>
      <c r="AC34" t="n">
        <v>2354.4</v>
      </c>
      <c r="AD34" t="n">
        <v>2707.7</v>
      </c>
      <c r="AE34" t="n">
        <v>2396.1</v>
      </c>
      <c r="AF34" t="n">
        <v>2903.1</v>
      </c>
    </row>
    <row r="35">
      <c r="A35" t="s">
        <v>11</v>
      </c>
      <c r="B35" t="s">
        <v>340</v>
      </c>
      <c r="C35" t="s">
        <v>246</v>
      </c>
      <c r="D35" t="s">
        <v>341</v>
      </c>
      <c r="E35" t="s">
        <v>247</v>
      </c>
      <c r="F35" t="n">
        <v>396.6</v>
      </c>
      <c r="G35" t="n">
        <v>435.6</v>
      </c>
      <c r="H35" t="n">
        <v>504.4</v>
      </c>
      <c r="I35" t="n">
        <v>490.6</v>
      </c>
      <c r="J35" t="n">
        <v>512.7</v>
      </c>
      <c r="K35" t="n">
        <v>540.5</v>
      </c>
      <c r="L35" t="n">
        <v>543.6</v>
      </c>
      <c r="M35" t="n">
        <v>601.6</v>
      </c>
      <c r="N35" t="n">
        <v>734.5</v>
      </c>
      <c r="O35" t="n">
        <v>684.9</v>
      </c>
      <c r="P35" t="n">
        <v>725.8</v>
      </c>
      <c r="Q35" t="n">
        <v>691.8</v>
      </c>
      <c r="R35" t="n">
        <v>830.1</v>
      </c>
      <c r="S35" t="n">
        <v>737.8</v>
      </c>
      <c r="T35" t="n">
        <v>676</v>
      </c>
      <c r="U35" t="n">
        <v>709.7</v>
      </c>
      <c r="V35" t="n">
        <v>676</v>
      </c>
      <c r="W35" t="n">
        <v>719.2</v>
      </c>
      <c r="X35" t="n">
        <v>671.1</v>
      </c>
      <c r="Y35" t="n">
        <v>659.3</v>
      </c>
      <c r="Z35" t="n">
        <v>658.5</v>
      </c>
      <c r="AA35" t="n">
        <v>596.2</v>
      </c>
      <c r="AB35" t="n">
        <v>815.3</v>
      </c>
      <c r="AC35" t="n">
        <v>872.5</v>
      </c>
      <c r="AD35" t="n">
        <v>896.7</v>
      </c>
      <c r="AE35" t="n">
        <v>931</v>
      </c>
      <c r="AF35" t="n">
        <v>1226.6</v>
      </c>
    </row>
    <row r="36">
      <c r="A36" t="s">
        <v>11</v>
      </c>
      <c r="B36" t="s">
        <v>342</v>
      </c>
      <c r="C36" t="s">
        <v>246</v>
      </c>
      <c r="D36" t="s">
        <v>343</v>
      </c>
      <c r="E36" t="s">
        <v>247</v>
      </c>
      <c r="F36" t="n">
        <v>157.4</v>
      </c>
      <c r="G36" t="n">
        <v>176.2</v>
      </c>
      <c r="H36" t="n">
        <v>207.8</v>
      </c>
      <c r="I36" t="n">
        <v>207</v>
      </c>
      <c r="J36" t="n">
        <v>201.7</v>
      </c>
      <c r="K36" t="n">
        <v>226.5</v>
      </c>
      <c r="L36" t="n">
        <v>190.2</v>
      </c>
      <c r="M36" t="n">
        <v>272.5</v>
      </c>
      <c r="N36" t="n">
        <v>241.7</v>
      </c>
      <c r="O36" t="n">
        <v>269.2</v>
      </c>
      <c r="P36" t="n">
        <v>259.7</v>
      </c>
      <c r="Q36" t="n">
        <v>306.4</v>
      </c>
      <c r="R36" t="n">
        <v>329.7</v>
      </c>
      <c r="S36" t="n">
        <v>297.7</v>
      </c>
      <c r="T36" t="n">
        <v>268.5</v>
      </c>
      <c r="U36" t="n">
        <v>303.9</v>
      </c>
      <c r="V36" t="n">
        <v>274.8</v>
      </c>
      <c r="W36" t="n">
        <v>222.6</v>
      </c>
      <c r="X36" t="n">
        <v>233.5</v>
      </c>
      <c r="Y36" t="n">
        <v>191.2</v>
      </c>
      <c r="Z36" t="n">
        <v>188.4</v>
      </c>
      <c r="AA36" t="n">
        <v>183.6</v>
      </c>
      <c r="AB36" t="n">
        <v>247.6</v>
      </c>
      <c r="AC36" t="n">
        <v>260.5</v>
      </c>
      <c r="AD36" t="n">
        <v>240.1</v>
      </c>
      <c r="AE36" t="n">
        <v>183.7</v>
      </c>
      <c r="AF36" t="n">
        <v>292.8</v>
      </c>
    </row>
    <row r="37">
      <c r="A37" t="s">
        <v>11</v>
      </c>
      <c r="B37" t="s">
        <v>344</v>
      </c>
      <c r="C37" t="s">
        <v>246</v>
      </c>
      <c r="D37" t="s">
        <v>345</v>
      </c>
      <c r="E37" t="s">
        <v>247</v>
      </c>
      <c r="F37" t="n">
        <v>42.9</v>
      </c>
      <c r="G37" t="n">
        <v>22.1</v>
      </c>
      <c r="H37" t="n">
        <v>43</v>
      </c>
      <c r="I37" t="n">
        <v>33.5</v>
      </c>
      <c r="J37" t="n">
        <v>36.2</v>
      </c>
      <c r="K37" t="n">
        <v>32</v>
      </c>
      <c r="L37" t="n">
        <v>37.3</v>
      </c>
      <c r="M37" t="n">
        <v>56.3</v>
      </c>
      <c r="N37" t="n">
        <v>28.5</v>
      </c>
      <c r="O37" t="n">
        <v>62.4</v>
      </c>
      <c r="P37" t="n">
        <v>49</v>
      </c>
      <c r="Q37" t="n">
        <v>47.4</v>
      </c>
      <c r="R37" t="n">
        <v>68.3</v>
      </c>
      <c r="S37" t="n">
        <v>61.5</v>
      </c>
      <c r="T37" t="n">
        <v>37.2</v>
      </c>
      <c r="U37" t="n">
        <v>44</v>
      </c>
      <c r="V37" t="n">
        <v>43</v>
      </c>
      <c r="W37" t="n">
        <v>64.2</v>
      </c>
      <c r="X37" t="n">
        <v>70.3</v>
      </c>
      <c r="Y37" t="n">
        <v>103.1</v>
      </c>
      <c r="Z37" t="n">
        <v>141.9</v>
      </c>
      <c r="AA37" t="n">
        <v>77.7</v>
      </c>
      <c r="AB37" t="n">
        <v>109.4</v>
      </c>
      <c r="AC37" t="n">
        <v>101.4</v>
      </c>
      <c r="AD37" t="n">
        <v>130.8</v>
      </c>
      <c r="AE37" t="n">
        <v>145.4</v>
      </c>
      <c r="AF37" t="n">
        <v>166.9</v>
      </c>
    </row>
    <row r="38">
      <c r="A38" t="s">
        <v>11</v>
      </c>
      <c r="B38" t="s">
        <v>346</v>
      </c>
      <c r="C38" t="s">
        <v>246</v>
      </c>
      <c r="D38" t="s">
        <v>347</v>
      </c>
      <c r="E38" t="s">
        <v>247</v>
      </c>
      <c r="F38" t="n">
        <v>196.3</v>
      </c>
      <c r="G38" t="n">
        <v>237.3</v>
      </c>
      <c r="H38" t="n">
        <v>253.6</v>
      </c>
      <c r="I38" t="n">
        <v>250.1</v>
      </c>
      <c r="J38" t="n">
        <v>274.8</v>
      </c>
      <c r="K38" t="n">
        <v>282</v>
      </c>
      <c r="L38" t="n">
        <v>316.1</v>
      </c>
      <c r="M38" t="n">
        <v>272.8</v>
      </c>
      <c r="N38" t="n">
        <v>464.3</v>
      </c>
      <c r="O38" t="n">
        <v>353.3</v>
      </c>
      <c r="P38" t="n">
        <v>417.1</v>
      </c>
      <c r="Q38" t="n">
        <v>338</v>
      </c>
      <c r="R38" t="n">
        <v>432.1</v>
      </c>
      <c r="S38" t="n">
        <v>378.6</v>
      </c>
      <c r="T38" t="n">
        <v>370.3</v>
      </c>
      <c r="U38" t="n">
        <v>361.8</v>
      </c>
      <c r="V38" t="n">
        <v>358.2</v>
      </c>
      <c r="W38" t="n">
        <v>432.4</v>
      </c>
      <c r="X38" t="n">
        <v>367.3</v>
      </c>
      <c r="Y38" t="n">
        <v>365</v>
      </c>
      <c r="Z38" t="n">
        <v>328.2</v>
      </c>
      <c r="AA38" t="n">
        <v>334.9</v>
      </c>
      <c r="AB38" t="n">
        <v>458.3</v>
      </c>
      <c r="AC38" t="n">
        <v>510.6</v>
      </c>
      <c r="AD38" t="n">
        <v>525.8</v>
      </c>
      <c r="AE38" t="n">
        <v>601.9</v>
      </c>
      <c r="AF38" t="n">
        <v>766.9</v>
      </c>
    </row>
    <row r="39">
      <c r="A39" t="s">
        <v>11</v>
      </c>
      <c r="B39" t="s">
        <v>348</v>
      </c>
      <c r="C39" t="s">
        <v>246</v>
      </c>
      <c r="D39" t="s">
        <v>349</v>
      </c>
      <c r="E39" t="s">
        <v>247</v>
      </c>
      <c r="F39" t="n">
        <v>256</v>
      </c>
      <c r="G39" t="n">
        <v>241.7</v>
      </c>
      <c r="H39" t="n">
        <v>216.1</v>
      </c>
      <c r="I39" t="n">
        <v>219.9</v>
      </c>
      <c r="J39" t="n">
        <v>214.8</v>
      </c>
      <c r="K39" t="n">
        <v>247.3</v>
      </c>
      <c r="L39" t="n">
        <v>265.2</v>
      </c>
      <c r="M39" t="n">
        <v>272.1</v>
      </c>
      <c r="N39" t="n">
        <v>232.8</v>
      </c>
      <c r="O39" t="n">
        <v>316.1</v>
      </c>
      <c r="P39" t="n">
        <v>314.1</v>
      </c>
      <c r="Q39" t="n">
        <v>334.3</v>
      </c>
      <c r="R39" t="n">
        <v>283.5</v>
      </c>
      <c r="S39" t="n">
        <v>351.6</v>
      </c>
      <c r="T39" t="n">
        <v>281.2</v>
      </c>
      <c r="U39" t="n">
        <v>326.6</v>
      </c>
      <c r="V39" t="n">
        <v>271</v>
      </c>
      <c r="W39" t="n">
        <v>272.9</v>
      </c>
      <c r="X39" t="n">
        <v>275.8</v>
      </c>
      <c r="Y39" t="n">
        <v>286</v>
      </c>
      <c r="Z39" t="n">
        <v>325.7</v>
      </c>
      <c r="AA39" t="n">
        <v>276</v>
      </c>
      <c r="AB39" t="n">
        <v>288.8</v>
      </c>
      <c r="AC39" t="n">
        <v>322.1</v>
      </c>
      <c r="AD39" t="n">
        <v>415.2</v>
      </c>
      <c r="AE39" t="n">
        <v>374.6</v>
      </c>
      <c r="AF39" t="n">
        <v>514</v>
      </c>
    </row>
    <row r="40">
      <c r="A40" t="s">
        <v>11</v>
      </c>
      <c r="B40" t="s">
        <v>350</v>
      </c>
      <c r="C40" t="s">
        <v>246</v>
      </c>
      <c r="D40" t="s">
        <v>351</v>
      </c>
      <c r="E40" t="s">
        <v>247</v>
      </c>
      <c r="F40" t="n">
        <v>586.2</v>
      </c>
      <c r="G40" t="n">
        <v>673.1</v>
      </c>
      <c r="H40" t="n">
        <v>690</v>
      </c>
      <c r="I40" t="n">
        <v>764</v>
      </c>
      <c r="J40" t="n">
        <v>824.6</v>
      </c>
      <c r="K40" t="n">
        <v>759.6</v>
      </c>
      <c r="L40" t="n">
        <v>865.8</v>
      </c>
      <c r="M40" t="n">
        <v>1123.5</v>
      </c>
      <c r="N40" t="n">
        <v>907</v>
      </c>
      <c r="O40" t="n">
        <v>763.7</v>
      </c>
      <c r="P40" t="n">
        <v>1310.4</v>
      </c>
      <c r="Q40" t="n">
        <v>1034.3</v>
      </c>
      <c r="R40" t="n">
        <v>1120.4</v>
      </c>
      <c r="S40" t="n">
        <v>1183.3</v>
      </c>
      <c r="T40" t="n">
        <v>621.9</v>
      </c>
      <c r="U40" t="n">
        <v>1203.6</v>
      </c>
      <c r="V40" t="n">
        <v>983.7</v>
      </c>
      <c r="W40" t="n">
        <v>1263.6</v>
      </c>
      <c r="X40" t="n">
        <v>642.8</v>
      </c>
      <c r="Y40" t="n">
        <v>971.3</v>
      </c>
      <c r="Z40" t="n">
        <v>651</v>
      </c>
      <c r="AA40" t="n">
        <v>1117.8</v>
      </c>
      <c r="AB40" t="n">
        <v>849.8</v>
      </c>
      <c r="AC40" t="n">
        <v>1337.2</v>
      </c>
      <c r="AD40" t="n">
        <v>887.8</v>
      </c>
      <c r="AE40" t="n">
        <v>723.9</v>
      </c>
      <c r="AF40" t="n">
        <v>1123</v>
      </c>
    </row>
    <row r="41">
      <c r="A41" t="s">
        <v>11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11</v>
      </c>
      <c r="B42" t="s">
        <v>354</v>
      </c>
      <c r="C42" t="s">
        <v>246</v>
      </c>
      <c r="D42" t="s">
        <v>355</v>
      </c>
      <c r="E42" t="s">
        <v>247</v>
      </c>
      <c r="F42" t="n">
        <v>936.7</v>
      </c>
      <c r="G42" t="n">
        <v>1065.7</v>
      </c>
      <c r="H42" t="n">
        <v>1122.2</v>
      </c>
      <c r="I42" t="n">
        <v>1150.4</v>
      </c>
      <c r="J42" t="n">
        <v>1251.8</v>
      </c>
      <c r="K42" t="n">
        <v>1503.3</v>
      </c>
      <c r="L42" t="n">
        <v>1575.3</v>
      </c>
      <c r="M42" t="n">
        <v>1457.5</v>
      </c>
      <c r="N42" t="n">
        <v>1477.6</v>
      </c>
      <c r="O42" t="n">
        <v>1559.9</v>
      </c>
      <c r="P42" t="n">
        <v>1600.7</v>
      </c>
      <c r="Q42" t="n">
        <v>1827.4</v>
      </c>
      <c r="R42" t="n">
        <v>1817.2</v>
      </c>
      <c r="S42" t="n">
        <v>2078.4</v>
      </c>
      <c r="T42" t="n">
        <v>1390.8</v>
      </c>
      <c r="U42" t="n">
        <v>1633.4</v>
      </c>
      <c r="V42" t="n">
        <v>1526</v>
      </c>
      <c r="W42" t="n">
        <v>1563</v>
      </c>
      <c r="X42" t="n">
        <v>1955.3</v>
      </c>
      <c r="Y42" t="n">
        <v>1949.5</v>
      </c>
      <c r="Z42" t="n">
        <v>1512.6</v>
      </c>
      <c r="AA42" t="n">
        <v>1080.7</v>
      </c>
      <c r="AB42" t="n">
        <v>1371.3</v>
      </c>
      <c r="AC42" t="n">
        <v>1285.8</v>
      </c>
      <c r="AD42" t="n">
        <v>1340.2</v>
      </c>
      <c r="AE42" t="n">
        <v>1374.3</v>
      </c>
      <c r="AF42" t="n">
        <v>1647.4</v>
      </c>
    </row>
    <row r="43">
      <c r="A43" t="s">
        <v>11</v>
      </c>
      <c r="B43" t="s">
        <v>356</v>
      </c>
      <c r="C43" t="s">
        <v>246</v>
      </c>
      <c r="D43" t="s">
        <v>357</v>
      </c>
      <c r="E43" t="s">
        <v>247</v>
      </c>
      <c r="F43" t="n">
        <v>1834.6</v>
      </c>
      <c r="G43" t="n">
        <v>2155.8</v>
      </c>
      <c r="H43" t="n">
        <v>2260.7</v>
      </c>
      <c r="I43" t="n">
        <v>2268.8</v>
      </c>
      <c r="J43" t="n">
        <v>2530.3</v>
      </c>
      <c r="K43" t="n">
        <v>2662.6</v>
      </c>
      <c r="L43" t="n">
        <v>3184.6</v>
      </c>
      <c r="M43" t="n">
        <v>3033.4</v>
      </c>
      <c r="N43" t="n">
        <v>2942.7</v>
      </c>
      <c r="O43" t="n">
        <v>3323.1</v>
      </c>
      <c r="P43" t="n">
        <v>3063.1</v>
      </c>
      <c r="Q43" t="n">
        <v>3377.7</v>
      </c>
      <c r="R43" t="n">
        <v>3749.1</v>
      </c>
      <c r="S43" t="n">
        <v>3736.4</v>
      </c>
      <c r="T43" t="n">
        <v>3112.5</v>
      </c>
      <c r="U43" t="n">
        <v>3297.2</v>
      </c>
      <c r="V43" t="n">
        <v>3195.8</v>
      </c>
      <c r="W43" t="n">
        <v>3423.9</v>
      </c>
      <c r="X43" t="n">
        <v>3138.8</v>
      </c>
      <c r="Y43" t="n">
        <v>3330.9</v>
      </c>
      <c r="Z43" t="n">
        <v>3166.7</v>
      </c>
      <c r="AA43" t="n">
        <v>2469.6</v>
      </c>
      <c r="AB43" t="n">
        <v>2476.3</v>
      </c>
      <c r="AC43" t="n">
        <v>2678.3</v>
      </c>
      <c r="AD43" t="n">
        <v>2701.6</v>
      </c>
      <c r="AE43" t="n">
        <v>3006.3</v>
      </c>
      <c r="AF43" t="n">
        <v>3254.1</v>
      </c>
    </row>
    <row r="44">
      <c r="A44" t="s">
        <v>11</v>
      </c>
      <c r="B44" t="s">
        <v>358</v>
      </c>
      <c r="C44" t="s">
        <v>246</v>
      </c>
      <c r="D44" t="s">
        <v>359</v>
      </c>
      <c r="E44" t="s">
        <v>247</v>
      </c>
      <c r="F44" t="n">
        <v>47384</v>
      </c>
      <c r="G44" t="n">
        <v>48376.2</v>
      </c>
      <c r="H44" t="n">
        <v>51362.2</v>
      </c>
      <c r="I44" t="n">
        <v>56544.4</v>
      </c>
      <c r="J44" t="n">
        <v>58973.6</v>
      </c>
      <c r="K44" t="n">
        <v>65313.9</v>
      </c>
      <c r="L44" t="n">
        <v>66576.9</v>
      </c>
      <c r="M44" t="n">
        <v>69919.5</v>
      </c>
      <c r="N44" t="n">
        <v>67468.1</v>
      </c>
      <c r="O44" t="n">
        <v>69632.4</v>
      </c>
      <c r="P44" t="n">
        <v>72094.8</v>
      </c>
      <c r="Q44" t="n">
        <v>79394.9</v>
      </c>
      <c r="R44" t="n">
        <v>83347.8</v>
      </c>
      <c r="S44" t="n">
        <v>79857.1</v>
      </c>
      <c r="T44" t="n">
        <v>66444.3</v>
      </c>
      <c r="U44" t="n">
        <v>74011.6</v>
      </c>
      <c r="V44" t="n">
        <v>73661.2</v>
      </c>
      <c r="W44" t="n">
        <v>69090.9</v>
      </c>
      <c r="X44" t="n">
        <v>65983.8</v>
      </c>
      <c r="Y44" t="n">
        <v>66993.5</v>
      </c>
      <c r="Z44" t="n">
        <v>67972</v>
      </c>
      <c r="AA44" t="n">
        <v>71316.4</v>
      </c>
      <c r="AB44" t="n">
        <v>74880.9</v>
      </c>
      <c r="AC44" t="n">
        <v>80890.3</v>
      </c>
      <c r="AD44" t="n">
        <v>79663.6</v>
      </c>
      <c r="AE44" t="n">
        <v>70708.6</v>
      </c>
      <c r="AF44" t="n">
        <v>85206.3</v>
      </c>
    </row>
    <row r="45">
      <c r="A45" t="s">
        <v>11</v>
      </c>
      <c r="B45" t="s">
        <v>360</v>
      </c>
      <c r="C45" t="s">
        <v>246</v>
      </c>
      <c r="D45" t="s">
        <v>361</v>
      </c>
      <c r="E45" t="s">
        <v>247</v>
      </c>
      <c r="F45" t="n">
        <v>44419.8</v>
      </c>
      <c r="G45" t="n">
        <v>45331</v>
      </c>
      <c r="H45" t="n">
        <v>48104.3</v>
      </c>
      <c r="I45" t="n">
        <v>52979.6</v>
      </c>
      <c r="J45" t="n">
        <v>55304.2</v>
      </c>
      <c r="K45" t="n">
        <v>60994.8</v>
      </c>
      <c r="L45" t="n">
        <v>62540.5</v>
      </c>
      <c r="M45" t="n">
        <v>65929</v>
      </c>
      <c r="N45" t="n">
        <v>63509</v>
      </c>
      <c r="O45" t="n">
        <v>65024.4</v>
      </c>
      <c r="P45" t="n">
        <v>67489.3</v>
      </c>
      <c r="Q45" t="n">
        <v>74329</v>
      </c>
      <c r="R45" t="n">
        <v>78372</v>
      </c>
      <c r="S45" t="n">
        <v>75352</v>
      </c>
      <c r="T45" t="n">
        <v>62491.2</v>
      </c>
      <c r="U45" t="n">
        <v>69354.7</v>
      </c>
      <c r="V45" t="n">
        <v>69062.7</v>
      </c>
      <c r="W45" t="n">
        <v>64626.3</v>
      </c>
      <c r="X45" t="n">
        <v>61927.7</v>
      </c>
      <c r="Y45" t="n">
        <v>62403.9</v>
      </c>
      <c r="Z45" t="n">
        <v>63402.9</v>
      </c>
      <c r="AA45" t="n">
        <v>66513.7</v>
      </c>
      <c r="AB45" t="n">
        <v>69432.1</v>
      </c>
      <c r="AC45" t="n">
        <v>74693.4</v>
      </c>
      <c r="AD45" t="n">
        <v>73370.6</v>
      </c>
      <c r="AE45" t="n">
        <v>65271.3</v>
      </c>
      <c r="AF45" t="n">
        <v>78214.1</v>
      </c>
    </row>
    <row r="46">
      <c r="A46" t="s">
        <v>11</v>
      </c>
      <c r="B46" t="s">
        <v>362</v>
      </c>
      <c r="C46" t="s">
        <v>246</v>
      </c>
      <c r="D46" t="s">
        <v>363</v>
      </c>
      <c r="E46" t="s">
        <v>247</v>
      </c>
      <c r="F46" t="n">
        <v>897.9</v>
      </c>
      <c r="G46" t="n">
        <v>1090.1</v>
      </c>
      <c r="H46" t="n">
        <v>1138.5</v>
      </c>
      <c r="I46" t="n">
        <v>1118.4</v>
      </c>
      <c r="J46" t="n">
        <v>1278.5</v>
      </c>
      <c r="K46" t="n">
        <v>1159.3</v>
      </c>
      <c r="L46" t="n">
        <v>1609.3</v>
      </c>
      <c r="M46" t="n">
        <v>1575.9</v>
      </c>
      <c r="N46" t="n">
        <v>1465.1</v>
      </c>
      <c r="O46" t="n">
        <v>1763.2</v>
      </c>
      <c r="P46" t="n">
        <v>1462.4</v>
      </c>
      <c r="Q46" t="n">
        <v>1550.3</v>
      </c>
      <c r="R46" t="n">
        <v>1931.9</v>
      </c>
      <c r="S46" t="n">
        <v>1658</v>
      </c>
      <c r="T46" t="n">
        <v>1721.7</v>
      </c>
      <c r="U46" t="n">
        <v>1663.8</v>
      </c>
      <c r="V46" t="n">
        <v>1669.8</v>
      </c>
      <c r="W46" t="n">
        <v>1860.9</v>
      </c>
      <c r="X46" t="n">
        <v>1183.5</v>
      </c>
      <c r="Y46" t="n">
        <v>1381.4</v>
      </c>
      <c r="Z46" t="n">
        <v>1654.1</v>
      </c>
      <c r="AA46" t="n">
        <v>1388.9</v>
      </c>
      <c r="AB46" t="n">
        <v>1105</v>
      </c>
      <c r="AC46" t="n">
        <v>1392.5</v>
      </c>
      <c r="AD46" t="n">
        <v>1361.4</v>
      </c>
      <c r="AE46" t="n">
        <v>1632</v>
      </c>
      <c r="AF46" t="n">
        <v>1606.7</v>
      </c>
    </row>
    <row r="47">
      <c r="A47" t="s">
        <v>11</v>
      </c>
      <c r="B47" t="s">
        <v>364</v>
      </c>
      <c r="C47" t="s">
        <v>246</v>
      </c>
      <c r="D47" t="s">
        <v>365</v>
      </c>
      <c r="E47" t="s">
        <v>247</v>
      </c>
      <c r="F47" t="n">
        <v>3001.7</v>
      </c>
      <c r="G47" t="n">
        <v>3580.9</v>
      </c>
      <c r="H47" t="n">
        <v>3809.2</v>
      </c>
      <c r="I47" t="n">
        <v>3620.5</v>
      </c>
      <c r="J47" t="n">
        <v>4078.6</v>
      </c>
      <c r="K47" t="n">
        <v>4890.8</v>
      </c>
      <c r="L47" t="n">
        <v>5328.1</v>
      </c>
      <c r="M47" t="n">
        <v>5496.7</v>
      </c>
      <c r="N47" t="n">
        <v>5528.6</v>
      </c>
      <c r="O47" t="n">
        <v>5596.8</v>
      </c>
      <c r="P47" t="n">
        <v>4401.2</v>
      </c>
      <c r="Q47" t="n">
        <v>4583.6</v>
      </c>
      <c r="R47" t="n">
        <v>4479.4</v>
      </c>
      <c r="S47" t="n">
        <v>5191</v>
      </c>
      <c r="T47" t="n">
        <v>7560.7</v>
      </c>
      <c r="U47" t="n">
        <v>5757.4</v>
      </c>
      <c r="V47" t="n">
        <v>6058.8</v>
      </c>
      <c r="W47" t="n">
        <v>4090.4</v>
      </c>
      <c r="X47" t="n">
        <v>3188.8</v>
      </c>
      <c r="Y47" t="n">
        <v>3350.6</v>
      </c>
      <c r="Z47" t="n">
        <v>3872.7</v>
      </c>
      <c r="AA47" t="n">
        <v>5171.3</v>
      </c>
      <c r="AB47" t="n">
        <v>5306</v>
      </c>
      <c r="AC47" t="n">
        <v>4737</v>
      </c>
      <c r="AD47" t="n">
        <v>5687.1</v>
      </c>
      <c r="AE47" t="n">
        <v>5585</v>
      </c>
      <c r="AF47" t="n">
        <v>6814.5</v>
      </c>
    </row>
    <row r="48">
      <c r="A48" t="s">
        <v>11</v>
      </c>
      <c r="B48" t="s">
        <v>366</v>
      </c>
      <c r="C48" t="s">
        <v>246</v>
      </c>
      <c r="D48" t="s">
        <v>367</v>
      </c>
      <c r="E48" t="s">
        <v>247</v>
      </c>
      <c r="F48" t="n">
        <v>4931.5</v>
      </c>
      <c r="G48" t="n">
        <v>5455.2</v>
      </c>
      <c r="H48" t="n">
        <v>5764.1</v>
      </c>
      <c r="I48" t="n">
        <v>5912.3</v>
      </c>
      <c r="J48" t="n">
        <v>6374.9</v>
      </c>
      <c r="K48" t="n">
        <v>7542.6</v>
      </c>
      <c r="L48" t="n">
        <v>8392.6</v>
      </c>
      <c r="M48" t="n">
        <v>8375.1</v>
      </c>
      <c r="N48" t="n">
        <v>8445.9</v>
      </c>
      <c r="O48" t="n">
        <v>8433.7</v>
      </c>
      <c r="P48" t="n">
        <v>7457.8</v>
      </c>
      <c r="Q48" t="n">
        <v>8424.2</v>
      </c>
      <c r="R48" t="n">
        <v>7992.6</v>
      </c>
      <c r="S48" t="n">
        <v>8209.2</v>
      </c>
      <c r="T48" t="n">
        <v>11007.6</v>
      </c>
      <c r="U48" t="n">
        <v>9236.8</v>
      </c>
      <c r="V48" t="n">
        <v>9324.8</v>
      </c>
      <c r="W48" t="n">
        <v>6839.1</v>
      </c>
      <c r="X48" t="n">
        <v>5910.6</v>
      </c>
      <c r="Y48" t="n">
        <v>6390.7</v>
      </c>
      <c r="Z48" t="n">
        <v>7113.9</v>
      </c>
      <c r="AA48" t="n">
        <v>8553.3</v>
      </c>
      <c r="AB48" t="n">
        <v>9408.5</v>
      </c>
      <c r="AC48" t="n">
        <v>9260.5</v>
      </c>
      <c r="AD48" t="n">
        <v>11242.1</v>
      </c>
      <c r="AE48" t="n">
        <v>11234.1</v>
      </c>
      <c r="AF48" t="n">
        <v>13724.7</v>
      </c>
    </row>
    <row r="49">
      <c r="A49" t="s">
        <v>11</v>
      </c>
      <c r="B49" t="s">
        <v>368</v>
      </c>
      <c r="C49" t="s">
        <v>246</v>
      </c>
      <c r="D49" t="s">
        <v>369</v>
      </c>
      <c r="E49" t="s">
        <v>247</v>
      </c>
      <c r="F49" t="n">
        <v>271.2</v>
      </c>
      <c r="G49" t="n">
        <v>226.1</v>
      </c>
      <c r="H49" t="n">
        <v>241.6</v>
      </c>
      <c r="I49" t="n">
        <v>254.1</v>
      </c>
      <c r="J49" t="n">
        <v>234.8</v>
      </c>
      <c r="K49" t="n">
        <v>346.4</v>
      </c>
      <c r="L49" t="n">
        <v>455</v>
      </c>
      <c r="M49" t="n">
        <v>463.5</v>
      </c>
      <c r="N49" t="n">
        <v>432.7</v>
      </c>
      <c r="O49" t="n">
        <v>450.3</v>
      </c>
      <c r="P49" t="n">
        <v>428.3</v>
      </c>
      <c r="Q49" t="n">
        <v>606.8</v>
      </c>
      <c r="R49" t="n">
        <v>452.2</v>
      </c>
      <c r="S49" t="n">
        <v>419.4</v>
      </c>
      <c r="T49" t="n">
        <v>406.6</v>
      </c>
      <c r="U49" t="n">
        <v>374.3</v>
      </c>
      <c r="V49" t="n">
        <v>452.7</v>
      </c>
      <c r="W49" t="n">
        <v>437.3</v>
      </c>
      <c r="X49" t="n">
        <v>266.2</v>
      </c>
      <c r="Y49" t="n">
        <v>338.8</v>
      </c>
      <c r="Z49" t="n">
        <v>250.5</v>
      </c>
      <c r="AA49" t="n">
        <v>288.4</v>
      </c>
      <c r="AB49" t="n">
        <v>208.4</v>
      </c>
      <c r="AC49" t="n">
        <v>258.6</v>
      </c>
      <c r="AD49" t="n">
        <v>302.7</v>
      </c>
      <c r="AE49" t="n">
        <v>328.5</v>
      </c>
      <c r="AF49" t="n">
        <v>833.1</v>
      </c>
    </row>
    <row r="50">
      <c r="A50" t="s">
        <v>11</v>
      </c>
      <c r="B50" t="s">
        <v>370</v>
      </c>
      <c r="C50" t="s">
        <v>246</v>
      </c>
      <c r="D50" t="s">
        <v>371</v>
      </c>
      <c r="E50" t="s">
        <v>247</v>
      </c>
      <c r="F50" t="n">
        <v>1658.6</v>
      </c>
      <c r="G50" t="n">
        <v>1648.2</v>
      </c>
      <c r="H50" t="n">
        <v>1713.4</v>
      </c>
      <c r="I50" t="n">
        <v>2037.7</v>
      </c>
      <c r="J50" t="n">
        <v>2061.5</v>
      </c>
      <c r="K50" t="n">
        <v>2305.4</v>
      </c>
      <c r="L50" t="n">
        <v>2609.5</v>
      </c>
      <c r="M50" t="n">
        <v>2414.8</v>
      </c>
      <c r="N50" t="n">
        <v>2484.6</v>
      </c>
      <c r="O50" t="n">
        <v>2386.7</v>
      </c>
      <c r="P50" t="n">
        <v>2628.2</v>
      </c>
      <c r="Q50" t="n">
        <v>3233.8</v>
      </c>
      <c r="R50" t="n">
        <v>3060.9</v>
      </c>
      <c r="S50" t="n">
        <v>2598.8</v>
      </c>
      <c r="T50" t="n">
        <v>3040.3</v>
      </c>
      <c r="U50" t="n">
        <v>3105.1</v>
      </c>
      <c r="V50" t="n">
        <v>2813.3</v>
      </c>
      <c r="W50" t="n">
        <v>2311.3</v>
      </c>
      <c r="X50" t="n">
        <v>2455.7</v>
      </c>
      <c r="Y50" t="n">
        <v>2701.2</v>
      </c>
      <c r="Z50" t="n">
        <v>2990.6</v>
      </c>
      <c r="AA50" t="n">
        <v>3093.6</v>
      </c>
      <c r="AB50" t="n">
        <v>3894.1</v>
      </c>
      <c r="AC50" t="n">
        <v>4265</v>
      </c>
      <c r="AD50" t="n">
        <v>5252.4</v>
      </c>
      <c r="AE50" t="n">
        <v>5320.7</v>
      </c>
      <c r="AF50" t="n">
        <v>6077.1</v>
      </c>
    </row>
    <row r="51">
      <c r="A51" t="s">
        <v>11</v>
      </c>
      <c r="B51" t="s">
        <v>372</v>
      </c>
      <c r="C51" t="s">
        <v>246</v>
      </c>
      <c r="D51" t="s">
        <v>373</v>
      </c>
      <c r="E51" t="s">
        <v>247</v>
      </c>
      <c r="F51" t="n">
        <v>1527.5</v>
      </c>
      <c r="G51" t="n">
        <v>1516.9</v>
      </c>
      <c r="H51" t="n">
        <v>1575.6</v>
      </c>
      <c r="I51" t="n">
        <v>1873.1</v>
      </c>
      <c r="J51" t="n">
        <v>1885.9</v>
      </c>
      <c r="K51" t="n">
        <v>2119.3</v>
      </c>
      <c r="L51" t="n">
        <v>2416.6</v>
      </c>
      <c r="M51" t="n">
        <v>2235.8</v>
      </c>
      <c r="N51" t="n">
        <v>2292</v>
      </c>
      <c r="O51" t="n">
        <v>2174.2</v>
      </c>
      <c r="P51" t="n">
        <v>2406.5</v>
      </c>
      <c r="Q51" t="n">
        <v>3012.6</v>
      </c>
      <c r="R51" t="n">
        <v>2809.3</v>
      </c>
      <c r="S51" t="n">
        <v>2396.3</v>
      </c>
      <c r="T51" t="n">
        <v>2872.1</v>
      </c>
      <c r="U51" t="n">
        <v>2901.5</v>
      </c>
      <c r="V51" t="n">
        <v>2600.1</v>
      </c>
      <c r="W51" t="n">
        <v>2096.9</v>
      </c>
      <c r="X51" t="n">
        <v>2280</v>
      </c>
      <c r="Y51" t="n">
        <v>2554.9</v>
      </c>
      <c r="Z51" t="n">
        <v>2861.5</v>
      </c>
      <c r="AA51" t="n">
        <v>2927.6</v>
      </c>
      <c r="AB51" t="n">
        <v>3759.4</v>
      </c>
      <c r="AC51" t="n">
        <v>4097.6</v>
      </c>
      <c r="AD51" t="n">
        <v>5030.2</v>
      </c>
      <c r="AE51" t="n">
        <v>5132.7</v>
      </c>
      <c r="AF51" t="n">
        <v>5831.8</v>
      </c>
    </row>
    <row r="52">
      <c r="A52" t="s">
        <v>11</v>
      </c>
      <c r="B52" t="s">
        <v>374</v>
      </c>
      <c r="C52" t="s">
        <v>246</v>
      </c>
      <c r="D52" t="s">
        <v>375</v>
      </c>
      <c r="E52" t="s">
        <v>247</v>
      </c>
      <c r="F52" t="n">
        <v>131.1</v>
      </c>
      <c r="G52" t="n">
        <v>131.3</v>
      </c>
      <c r="H52" t="n">
        <v>137.8</v>
      </c>
      <c r="I52" t="n">
        <v>164.6</v>
      </c>
      <c r="J52" t="n">
        <v>175.6</v>
      </c>
      <c r="K52" t="n">
        <v>186.1</v>
      </c>
      <c r="L52" t="n">
        <v>192.9</v>
      </c>
      <c r="M52" t="n">
        <v>179</v>
      </c>
      <c r="N52" t="n">
        <v>192.6</v>
      </c>
      <c r="O52" t="n">
        <v>212.5</v>
      </c>
      <c r="P52" t="n">
        <v>221.7</v>
      </c>
      <c r="Q52" t="n">
        <v>221.2</v>
      </c>
      <c r="R52" t="n">
        <v>251.6</v>
      </c>
      <c r="S52" t="n">
        <v>202.5</v>
      </c>
      <c r="T52" t="n">
        <v>168.2</v>
      </c>
      <c r="U52" t="n">
        <v>203.6</v>
      </c>
      <c r="V52" t="n">
        <v>213.2</v>
      </c>
      <c r="W52" t="n">
        <v>214.4</v>
      </c>
      <c r="X52" t="n">
        <v>175.7</v>
      </c>
      <c r="Y52" t="n">
        <v>146.3</v>
      </c>
      <c r="Z52" t="n">
        <v>129.1</v>
      </c>
      <c r="AA52" t="n">
        <v>166</v>
      </c>
      <c r="AB52" t="n">
        <v>134.7</v>
      </c>
      <c r="AC52" t="n">
        <v>167.4</v>
      </c>
      <c r="AD52" t="n">
        <v>222.2</v>
      </c>
      <c r="AE52" t="n">
        <v>188</v>
      </c>
      <c r="AF52" t="n">
        <v>245.3</v>
      </c>
    </row>
    <row r="53">
      <c r="A53" t="s">
        <v>11</v>
      </c>
      <c r="B53" t="s">
        <v>376</v>
      </c>
      <c r="C53" t="s">
        <v>246</v>
      </c>
      <c r="D53" t="s">
        <v>377</v>
      </c>
      <c r="E53" t="s">
        <v>247</v>
      </c>
      <c r="F53" t="n">
        <v>690</v>
      </c>
      <c r="G53" t="n">
        <v>872.7</v>
      </c>
      <c r="H53" t="n">
        <v>967.6</v>
      </c>
      <c r="I53" t="n">
        <v>993.5</v>
      </c>
      <c r="J53" t="n">
        <v>969.2</v>
      </c>
      <c r="K53" t="n">
        <v>1040.9</v>
      </c>
      <c r="L53" t="n">
        <v>1195.3</v>
      </c>
      <c r="M53" t="n">
        <v>1281</v>
      </c>
      <c r="N53" t="n">
        <v>1100.6</v>
      </c>
      <c r="O53" t="n">
        <v>1229.2</v>
      </c>
      <c r="P53" t="n">
        <v>1352.6</v>
      </c>
      <c r="Q53" t="n">
        <v>1415.9</v>
      </c>
      <c r="R53" t="n">
        <v>1430.4</v>
      </c>
      <c r="S53" t="n">
        <v>1042.8</v>
      </c>
      <c r="T53" t="n">
        <v>1201.6</v>
      </c>
      <c r="U53" t="n">
        <v>1182.5</v>
      </c>
      <c r="V53" t="n">
        <v>1249.1</v>
      </c>
      <c r="W53" t="n">
        <v>943.1</v>
      </c>
      <c r="X53" t="n">
        <v>1052</v>
      </c>
      <c r="Y53" t="n">
        <v>982.7</v>
      </c>
      <c r="Z53" t="n">
        <v>1026.4</v>
      </c>
      <c r="AA53" t="n">
        <v>1255.5</v>
      </c>
      <c r="AB53" t="n">
        <v>1259.8</v>
      </c>
      <c r="AC53" t="n">
        <v>1287.3</v>
      </c>
      <c r="AD53" t="n">
        <v>1395.6</v>
      </c>
      <c r="AE53" t="n">
        <v>1052.1</v>
      </c>
      <c r="AF53" t="n">
        <v>1307.8</v>
      </c>
    </row>
    <row r="54">
      <c r="A54" t="s">
        <v>11</v>
      </c>
      <c r="B54" t="s">
        <v>378</v>
      </c>
      <c r="C54" t="s">
        <v>246</v>
      </c>
      <c r="D54" t="s">
        <v>379</v>
      </c>
      <c r="E54" t="s">
        <v>247</v>
      </c>
      <c r="F54" t="n">
        <v>1152.2</v>
      </c>
      <c r="G54" t="n">
        <v>1464.1</v>
      </c>
      <c r="H54" t="n">
        <v>1639</v>
      </c>
      <c r="I54" t="n">
        <v>1650.7</v>
      </c>
      <c r="J54" t="n">
        <v>1625.3</v>
      </c>
      <c r="K54" t="n">
        <v>1738.2</v>
      </c>
      <c r="L54" t="n">
        <v>1898.1</v>
      </c>
      <c r="M54" t="n">
        <v>2117.4</v>
      </c>
      <c r="N54" t="n">
        <v>1866.9</v>
      </c>
      <c r="O54" t="n">
        <v>1990</v>
      </c>
      <c r="P54" t="n">
        <v>2306.8</v>
      </c>
      <c r="Q54" t="n">
        <v>2447.7</v>
      </c>
      <c r="R54" t="n">
        <v>2342.3</v>
      </c>
      <c r="S54" t="n">
        <v>2221.2</v>
      </c>
      <c r="T54" t="n">
        <v>1862.8</v>
      </c>
      <c r="U54" t="n">
        <v>2056.5</v>
      </c>
      <c r="V54" t="n">
        <v>2115.2</v>
      </c>
      <c r="W54" t="n">
        <v>1852.5</v>
      </c>
      <c r="X54" t="n">
        <v>1756.1</v>
      </c>
      <c r="Y54" t="n">
        <v>1644</v>
      </c>
      <c r="Z54" t="n">
        <v>1736.2</v>
      </c>
      <c r="AA54" t="n">
        <v>2169.8</v>
      </c>
      <c r="AB54" t="n">
        <v>2287.4</v>
      </c>
      <c r="AC54" t="n">
        <v>2081.2</v>
      </c>
      <c r="AD54" t="n">
        <v>2257.4</v>
      </c>
      <c r="AE54" t="n">
        <v>1659.2</v>
      </c>
      <c r="AF54" t="n">
        <v>2154.3</v>
      </c>
    </row>
    <row r="55">
      <c r="A55" t="s">
        <v>11</v>
      </c>
      <c r="B55" t="s">
        <v>380</v>
      </c>
      <c r="C55" t="s">
        <v>246</v>
      </c>
      <c r="D55" t="s">
        <v>381</v>
      </c>
      <c r="E55" t="s">
        <v>247</v>
      </c>
      <c r="F55" t="n">
        <v>462.2</v>
      </c>
      <c r="G55" t="n">
        <v>591.4</v>
      </c>
      <c r="H55" t="n">
        <v>671.4</v>
      </c>
      <c r="I55" t="n">
        <v>657.2</v>
      </c>
      <c r="J55" t="n">
        <v>656.1</v>
      </c>
      <c r="K55" t="n">
        <v>697.3</v>
      </c>
      <c r="L55" t="n">
        <v>702.8</v>
      </c>
      <c r="M55" t="n">
        <v>836.4</v>
      </c>
      <c r="N55" t="n">
        <v>766.3</v>
      </c>
      <c r="O55" t="n">
        <v>760.8</v>
      </c>
      <c r="P55" t="n">
        <v>954.2</v>
      </c>
      <c r="Q55" t="n">
        <v>1031.8</v>
      </c>
      <c r="R55" t="n">
        <v>911.9</v>
      </c>
      <c r="S55" t="n">
        <v>1178.4</v>
      </c>
      <c r="T55" t="n">
        <v>661.2</v>
      </c>
      <c r="U55" t="n">
        <v>874</v>
      </c>
      <c r="V55" t="n">
        <v>866.1</v>
      </c>
      <c r="W55" t="n">
        <v>909.4</v>
      </c>
      <c r="X55" t="n">
        <v>704.1</v>
      </c>
      <c r="Y55" t="n">
        <v>661.3</v>
      </c>
      <c r="Z55" t="n">
        <v>709.8</v>
      </c>
      <c r="AA55" t="n">
        <v>914.3</v>
      </c>
      <c r="AB55" t="n">
        <v>1027.6</v>
      </c>
      <c r="AC55" t="n">
        <v>793.9</v>
      </c>
      <c r="AD55" t="n">
        <v>861.8</v>
      </c>
      <c r="AE55" t="n">
        <v>607.1</v>
      </c>
      <c r="AF55" t="n">
        <v>846.5</v>
      </c>
    </row>
    <row r="56">
      <c r="A56" t="s">
        <v>11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</v>
      </c>
      <c r="B57" t="s">
        <v>384</v>
      </c>
      <c r="C57" t="s">
        <v>246</v>
      </c>
      <c r="D57" t="s">
        <v>385</v>
      </c>
      <c r="E57" t="s">
        <v>247</v>
      </c>
      <c r="F57" t="n">
        <v>52901.7</v>
      </c>
      <c r="G57" t="n">
        <v>54504.5</v>
      </c>
      <c r="H57" t="n">
        <v>57816.4</v>
      </c>
      <c r="I57" t="n">
        <v>63220.7</v>
      </c>
      <c r="J57" t="n">
        <v>66173.1</v>
      </c>
      <c r="K57" t="n">
        <v>73616.1</v>
      </c>
      <c r="L57" t="n">
        <v>75835.3</v>
      </c>
      <c r="M57" t="n">
        <v>79418</v>
      </c>
      <c r="N57" t="n">
        <v>76821</v>
      </c>
      <c r="O57" t="n">
        <v>78829.9</v>
      </c>
      <c r="P57" t="n">
        <v>80862.9</v>
      </c>
      <c r="Q57" t="n">
        <v>88853.4</v>
      </c>
      <c r="R57" t="n">
        <v>92460.7</v>
      </c>
      <c r="S57" t="n">
        <v>89249.6</v>
      </c>
      <c r="T57" t="n">
        <v>78073.8</v>
      </c>
      <c r="U57" t="n">
        <v>84452</v>
      </c>
      <c r="V57" t="n">
        <v>83969.7</v>
      </c>
      <c r="W57" t="n">
        <v>77193.5</v>
      </c>
      <c r="X57" t="n">
        <v>72537.3</v>
      </c>
      <c r="Y57" t="n">
        <v>74355.4</v>
      </c>
      <c r="Z57" t="n">
        <v>75736.8</v>
      </c>
      <c r="AA57" t="n">
        <v>80987.5</v>
      </c>
      <c r="AB57" t="n">
        <v>85139.2</v>
      </c>
      <c r="AC57" t="n">
        <v>91488.1</v>
      </c>
      <c r="AD57" t="n">
        <v>91793.6</v>
      </c>
      <c r="AE57" t="n">
        <v>82666.7</v>
      </c>
      <c r="AF57" t="n">
        <v>100054</v>
      </c>
    </row>
    <row r="58">
      <c r="A58" t="s">
        <v>11</v>
      </c>
      <c r="B58" t="s">
        <v>386</v>
      </c>
      <c r="C58" t="s">
        <v>246</v>
      </c>
      <c r="D58" t="s">
        <v>387</v>
      </c>
      <c r="E58" t="s">
        <v>247</v>
      </c>
      <c r="F58" t="n">
        <v>52901.7</v>
      </c>
      <c r="G58" t="n">
        <v>54504.5</v>
      </c>
      <c r="H58" t="n">
        <v>57816.4</v>
      </c>
      <c r="I58" t="n">
        <v>63220.7</v>
      </c>
      <c r="J58" t="n">
        <v>66173.1</v>
      </c>
      <c r="K58" t="n">
        <v>73616.1</v>
      </c>
      <c r="L58" t="n">
        <v>75835.3</v>
      </c>
      <c r="M58" t="n">
        <v>79418</v>
      </c>
      <c r="N58" t="n">
        <v>76821</v>
      </c>
      <c r="O58" t="n">
        <v>78829.9</v>
      </c>
      <c r="P58" t="n">
        <v>80862.9</v>
      </c>
      <c r="Q58" t="n">
        <v>88853.4</v>
      </c>
      <c r="R58" t="n">
        <v>92460.7</v>
      </c>
      <c r="S58" t="n">
        <v>89249.6</v>
      </c>
      <c r="T58" t="n">
        <v>78073.8</v>
      </c>
      <c r="U58" t="n">
        <v>84452</v>
      </c>
      <c r="V58" t="n">
        <v>83969.7</v>
      </c>
      <c r="W58" t="n">
        <v>77193.5</v>
      </c>
      <c r="X58" t="n">
        <v>72537.3</v>
      </c>
      <c r="Y58" t="n">
        <v>74355.4</v>
      </c>
      <c r="Z58" t="n">
        <v>75736.8</v>
      </c>
      <c r="AA58" t="n">
        <v>80987.5</v>
      </c>
      <c r="AB58" t="n">
        <v>85139.2</v>
      </c>
      <c r="AC58" t="n">
        <v>91488.1</v>
      </c>
      <c r="AD58" t="n">
        <v>91793.6</v>
      </c>
      <c r="AE58" t="n">
        <v>82666.7</v>
      </c>
      <c r="AF58" t="n">
        <v>100054</v>
      </c>
    </row>
    <row r="59">
      <c r="A59" t="s">
        <v>11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</v>
      </c>
      <c r="B2" t="s">
        <v>197</v>
      </c>
      <c r="C2" t="s">
        <v>246</v>
      </c>
      <c r="D2" t="s">
        <v>199</v>
      </c>
      <c r="E2" t="s">
        <v>247</v>
      </c>
      <c r="F2" t="n">
        <v>1282.8</v>
      </c>
      <c r="G2" t="n">
        <v>1277.2</v>
      </c>
      <c r="H2" t="n">
        <v>1409.8</v>
      </c>
      <c r="I2" t="n">
        <v>1435.7</v>
      </c>
      <c r="J2" t="n">
        <v>1681.5</v>
      </c>
      <c r="K2" t="n">
        <v>2024.4</v>
      </c>
      <c r="L2" t="n">
        <v>1986.9</v>
      </c>
      <c r="M2" t="n">
        <v>2235.6</v>
      </c>
      <c r="N2" t="n">
        <v>2401.6</v>
      </c>
      <c r="O2" t="n">
        <v>2285.2</v>
      </c>
      <c r="P2" t="n">
        <v>2620.4</v>
      </c>
      <c r="Q2" t="n">
        <v>2925.8</v>
      </c>
      <c r="R2" t="n">
        <v>2705.7</v>
      </c>
      <c r="S2" t="n">
        <v>2602.6</v>
      </c>
      <c r="T2" t="n">
        <v>2185.1</v>
      </c>
      <c r="U2" t="n">
        <v>1990.9</v>
      </c>
      <c r="V2" t="n">
        <v>2728.5</v>
      </c>
      <c r="W2" t="n">
        <v>2510.3</v>
      </c>
      <c r="X2" t="n">
        <v>1667.2</v>
      </c>
      <c r="Y2" t="n">
        <v>1314.3</v>
      </c>
      <c r="Z2" t="n">
        <v>1386.1</v>
      </c>
      <c r="AA2" t="n">
        <v>1561.9</v>
      </c>
      <c r="AB2" t="n">
        <v>2035.2</v>
      </c>
      <c r="AC2" t="n">
        <v>2366.5</v>
      </c>
      <c r="AD2" t="n">
        <v>2553.6</v>
      </c>
      <c r="AE2" t="n">
        <v>2388.5</v>
      </c>
      <c r="AF2" t="n">
        <v>2524.9</v>
      </c>
    </row>
    <row r="3">
      <c r="A3" t="s">
        <v>13</v>
      </c>
      <c r="B3" t="s">
        <v>276</v>
      </c>
      <c r="C3" t="s">
        <v>246</v>
      </c>
      <c r="D3" t="s">
        <v>277</v>
      </c>
      <c r="E3" t="s">
        <v>247</v>
      </c>
      <c r="F3" t="n">
        <v>910.3</v>
      </c>
      <c r="G3" t="n">
        <v>857.3</v>
      </c>
      <c r="H3" t="n">
        <v>788.5</v>
      </c>
      <c r="I3" t="n">
        <v>842.3</v>
      </c>
      <c r="J3" t="n">
        <v>782.2</v>
      </c>
      <c r="K3" t="n">
        <v>1001</v>
      </c>
      <c r="L3" t="n">
        <v>1180.8</v>
      </c>
      <c r="M3" t="n">
        <v>976.5</v>
      </c>
      <c r="N3" t="n">
        <v>1148.8</v>
      </c>
      <c r="O3" t="n">
        <v>1346.2</v>
      </c>
      <c r="P3" t="n">
        <v>1371.3</v>
      </c>
      <c r="Q3" t="n">
        <v>1242.1</v>
      </c>
      <c r="R3" t="n">
        <v>1339.6</v>
      </c>
      <c r="S3" t="n">
        <v>1114.2</v>
      </c>
      <c r="T3" t="n">
        <v>1103.3</v>
      </c>
      <c r="U3" t="n">
        <v>1341.7</v>
      </c>
      <c r="V3" t="n">
        <v>1448.8</v>
      </c>
      <c r="W3" t="n">
        <v>1265.7</v>
      </c>
      <c r="X3" t="n">
        <v>1096.8</v>
      </c>
      <c r="Y3" t="n">
        <v>1728.3</v>
      </c>
      <c r="Z3" t="n">
        <v>1483.4</v>
      </c>
      <c r="AA3" t="n">
        <v>490.3</v>
      </c>
      <c r="AB3" t="n">
        <v>394.7</v>
      </c>
      <c r="AC3" t="n">
        <v>1432.3</v>
      </c>
      <c r="AD3" t="n">
        <v>1108.8</v>
      </c>
      <c r="AE3" t="n">
        <v>735.5</v>
      </c>
      <c r="AF3" t="n">
        <v>916.2</v>
      </c>
    </row>
    <row r="4">
      <c r="A4" t="s">
        <v>13</v>
      </c>
      <c r="B4" t="s">
        <v>278</v>
      </c>
      <c r="C4" t="s">
        <v>246</v>
      </c>
      <c r="D4" t="s">
        <v>279</v>
      </c>
      <c r="E4" t="s">
        <v>247</v>
      </c>
      <c r="F4" t="n">
        <v>3198.7</v>
      </c>
      <c r="G4" t="n">
        <v>3136.9</v>
      </c>
      <c r="H4" t="n">
        <v>3494.3</v>
      </c>
      <c r="I4" t="n">
        <v>3286.3</v>
      </c>
      <c r="J4" t="n">
        <v>3712.6</v>
      </c>
      <c r="K4" t="n">
        <v>4165.5</v>
      </c>
      <c r="L4" t="n">
        <v>4486.2</v>
      </c>
      <c r="M4" t="n">
        <v>5272.1</v>
      </c>
      <c r="N4" t="n">
        <v>5211.8</v>
      </c>
      <c r="O4" t="n">
        <v>5295.5</v>
      </c>
      <c r="P4" t="n">
        <v>5247.9</v>
      </c>
      <c r="Q4" t="n">
        <v>5502.1</v>
      </c>
      <c r="R4" t="n">
        <v>5602.5</v>
      </c>
      <c r="S4" t="n">
        <v>5731.3</v>
      </c>
      <c r="T4" t="n">
        <v>5054.9</v>
      </c>
      <c r="U4" t="n">
        <v>5270</v>
      </c>
      <c r="V4" t="n">
        <v>5685.9</v>
      </c>
      <c r="W4" t="n">
        <v>5508.3</v>
      </c>
      <c r="X4" t="n">
        <v>4035.9</v>
      </c>
      <c r="Y4" t="n">
        <v>3771.2</v>
      </c>
      <c r="Z4" t="n">
        <v>4458.4</v>
      </c>
      <c r="AA4" t="n">
        <v>5228.1</v>
      </c>
      <c r="AB4" t="n">
        <v>4607.4</v>
      </c>
      <c r="AC4" t="n">
        <v>4794.5</v>
      </c>
      <c r="AD4" t="n">
        <v>4014.7</v>
      </c>
      <c r="AE4" t="n">
        <v>4961.6</v>
      </c>
      <c r="AF4" t="n">
        <v>4757.6</v>
      </c>
    </row>
    <row r="5">
      <c r="A5" t="s">
        <v>13</v>
      </c>
      <c r="B5" t="s">
        <v>280</v>
      </c>
      <c r="C5" t="s">
        <v>246</v>
      </c>
      <c r="D5" t="s">
        <v>281</v>
      </c>
      <c r="E5" t="s">
        <v>247</v>
      </c>
      <c r="F5" t="n">
        <v>376.9</v>
      </c>
      <c r="G5" t="n">
        <v>454.3</v>
      </c>
      <c r="H5" t="n">
        <v>366.2</v>
      </c>
      <c r="I5" t="n">
        <v>470.4</v>
      </c>
      <c r="J5" t="n">
        <v>479.6</v>
      </c>
      <c r="K5" t="n">
        <v>560</v>
      </c>
      <c r="L5" t="n">
        <v>667.1</v>
      </c>
      <c r="M5" t="n">
        <v>757.3</v>
      </c>
      <c r="N5" t="n">
        <v>699.7</v>
      </c>
      <c r="O5" t="n">
        <v>724.4</v>
      </c>
      <c r="P5" t="n">
        <v>735.1</v>
      </c>
      <c r="Q5" t="n">
        <v>815.2</v>
      </c>
      <c r="R5" t="n">
        <v>787.8</v>
      </c>
      <c r="S5" t="n">
        <v>780.9</v>
      </c>
      <c r="T5" t="n">
        <v>582.9</v>
      </c>
      <c r="U5" t="n">
        <v>757.3</v>
      </c>
      <c r="V5" t="n">
        <v>816.9</v>
      </c>
      <c r="W5" t="n">
        <v>1187.3</v>
      </c>
      <c r="X5" t="n">
        <v>755.7</v>
      </c>
      <c r="Y5" t="n">
        <v>724.8</v>
      </c>
      <c r="Z5" t="n">
        <v>860.2</v>
      </c>
      <c r="AA5" t="n">
        <v>948.1</v>
      </c>
      <c r="AB5" t="n">
        <v>883.4</v>
      </c>
      <c r="AC5" t="n">
        <v>775.4</v>
      </c>
      <c r="AD5" t="n">
        <v>788</v>
      </c>
      <c r="AE5" t="n">
        <v>548.8</v>
      </c>
      <c r="AF5" t="n">
        <v>699.7</v>
      </c>
    </row>
    <row r="6">
      <c r="A6" t="s">
        <v>13</v>
      </c>
      <c r="B6" t="s">
        <v>282</v>
      </c>
      <c r="C6" t="s">
        <v>246</v>
      </c>
      <c r="D6" t="s">
        <v>283</v>
      </c>
      <c r="E6" t="s">
        <v>247</v>
      </c>
      <c r="F6" t="n">
        <v>215.8</v>
      </c>
      <c r="G6" t="n">
        <v>230.2</v>
      </c>
      <c r="H6" t="n">
        <v>228.8</v>
      </c>
      <c r="I6" t="n">
        <v>247.9</v>
      </c>
      <c r="J6" t="n">
        <v>256.7</v>
      </c>
      <c r="K6" t="n">
        <v>295.9</v>
      </c>
      <c r="L6" t="n">
        <v>302.8</v>
      </c>
      <c r="M6" t="n">
        <v>381.5</v>
      </c>
      <c r="N6" t="n">
        <v>424.8</v>
      </c>
      <c r="O6" t="n">
        <v>407.1</v>
      </c>
      <c r="P6" t="n">
        <v>386.9</v>
      </c>
      <c r="Q6" t="n">
        <v>404.6</v>
      </c>
      <c r="R6" t="n">
        <v>379.8</v>
      </c>
      <c r="S6" t="n">
        <v>351.1</v>
      </c>
      <c r="T6" t="n">
        <v>375</v>
      </c>
      <c r="U6" t="n">
        <v>347.8</v>
      </c>
      <c r="V6" t="n">
        <v>375.1</v>
      </c>
      <c r="W6" t="n">
        <v>570.8</v>
      </c>
      <c r="X6" t="n">
        <v>317.2</v>
      </c>
      <c r="Y6" t="n">
        <v>345.5</v>
      </c>
      <c r="Z6" t="n">
        <v>325.6</v>
      </c>
      <c r="AA6" t="n">
        <v>326.7</v>
      </c>
      <c r="AB6" t="n">
        <v>230.2</v>
      </c>
      <c r="AC6" t="n">
        <v>440.8</v>
      </c>
      <c r="AD6" t="n">
        <v>236.6</v>
      </c>
      <c r="AE6" t="n">
        <v>201.4</v>
      </c>
      <c r="AF6" t="n">
        <v>269.8</v>
      </c>
    </row>
    <row r="7">
      <c r="A7" t="s">
        <v>13</v>
      </c>
      <c r="B7" t="s">
        <v>284</v>
      </c>
      <c r="C7" t="s">
        <v>246</v>
      </c>
      <c r="D7" t="s">
        <v>285</v>
      </c>
      <c r="E7" t="s">
        <v>247</v>
      </c>
      <c r="F7" t="n">
        <v>164.1</v>
      </c>
      <c r="G7" t="n">
        <v>154.2</v>
      </c>
      <c r="H7" t="n">
        <v>165.6</v>
      </c>
      <c r="I7" t="n">
        <v>172.5</v>
      </c>
      <c r="J7" t="n">
        <v>196.6</v>
      </c>
      <c r="K7" t="n">
        <v>253.8</v>
      </c>
      <c r="L7" t="n">
        <v>222.2</v>
      </c>
      <c r="M7" t="n">
        <v>287.5</v>
      </c>
      <c r="N7" t="n">
        <v>275.4</v>
      </c>
      <c r="O7" t="n">
        <v>255.7</v>
      </c>
      <c r="P7" t="n">
        <v>279</v>
      </c>
      <c r="Q7" t="n">
        <v>266.9</v>
      </c>
      <c r="R7" t="n">
        <v>274.4</v>
      </c>
      <c r="S7" t="n">
        <v>315.4</v>
      </c>
      <c r="T7" t="n">
        <v>230.9</v>
      </c>
      <c r="U7" t="n">
        <v>276.9</v>
      </c>
      <c r="V7" t="n">
        <v>298.6</v>
      </c>
      <c r="W7" t="n">
        <v>245.4</v>
      </c>
      <c r="X7" t="n">
        <v>233.7</v>
      </c>
      <c r="Y7" t="n">
        <v>183.7</v>
      </c>
      <c r="Z7" t="n">
        <v>310.8</v>
      </c>
      <c r="AA7" t="n">
        <v>488.8</v>
      </c>
      <c r="AB7" t="n">
        <v>358.9</v>
      </c>
      <c r="AC7" t="n">
        <v>338.8</v>
      </c>
      <c r="AD7" t="n">
        <v>161.3</v>
      </c>
      <c r="AE7" t="n">
        <v>253.8</v>
      </c>
      <c r="AF7" t="n">
        <v>270</v>
      </c>
    </row>
    <row r="8">
      <c r="A8" t="s">
        <v>13</v>
      </c>
      <c r="B8" t="s">
        <v>286</v>
      </c>
      <c r="C8" t="s">
        <v>246</v>
      </c>
      <c r="D8" t="s">
        <v>287</v>
      </c>
      <c r="E8" t="s">
        <v>247</v>
      </c>
      <c r="F8" t="n">
        <v>208.4</v>
      </c>
      <c r="G8" t="n">
        <v>113.1</v>
      </c>
      <c r="H8" t="n">
        <v>178</v>
      </c>
      <c r="I8" t="n">
        <v>187.9</v>
      </c>
      <c r="J8" t="n">
        <v>246.9</v>
      </c>
      <c r="K8" t="n">
        <v>257.4</v>
      </c>
      <c r="L8" t="n">
        <v>316.2</v>
      </c>
      <c r="M8" t="n">
        <v>260.8</v>
      </c>
      <c r="N8" t="n">
        <v>312.5</v>
      </c>
      <c r="O8" t="n">
        <v>376.6</v>
      </c>
      <c r="P8" t="n">
        <v>378.3</v>
      </c>
      <c r="Q8" t="n">
        <v>344.2</v>
      </c>
      <c r="R8" t="n">
        <v>363.6</v>
      </c>
      <c r="S8" t="n">
        <v>308.6</v>
      </c>
      <c r="T8" t="n">
        <v>238.1</v>
      </c>
      <c r="U8" t="n">
        <v>324.1</v>
      </c>
      <c r="V8" t="n">
        <v>349.9</v>
      </c>
      <c r="W8" t="n">
        <v>276.1</v>
      </c>
      <c r="X8" t="n">
        <v>144.7</v>
      </c>
      <c r="Y8" t="n">
        <v>118.4</v>
      </c>
      <c r="Z8" t="n">
        <v>96.4</v>
      </c>
      <c r="AA8" t="n">
        <v>147.5</v>
      </c>
      <c r="AB8" t="n">
        <v>268.4</v>
      </c>
      <c r="AC8" t="n">
        <v>268.4</v>
      </c>
      <c r="AD8" t="n">
        <v>263.2</v>
      </c>
      <c r="AE8" t="n">
        <v>159.5</v>
      </c>
      <c r="AF8" t="n">
        <v>89.1</v>
      </c>
    </row>
    <row r="9">
      <c r="A9" t="s">
        <v>13</v>
      </c>
      <c r="B9" t="s">
        <v>288</v>
      </c>
      <c r="C9" t="s">
        <v>246</v>
      </c>
      <c r="D9" t="s">
        <v>289</v>
      </c>
      <c r="E9" t="s">
        <v>247</v>
      </c>
      <c r="F9" t="n">
        <v>226.4</v>
      </c>
      <c r="G9" t="n">
        <v>210.9</v>
      </c>
      <c r="H9" t="n">
        <v>193.5</v>
      </c>
      <c r="I9" t="n">
        <v>183.3</v>
      </c>
      <c r="J9" t="n">
        <v>217.2</v>
      </c>
      <c r="K9" t="n">
        <v>287.5</v>
      </c>
      <c r="L9" t="n">
        <v>299.3</v>
      </c>
      <c r="M9" t="n">
        <v>339</v>
      </c>
      <c r="N9" t="n">
        <v>397.7</v>
      </c>
      <c r="O9" t="n">
        <v>327.9</v>
      </c>
      <c r="P9" t="n">
        <v>318.3</v>
      </c>
      <c r="Q9" t="n">
        <v>359.9</v>
      </c>
      <c r="R9" t="n">
        <v>376.6</v>
      </c>
      <c r="S9" t="n">
        <v>385</v>
      </c>
      <c r="T9" t="n">
        <v>324.1</v>
      </c>
      <c r="U9" t="n">
        <v>359.5</v>
      </c>
      <c r="V9" t="n">
        <v>387.9</v>
      </c>
      <c r="W9" t="n">
        <v>300.6</v>
      </c>
      <c r="X9" t="n">
        <v>128.5</v>
      </c>
      <c r="Y9" t="n">
        <v>128</v>
      </c>
      <c r="Z9" t="n">
        <v>265.2</v>
      </c>
      <c r="AA9" t="n">
        <v>220.3</v>
      </c>
      <c r="AB9" t="n">
        <v>160.8</v>
      </c>
      <c r="AC9" t="n">
        <v>143.5</v>
      </c>
      <c r="AD9" t="n">
        <v>105.9</v>
      </c>
      <c r="AE9" t="n">
        <v>176.6</v>
      </c>
      <c r="AF9" t="n">
        <v>173</v>
      </c>
    </row>
    <row r="10">
      <c r="A10" t="s">
        <v>13</v>
      </c>
      <c r="B10" t="s">
        <v>290</v>
      </c>
      <c r="C10" t="s">
        <v>246</v>
      </c>
      <c r="D10" t="s">
        <v>291</v>
      </c>
      <c r="E10" t="s">
        <v>247</v>
      </c>
      <c r="F10" t="n">
        <v>335</v>
      </c>
      <c r="G10" t="n">
        <v>277.3</v>
      </c>
      <c r="H10" t="n">
        <v>282.3</v>
      </c>
      <c r="I10" t="n">
        <v>297.4</v>
      </c>
      <c r="J10" t="n">
        <v>330.7</v>
      </c>
      <c r="K10" t="n">
        <v>430.4</v>
      </c>
      <c r="L10" t="n">
        <v>447.8</v>
      </c>
      <c r="M10" t="n">
        <v>516.3</v>
      </c>
      <c r="N10" t="n">
        <v>575.2</v>
      </c>
      <c r="O10" t="n">
        <v>536.9</v>
      </c>
      <c r="P10" t="n">
        <v>487.4</v>
      </c>
      <c r="Q10" t="n">
        <v>537.5</v>
      </c>
      <c r="R10" t="n">
        <v>583.4</v>
      </c>
      <c r="S10" t="n">
        <v>579.7</v>
      </c>
      <c r="T10" t="n">
        <v>536.2</v>
      </c>
      <c r="U10" t="n">
        <v>556.6</v>
      </c>
      <c r="V10" t="n">
        <v>600.5</v>
      </c>
      <c r="W10" t="n">
        <v>495.7</v>
      </c>
      <c r="X10" t="n">
        <v>307.3</v>
      </c>
      <c r="Y10" t="n">
        <v>316.1</v>
      </c>
      <c r="Z10" t="n">
        <v>428.3</v>
      </c>
      <c r="AA10" t="n">
        <v>354.4</v>
      </c>
      <c r="AB10" t="n">
        <v>314.2</v>
      </c>
      <c r="AC10" t="n">
        <v>272.9</v>
      </c>
      <c r="AD10" t="n">
        <v>209.8</v>
      </c>
      <c r="AE10" t="n">
        <v>317.2</v>
      </c>
      <c r="AF10" t="n">
        <v>371.9</v>
      </c>
    </row>
    <row r="11">
      <c r="A11" t="s">
        <v>13</v>
      </c>
      <c r="B11" t="s">
        <v>292</v>
      </c>
      <c r="C11" t="s">
        <v>246</v>
      </c>
      <c r="D11" t="s">
        <v>293</v>
      </c>
      <c r="E11" t="s">
        <v>247</v>
      </c>
      <c r="F11" t="n">
        <v>108.6</v>
      </c>
      <c r="G11" t="n">
        <v>66.4</v>
      </c>
      <c r="H11" t="n">
        <v>88.8</v>
      </c>
      <c r="I11" t="n">
        <v>114.1</v>
      </c>
      <c r="J11" t="n">
        <v>113.5</v>
      </c>
      <c r="K11" t="n">
        <v>142.9</v>
      </c>
      <c r="L11" t="n">
        <v>148.5</v>
      </c>
      <c r="M11" t="n">
        <v>177.3</v>
      </c>
      <c r="N11" t="n">
        <v>177.5</v>
      </c>
      <c r="O11" t="n">
        <v>209</v>
      </c>
      <c r="P11" t="n">
        <v>169.1</v>
      </c>
      <c r="Q11" t="n">
        <v>177.6</v>
      </c>
      <c r="R11" t="n">
        <v>206.8</v>
      </c>
      <c r="S11" t="n">
        <v>194.7</v>
      </c>
      <c r="T11" t="n">
        <v>212.1</v>
      </c>
      <c r="U11" t="n">
        <v>197.1</v>
      </c>
      <c r="V11" t="n">
        <v>212.6</v>
      </c>
      <c r="W11" t="n">
        <v>195.1</v>
      </c>
      <c r="X11" t="n">
        <v>178.8</v>
      </c>
      <c r="Y11" t="n">
        <v>188.1</v>
      </c>
      <c r="Z11" t="n">
        <v>163.1</v>
      </c>
      <c r="AA11" t="n">
        <v>134.1</v>
      </c>
      <c r="AB11" t="n">
        <v>153.4</v>
      </c>
      <c r="AC11" t="n">
        <v>129.4</v>
      </c>
      <c r="AD11" t="n">
        <v>103.9</v>
      </c>
      <c r="AE11" t="n">
        <v>140.6</v>
      </c>
      <c r="AF11" t="n">
        <v>198.9</v>
      </c>
    </row>
    <row r="12">
      <c r="A12" t="s">
        <v>13</v>
      </c>
      <c r="B12" t="s">
        <v>294</v>
      </c>
      <c r="C12" t="s">
        <v>246</v>
      </c>
      <c r="D12" t="s">
        <v>295</v>
      </c>
      <c r="E12" t="s">
        <v>247</v>
      </c>
      <c r="F12" t="n">
        <v>433</v>
      </c>
      <c r="G12" t="n">
        <v>380.8</v>
      </c>
      <c r="H12" t="n">
        <v>504.9</v>
      </c>
      <c r="I12" t="n">
        <v>524.2</v>
      </c>
      <c r="J12" t="n">
        <v>485.5</v>
      </c>
      <c r="K12" t="n">
        <v>615.3</v>
      </c>
      <c r="L12" t="n">
        <v>628</v>
      </c>
      <c r="M12" t="n">
        <v>810.1</v>
      </c>
      <c r="N12" t="n">
        <v>747.7</v>
      </c>
      <c r="O12" t="n">
        <v>779.1</v>
      </c>
      <c r="P12" t="n">
        <v>796.6</v>
      </c>
      <c r="Q12" t="n">
        <v>878.7</v>
      </c>
      <c r="R12" t="n">
        <v>799.8</v>
      </c>
      <c r="S12" t="n">
        <v>951.1</v>
      </c>
      <c r="T12" t="n">
        <v>728.8</v>
      </c>
      <c r="U12" t="n">
        <v>790.2</v>
      </c>
      <c r="V12" t="n">
        <v>852.6</v>
      </c>
      <c r="W12" t="n">
        <v>610.7</v>
      </c>
      <c r="X12" t="n">
        <v>603.1</v>
      </c>
      <c r="Y12" t="n">
        <v>434.1</v>
      </c>
      <c r="Z12" t="n">
        <v>345.5</v>
      </c>
      <c r="AA12" t="n">
        <v>492.2</v>
      </c>
      <c r="AB12" t="n">
        <v>493.7</v>
      </c>
      <c r="AC12" t="n">
        <v>667.1</v>
      </c>
      <c r="AD12" t="n">
        <v>367.4</v>
      </c>
      <c r="AE12" t="n">
        <v>393.9</v>
      </c>
      <c r="AF12" t="n">
        <v>503.8</v>
      </c>
    </row>
    <row r="13">
      <c r="A13" t="s">
        <v>13</v>
      </c>
      <c r="B13" t="s">
        <v>296</v>
      </c>
      <c r="C13" t="s">
        <v>246</v>
      </c>
      <c r="D13" t="s">
        <v>297</v>
      </c>
      <c r="E13" t="s">
        <v>247</v>
      </c>
      <c r="F13" t="n">
        <v>477.3</v>
      </c>
      <c r="G13" t="n">
        <v>379.3</v>
      </c>
      <c r="H13" t="n">
        <v>579.2</v>
      </c>
      <c r="I13" t="n">
        <v>487</v>
      </c>
      <c r="J13" t="n">
        <v>413.2</v>
      </c>
      <c r="K13" t="n">
        <v>582.3</v>
      </c>
      <c r="L13" t="n">
        <v>650.8</v>
      </c>
      <c r="M13" t="n">
        <v>734.2</v>
      </c>
      <c r="N13" t="n">
        <v>722.6</v>
      </c>
      <c r="O13" t="n">
        <v>775.9</v>
      </c>
      <c r="P13" t="n">
        <v>649.4</v>
      </c>
      <c r="Q13" t="n">
        <v>715.5</v>
      </c>
      <c r="R13" t="n">
        <v>810.4</v>
      </c>
      <c r="S13" t="n">
        <v>803.3</v>
      </c>
      <c r="T13" t="n">
        <v>805</v>
      </c>
      <c r="U13" t="n">
        <v>767.5</v>
      </c>
      <c r="V13" t="n">
        <v>828.2</v>
      </c>
      <c r="W13" t="n">
        <v>868.1</v>
      </c>
      <c r="X13" t="n">
        <v>656.4</v>
      </c>
      <c r="Y13" t="n">
        <v>566.3</v>
      </c>
      <c r="Z13" t="n">
        <v>566.1</v>
      </c>
      <c r="AA13" t="n">
        <v>407.4</v>
      </c>
      <c r="AB13" t="n">
        <v>586.5</v>
      </c>
      <c r="AC13" t="n">
        <v>658.2</v>
      </c>
      <c r="AD13" t="n">
        <v>402.2</v>
      </c>
      <c r="AE13" t="n">
        <v>475.4</v>
      </c>
      <c r="AF13" t="n">
        <v>644.4</v>
      </c>
    </row>
    <row r="14">
      <c r="A14" t="s">
        <v>13</v>
      </c>
      <c r="B14" t="s">
        <v>298</v>
      </c>
      <c r="C14" t="s">
        <v>246</v>
      </c>
      <c r="D14" t="s">
        <v>299</v>
      </c>
      <c r="E14" t="s">
        <v>247</v>
      </c>
      <c r="F14" t="n">
        <v>84</v>
      </c>
      <c r="G14" t="n">
        <v>128.9</v>
      </c>
      <c r="H14" t="n">
        <v>149.9</v>
      </c>
      <c r="I14" t="n">
        <v>89.2</v>
      </c>
      <c r="J14" t="n">
        <v>150.7</v>
      </c>
      <c r="K14" t="n">
        <v>126.1</v>
      </c>
      <c r="L14" t="n">
        <v>137.4</v>
      </c>
      <c r="M14" t="n">
        <v>174.2</v>
      </c>
      <c r="N14" t="n">
        <v>196.4</v>
      </c>
      <c r="O14" t="n">
        <v>151.3</v>
      </c>
      <c r="P14" t="n">
        <v>174.6</v>
      </c>
      <c r="Q14" t="n">
        <v>186.7</v>
      </c>
      <c r="R14" t="n">
        <v>204.3</v>
      </c>
      <c r="S14" t="n">
        <v>215.5</v>
      </c>
      <c r="T14" t="n">
        <v>201.3</v>
      </c>
      <c r="U14" t="n">
        <v>185.7</v>
      </c>
      <c r="V14" t="n">
        <v>200.4</v>
      </c>
      <c r="W14" t="n">
        <v>279.7</v>
      </c>
      <c r="X14" t="n">
        <v>103.5</v>
      </c>
      <c r="Y14" t="n">
        <v>236.3</v>
      </c>
      <c r="Z14" t="n">
        <v>290.1</v>
      </c>
      <c r="AA14" t="n">
        <v>618</v>
      </c>
      <c r="AB14" t="n">
        <v>392.2</v>
      </c>
      <c r="AC14" t="n">
        <v>117.1</v>
      </c>
      <c r="AD14" t="n">
        <v>121.7</v>
      </c>
      <c r="AE14" t="n">
        <v>291.7</v>
      </c>
      <c r="AF14" t="n">
        <v>175</v>
      </c>
    </row>
    <row r="15">
      <c r="A15" t="s">
        <v>13</v>
      </c>
      <c r="B15" t="s">
        <v>300</v>
      </c>
      <c r="C15" t="s">
        <v>246</v>
      </c>
      <c r="D15" t="s">
        <v>301</v>
      </c>
      <c r="E15" t="s">
        <v>247</v>
      </c>
      <c r="F15" t="n">
        <v>192.5</v>
      </c>
      <c r="G15" t="n">
        <v>203.2</v>
      </c>
      <c r="H15" t="n">
        <v>246.9</v>
      </c>
      <c r="I15" t="n">
        <v>191.1</v>
      </c>
      <c r="J15" t="n">
        <v>249.5</v>
      </c>
      <c r="K15" t="n">
        <v>251.6</v>
      </c>
      <c r="L15" t="n">
        <v>287.8</v>
      </c>
      <c r="M15" t="n">
        <v>334.2</v>
      </c>
      <c r="N15" t="n">
        <v>359.5</v>
      </c>
      <c r="O15" t="n">
        <v>324.1</v>
      </c>
      <c r="P15" t="n">
        <v>354.7</v>
      </c>
      <c r="Q15" t="n">
        <v>363.8</v>
      </c>
      <c r="R15" t="n">
        <v>391.5</v>
      </c>
      <c r="S15" t="n">
        <v>393.5</v>
      </c>
      <c r="T15" t="n">
        <v>348.5</v>
      </c>
      <c r="U15" t="n">
        <v>358.2</v>
      </c>
      <c r="V15" t="n">
        <v>386.5</v>
      </c>
      <c r="W15" t="n">
        <v>417.6</v>
      </c>
      <c r="X15" t="n">
        <v>229.2</v>
      </c>
      <c r="Y15" t="n">
        <v>363.6</v>
      </c>
      <c r="Z15" t="n">
        <v>449.1</v>
      </c>
      <c r="AA15" t="n">
        <v>754.5</v>
      </c>
      <c r="AB15" t="n">
        <v>548.5</v>
      </c>
      <c r="AC15" t="n">
        <v>265.6</v>
      </c>
      <c r="AD15" t="n">
        <v>321.1</v>
      </c>
      <c r="AE15" t="n">
        <v>465.4</v>
      </c>
      <c r="AF15" t="n">
        <v>398.6</v>
      </c>
    </row>
    <row r="16">
      <c r="A16" t="s">
        <v>13</v>
      </c>
      <c r="B16" t="s">
        <v>302</v>
      </c>
      <c r="C16" t="s">
        <v>246</v>
      </c>
      <c r="D16" t="s">
        <v>303</v>
      </c>
      <c r="E16" t="s">
        <v>247</v>
      </c>
      <c r="F16" t="n">
        <v>108.5</v>
      </c>
      <c r="G16" t="n">
        <v>74.3</v>
      </c>
      <c r="H16" t="n">
        <v>97</v>
      </c>
      <c r="I16" t="n">
        <v>101.9</v>
      </c>
      <c r="J16" t="n">
        <v>98.8</v>
      </c>
      <c r="K16" t="n">
        <v>125.5</v>
      </c>
      <c r="L16" t="n">
        <v>150.4</v>
      </c>
      <c r="M16" t="n">
        <v>160</v>
      </c>
      <c r="N16" t="n">
        <v>163.1</v>
      </c>
      <c r="O16" t="n">
        <v>172.8</v>
      </c>
      <c r="P16" t="n">
        <v>180.1</v>
      </c>
      <c r="Q16" t="n">
        <v>177.1</v>
      </c>
      <c r="R16" t="n">
        <v>187.2</v>
      </c>
      <c r="S16" t="n">
        <v>178</v>
      </c>
      <c r="T16" t="n">
        <v>147.2</v>
      </c>
      <c r="U16" t="n">
        <v>172.5</v>
      </c>
      <c r="V16" t="n">
        <v>186.1</v>
      </c>
      <c r="W16" t="n">
        <v>137.9</v>
      </c>
      <c r="X16" t="n">
        <v>125.7</v>
      </c>
      <c r="Y16" t="n">
        <v>127.3</v>
      </c>
      <c r="Z16" t="n">
        <v>159</v>
      </c>
      <c r="AA16" t="n">
        <v>136.5</v>
      </c>
      <c r="AB16" t="n">
        <v>156.3</v>
      </c>
      <c r="AC16" t="n">
        <v>148.5</v>
      </c>
      <c r="AD16" t="n">
        <v>199.4</v>
      </c>
      <c r="AE16" t="n">
        <v>173.7</v>
      </c>
      <c r="AF16" t="n">
        <v>223.6</v>
      </c>
    </row>
    <row r="17">
      <c r="A17" t="s">
        <v>13</v>
      </c>
      <c r="B17" t="s">
        <v>304</v>
      </c>
      <c r="C17" t="s">
        <v>246</v>
      </c>
      <c r="D17" t="s">
        <v>305</v>
      </c>
      <c r="E17" t="s">
        <v>247</v>
      </c>
      <c r="F17" t="n">
        <v>344.5</v>
      </c>
      <c r="G17" t="n">
        <v>461.2</v>
      </c>
      <c r="H17" t="n">
        <v>420.8</v>
      </c>
      <c r="I17" t="n">
        <v>226.6</v>
      </c>
      <c r="J17" t="n">
        <v>435.3</v>
      </c>
      <c r="K17" t="n">
        <v>320.6</v>
      </c>
      <c r="L17" t="n">
        <v>317.5</v>
      </c>
      <c r="M17" t="n">
        <v>409</v>
      </c>
      <c r="N17" t="n">
        <v>396.8</v>
      </c>
      <c r="O17" t="n">
        <v>414.3</v>
      </c>
      <c r="P17" t="n">
        <v>444.4</v>
      </c>
      <c r="Q17" t="n">
        <v>423.7</v>
      </c>
      <c r="R17" t="n">
        <v>418.8</v>
      </c>
      <c r="S17" t="n">
        <v>465.6</v>
      </c>
      <c r="T17" t="n">
        <v>366.9</v>
      </c>
      <c r="U17" t="n">
        <v>432.8</v>
      </c>
      <c r="V17" t="n">
        <v>467</v>
      </c>
      <c r="W17" t="n">
        <v>348.3</v>
      </c>
      <c r="X17" t="n">
        <v>239.1</v>
      </c>
      <c r="Y17" t="n">
        <v>293.7</v>
      </c>
      <c r="Z17" t="n">
        <v>440.9</v>
      </c>
      <c r="AA17" t="n">
        <v>563.5</v>
      </c>
      <c r="AB17" t="n">
        <v>350.8</v>
      </c>
      <c r="AC17" t="n">
        <v>489.5</v>
      </c>
      <c r="AD17" t="n">
        <v>523.4</v>
      </c>
      <c r="AE17" t="n">
        <v>483.8</v>
      </c>
      <c r="AF17" t="n">
        <v>472</v>
      </c>
    </row>
    <row r="18">
      <c r="A18" t="s">
        <v>13</v>
      </c>
      <c r="B18" t="s">
        <v>306</v>
      </c>
      <c r="C18" t="s">
        <v>246</v>
      </c>
      <c r="D18" t="s">
        <v>307</v>
      </c>
      <c r="E18" t="s">
        <v>247</v>
      </c>
      <c r="F18" t="n">
        <v>203.6</v>
      </c>
      <c r="G18" t="n">
        <v>254.3</v>
      </c>
      <c r="H18" t="n">
        <v>241</v>
      </c>
      <c r="I18" t="n">
        <v>165.4</v>
      </c>
      <c r="J18" t="n">
        <v>278.6</v>
      </c>
      <c r="K18" t="n">
        <v>222.8</v>
      </c>
      <c r="L18" t="n">
        <v>274.5</v>
      </c>
      <c r="M18" t="n">
        <v>278.7</v>
      </c>
      <c r="N18" t="n">
        <v>252.7</v>
      </c>
      <c r="O18" t="n">
        <v>278.7</v>
      </c>
      <c r="P18" t="n">
        <v>303.6</v>
      </c>
      <c r="Q18" t="n">
        <v>284.5</v>
      </c>
      <c r="R18" t="n">
        <v>319.1</v>
      </c>
      <c r="S18" t="n">
        <v>383.9</v>
      </c>
      <c r="T18" t="n">
        <v>314.4</v>
      </c>
      <c r="U18" t="n">
        <v>268.7</v>
      </c>
      <c r="V18" t="n">
        <v>289.9</v>
      </c>
      <c r="W18" t="n">
        <v>215.9</v>
      </c>
      <c r="X18" t="n">
        <v>351.8</v>
      </c>
      <c r="Y18" t="n">
        <v>278.3</v>
      </c>
      <c r="Z18" t="n">
        <v>464.7</v>
      </c>
      <c r="AA18" t="n">
        <v>486.4</v>
      </c>
      <c r="AB18" t="n">
        <v>310.2</v>
      </c>
      <c r="AC18" t="n">
        <v>435.9</v>
      </c>
      <c r="AD18" t="n">
        <v>535.4</v>
      </c>
      <c r="AE18" t="n">
        <v>1031</v>
      </c>
      <c r="AF18" t="n">
        <v>670.7</v>
      </c>
    </row>
    <row r="19">
      <c r="A19" t="s">
        <v>13</v>
      </c>
      <c r="B19" t="s">
        <v>308</v>
      </c>
      <c r="C19" t="s">
        <v>246</v>
      </c>
      <c r="D19" t="s">
        <v>309</v>
      </c>
      <c r="E19" t="s">
        <v>247</v>
      </c>
      <c r="F19" t="n">
        <v>247.6</v>
      </c>
      <c r="G19" t="n">
        <v>229</v>
      </c>
      <c r="H19" t="n">
        <v>280.6</v>
      </c>
      <c r="I19" t="n">
        <v>315.9</v>
      </c>
      <c r="J19" t="n">
        <v>340</v>
      </c>
      <c r="K19" t="n">
        <v>375.4</v>
      </c>
      <c r="L19" t="n">
        <v>371.5</v>
      </c>
      <c r="M19" t="n">
        <v>502.5</v>
      </c>
      <c r="N19" t="n">
        <v>444.9</v>
      </c>
      <c r="O19" t="n">
        <v>422.7</v>
      </c>
      <c r="P19" t="n">
        <v>432.5</v>
      </c>
      <c r="Q19" t="n">
        <v>467.5</v>
      </c>
      <c r="R19" t="n">
        <v>473.9</v>
      </c>
      <c r="S19" t="n">
        <v>398.2</v>
      </c>
      <c r="T19" t="n">
        <v>528.2</v>
      </c>
      <c r="U19" t="n">
        <v>389.9</v>
      </c>
      <c r="V19" t="n">
        <v>420.7</v>
      </c>
      <c r="W19" t="n">
        <v>272.4</v>
      </c>
      <c r="X19" t="n">
        <v>197.7</v>
      </c>
      <c r="Y19" t="n">
        <v>146.7</v>
      </c>
      <c r="Z19" t="n">
        <v>170.8</v>
      </c>
      <c r="AA19" t="n">
        <v>258.6</v>
      </c>
      <c r="AB19" t="n">
        <v>262.6</v>
      </c>
      <c r="AC19" t="n">
        <v>181.9</v>
      </c>
      <c r="AD19" t="n">
        <v>206.3</v>
      </c>
      <c r="AE19" t="n">
        <v>631.4</v>
      </c>
      <c r="AF19" t="n">
        <v>367.6</v>
      </c>
    </row>
    <row r="20">
      <c r="A20" t="s">
        <v>13</v>
      </c>
      <c r="B20" t="s">
        <v>310</v>
      </c>
      <c r="C20" t="s">
        <v>246</v>
      </c>
      <c r="D20" t="s">
        <v>311</v>
      </c>
      <c r="E20" t="s">
        <v>247</v>
      </c>
      <c r="F20" t="n">
        <v>5796.6</v>
      </c>
      <c r="G20" t="n">
        <v>6694.6</v>
      </c>
      <c r="H20" t="n">
        <v>6170.3</v>
      </c>
      <c r="I20" t="n">
        <v>6527.7</v>
      </c>
      <c r="J20" t="n">
        <v>6329.4</v>
      </c>
      <c r="K20" t="n">
        <v>7560.6</v>
      </c>
      <c r="L20" t="n">
        <v>8405</v>
      </c>
      <c r="M20" t="n">
        <v>9487.7</v>
      </c>
      <c r="N20" t="n">
        <v>11636.1</v>
      </c>
      <c r="O20" t="n">
        <v>10782</v>
      </c>
      <c r="P20" t="n">
        <v>9495.7</v>
      </c>
      <c r="Q20" t="n">
        <v>9926.5</v>
      </c>
      <c r="R20" t="n">
        <v>11672.5</v>
      </c>
      <c r="S20" t="n">
        <v>12198.6</v>
      </c>
      <c r="T20" t="n">
        <v>9969.4</v>
      </c>
      <c r="U20" t="n">
        <v>5316.9</v>
      </c>
      <c r="V20" t="n">
        <v>9264.2</v>
      </c>
      <c r="W20" t="n">
        <v>5883.8</v>
      </c>
      <c r="X20" t="n">
        <v>6082.1</v>
      </c>
      <c r="Y20" t="n">
        <v>5671.7</v>
      </c>
      <c r="Z20" t="n">
        <v>4486.1</v>
      </c>
      <c r="AA20" t="n">
        <v>4801.3</v>
      </c>
      <c r="AB20" t="n">
        <v>5412.1</v>
      </c>
      <c r="AC20" t="n">
        <v>5947.8</v>
      </c>
      <c r="AD20" t="n">
        <v>7430.7</v>
      </c>
      <c r="AE20" t="n">
        <v>6895.5</v>
      </c>
      <c r="AF20" t="n">
        <v>8163.6</v>
      </c>
    </row>
    <row r="21">
      <c r="A21" t="s">
        <v>13</v>
      </c>
      <c r="B21" t="s">
        <v>312</v>
      </c>
      <c r="C21" t="s">
        <v>246</v>
      </c>
      <c r="D21" t="s">
        <v>313</v>
      </c>
      <c r="E21" t="s">
        <v>247</v>
      </c>
      <c r="F21" t="n">
        <v>6583.1</v>
      </c>
      <c r="G21" t="n">
        <v>7414.3</v>
      </c>
      <c r="H21" t="n">
        <v>6926.4</v>
      </c>
      <c r="I21" t="n">
        <v>7377.2</v>
      </c>
      <c r="J21" t="n">
        <v>7285.9</v>
      </c>
      <c r="K21" t="n">
        <v>8822.6</v>
      </c>
      <c r="L21" t="n">
        <v>9785.1</v>
      </c>
      <c r="M21" t="n">
        <v>10937.5</v>
      </c>
      <c r="N21" t="n">
        <v>13430.2</v>
      </c>
      <c r="O21" t="n">
        <v>12369.5</v>
      </c>
      <c r="P21" t="n">
        <v>10976.6</v>
      </c>
      <c r="Q21" t="n">
        <v>11541</v>
      </c>
      <c r="R21" t="n">
        <v>13324.2</v>
      </c>
      <c r="S21" t="n">
        <v>13711.8</v>
      </c>
      <c r="T21" t="n">
        <v>11501.6</v>
      </c>
      <c r="U21" t="n">
        <v>6987.1</v>
      </c>
      <c r="V21" t="n">
        <v>11072.7</v>
      </c>
      <c r="W21" t="n">
        <v>7340</v>
      </c>
      <c r="X21" t="n">
        <v>7483.4</v>
      </c>
      <c r="Y21" t="n">
        <v>6872.2</v>
      </c>
      <c r="Z21" t="n">
        <v>5880.4</v>
      </c>
      <c r="AA21" t="n">
        <v>6261.6</v>
      </c>
      <c r="AB21" t="n">
        <v>7277</v>
      </c>
      <c r="AC21" t="n">
        <v>7252.2</v>
      </c>
      <c r="AD21" t="n">
        <v>8857.9</v>
      </c>
      <c r="AE21" t="n">
        <v>7973.2</v>
      </c>
      <c r="AF21" t="n">
        <v>10155.5</v>
      </c>
    </row>
    <row r="22">
      <c r="A22" t="s">
        <v>13</v>
      </c>
      <c r="B22" t="s">
        <v>314</v>
      </c>
      <c r="C22" t="s">
        <v>246</v>
      </c>
      <c r="D22" t="s">
        <v>315</v>
      </c>
      <c r="E22" t="s">
        <v>247</v>
      </c>
      <c r="F22" t="n">
        <v>786.5</v>
      </c>
      <c r="G22" t="n">
        <v>719.7</v>
      </c>
      <c r="H22" t="n">
        <v>756.1</v>
      </c>
      <c r="I22" t="n">
        <v>849.5</v>
      </c>
      <c r="J22" t="n">
        <v>956.5</v>
      </c>
      <c r="K22" t="n">
        <v>1262</v>
      </c>
      <c r="L22" t="n">
        <v>1380.1</v>
      </c>
      <c r="M22" t="n">
        <v>1449.8</v>
      </c>
      <c r="N22" t="n">
        <v>1794.1</v>
      </c>
      <c r="O22" t="n">
        <v>1587.5</v>
      </c>
      <c r="P22" t="n">
        <v>1480.9</v>
      </c>
      <c r="Q22" t="n">
        <v>1614.5</v>
      </c>
      <c r="R22" t="n">
        <v>1651.7</v>
      </c>
      <c r="S22" t="n">
        <v>1513.2</v>
      </c>
      <c r="T22" t="n">
        <v>1532.2</v>
      </c>
      <c r="U22" t="n">
        <v>1670.2</v>
      </c>
      <c r="V22" t="n">
        <v>1808.5</v>
      </c>
      <c r="W22" t="n">
        <v>1456.2</v>
      </c>
      <c r="X22" t="n">
        <v>1401.3</v>
      </c>
      <c r="Y22" t="n">
        <v>1200.5</v>
      </c>
      <c r="Z22" t="n">
        <v>1394.3</v>
      </c>
      <c r="AA22" t="n">
        <v>1460.3</v>
      </c>
      <c r="AB22" t="n">
        <v>1864.9</v>
      </c>
      <c r="AC22" t="n">
        <v>1304.4</v>
      </c>
      <c r="AD22" t="n">
        <v>1427.2</v>
      </c>
      <c r="AE22" t="n">
        <v>1077.7</v>
      </c>
      <c r="AF22" t="n">
        <v>1991.9</v>
      </c>
    </row>
    <row r="23">
      <c r="A23" t="s">
        <v>13</v>
      </c>
      <c r="B23" t="s">
        <v>316</v>
      </c>
      <c r="C23" t="s">
        <v>246</v>
      </c>
      <c r="D23" t="s">
        <v>317</v>
      </c>
      <c r="E23" t="s">
        <v>247</v>
      </c>
      <c r="F23" t="n">
        <v>741</v>
      </c>
      <c r="G23" t="n">
        <v>535.9</v>
      </c>
      <c r="H23" t="n">
        <v>750</v>
      </c>
      <c r="I23" t="n">
        <v>757.6</v>
      </c>
      <c r="J23" t="n">
        <v>833.2</v>
      </c>
      <c r="K23" t="n">
        <v>985.3</v>
      </c>
      <c r="L23" t="n">
        <v>993.4</v>
      </c>
      <c r="M23" t="n">
        <v>1275.4</v>
      </c>
      <c r="N23" t="n">
        <v>1485</v>
      </c>
      <c r="O23" t="n">
        <v>1193.4</v>
      </c>
      <c r="P23" t="n">
        <v>1390.4</v>
      </c>
      <c r="Q23" t="n">
        <v>1304.5</v>
      </c>
      <c r="R23" t="n">
        <v>1483.3</v>
      </c>
      <c r="S23" t="n">
        <v>1494.9</v>
      </c>
      <c r="T23" t="n">
        <v>1241.6</v>
      </c>
      <c r="U23" t="n">
        <v>1388.4</v>
      </c>
      <c r="V23" t="n">
        <v>1468.9</v>
      </c>
      <c r="W23" t="n">
        <v>1459.7</v>
      </c>
      <c r="X23" t="n">
        <v>820</v>
      </c>
      <c r="Y23" t="n">
        <v>978.7</v>
      </c>
      <c r="Z23" t="n">
        <v>1106.3</v>
      </c>
      <c r="AA23" t="n">
        <v>860.1</v>
      </c>
      <c r="AB23" t="n">
        <v>1144.5</v>
      </c>
      <c r="AC23" t="n">
        <v>960.5</v>
      </c>
      <c r="AD23" t="n">
        <v>1174.9</v>
      </c>
      <c r="AE23" t="n">
        <v>1306.2</v>
      </c>
      <c r="AF23" t="n">
        <v>1175.2</v>
      </c>
    </row>
    <row r="24">
      <c r="A24" t="s">
        <v>13</v>
      </c>
      <c r="B24" t="s">
        <v>318</v>
      </c>
      <c r="C24" t="s">
        <v>246</v>
      </c>
      <c r="D24" t="s">
        <v>319</v>
      </c>
      <c r="E24" t="s">
        <v>247</v>
      </c>
      <c r="F24" t="n">
        <v>1731.5</v>
      </c>
      <c r="G24" t="n">
        <v>2065.7</v>
      </c>
      <c r="H24" t="n">
        <v>1995.6</v>
      </c>
      <c r="I24" t="n">
        <v>2268.9</v>
      </c>
      <c r="J24" t="n">
        <v>2942.3</v>
      </c>
      <c r="K24" t="n">
        <v>2515.1</v>
      </c>
      <c r="L24" t="n">
        <v>2824</v>
      </c>
      <c r="M24" t="n">
        <v>3661.4</v>
      </c>
      <c r="N24" t="n">
        <v>3792.2</v>
      </c>
      <c r="O24" t="n">
        <v>3640.3</v>
      </c>
      <c r="P24" t="n">
        <v>3844</v>
      </c>
      <c r="Q24" t="n">
        <v>3898.5</v>
      </c>
      <c r="R24" t="n">
        <v>3925</v>
      </c>
      <c r="S24" t="n">
        <v>3427.1</v>
      </c>
      <c r="T24" t="n">
        <v>3616.7</v>
      </c>
      <c r="U24" t="n">
        <v>3796.8</v>
      </c>
      <c r="V24" t="n">
        <v>4106.8</v>
      </c>
      <c r="W24" t="n">
        <v>3548.2</v>
      </c>
      <c r="X24" t="n">
        <v>3763.9</v>
      </c>
      <c r="Y24" t="n">
        <v>2880.9</v>
      </c>
      <c r="Z24" t="n">
        <v>3150.6</v>
      </c>
      <c r="AA24" t="n">
        <v>3930.9</v>
      </c>
      <c r="AB24" t="n">
        <v>4048.6</v>
      </c>
      <c r="AC24" t="n">
        <v>4328.2</v>
      </c>
      <c r="AD24" t="n">
        <v>4376.1</v>
      </c>
      <c r="AE24" t="n">
        <v>3998.9</v>
      </c>
      <c r="AF24" t="n">
        <v>5003.2</v>
      </c>
    </row>
    <row r="25">
      <c r="A25" t="s">
        <v>13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</v>
      </c>
      <c r="B28" t="s">
        <v>326</v>
      </c>
      <c r="C28" t="s">
        <v>246</v>
      </c>
      <c r="D28" t="s">
        <v>327</v>
      </c>
      <c r="E28" t="s">
        <v>247</v>
      </c>
      <c r="F28" t="n">
        <v>7246.9</v>
      </c>
      <c r="G28" t="n">
        <v>6974.9</v>
      </c>
      <c r="H28" t="n">
        <v>6943.2</v>
      </c>
      <c r="I28" t="n">
        <v>6835.4</v>
      </c>
      <c r="J28" t="n">
        <v>7300.8</v>
      </c>
      <c r="K28" t="n">
        <v>9060.3</v>
      </c>
      <c r="L28" t="n">
        <v>9482</v>
      </c>
      <c r="M28" t="n">
        <v>10973</v>
      </c>
      <c r="N28" t="n">
        <v>10765.5</v>
      </c>
      <c r="O28" t="n">
        <v>13121.5</v>
      </c>
      <c r="P28" t="n">
        <v>14947</v>
      </c>
      <c r="Q28" t="n">
        <v>14282.3</v>
      </c>
      <c r="R28" t="n">
        <v>14644.1</v>
      </c>
      <c r="S28" t="n">
        <v>14543.4</v>
      </c>
      <c r="T28" t="n">
        <v>12726</v>
      </c>
      <c r="U28" t="n">
        <v>14191.2</v>
      </c>
      <c r="V28" t="n">
        <v>15253.6</v>
      </c>
      <c r="W28" t="n">
        <v>12579.9</v>
      </c>
      <c r="X28" t="n">
        <v>10550.3</v>
      </c>
      <c r="Y28" t="n">
        <v>9512.2</v>
      </c>
      <c r="Z28" t="n">
        <v>11450.1</v>
      </c>
      <c r="AA28" t="n">
        <v>12490.8</v>
      </c>
      <c r="AB28" t="n">
        <v>9277.1</v>
      </c>
      <c r="AC28" t="n">
        <v>10749.2</v>
      </c>
      <c r="AD28" t="n">
        <v>9749.3</v>
      </c>
      <c r="AE28" t="n">
        <v>10437.5</v>
      </c>
      <c r="AF28" t="n">
        <v>14262.7</v>
      </c>
    </row>
    <row r="29">
      <c r="A29" t="s">
        <v>13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</v>
      </c>
      <c r="B34" t="s">
        <v>338</v>
      </c>
      <c r="C34" t="s">
        <v>246</v>
      </c>
      <c r="D34" t="s">
        <v>339</v>
      </c>
      <c r="E34" t="s">
        <v>247</v>
      </c>
      <c r="F34" t="n">
        <v>2042.4</v>
      </c>
      <c r="G34" t="n">
        <v>1950.6</v>
      </c>
      <c r="H34" t="n">
        <v>2329.3</v>
      </c>
      <c r="I34" t="n">
        <v>2271.2</v>
      </c>
      <c r="J34" t="n">
        <v>2136.3</v>
      </c>
      <c r="K34" t="n">
        <v>2815.4</v>
      </c>
      <c r="L34" t="n">
        <v>3205.5</v>
      </c>
      <c r="M34" t="n">
        <v>2984.6</v>
      </c>
      <c r="N34" t="n">
        <v>3560.1</v>
      </c>
      <c r="O34" t="n">
        <v>3129.4</v>
      </c>
      <c r="P34" t="n">
        <v>3103.1</v>
      </c>
      <c r="Q34" t="n">
        <v>3762.4</v>
      </c>
      <c r="R34" t="n">
        <v>3443.4</v>
      </c>
      <c r="S34" t="n">
        <v>4654.6</v>
      </c>
      <c r="T34" t="n">
        <v>2860.2</v>
      </c>
      <c r="U34" t="n">
        <v>3260.1</v>
      </c>
      <c r="V34" t="n">
        <v>3513</v>
      </c>
      <c r="W34" t="n">
        <v>2174.5</v>
      </c>
      <c r="X34" t="n">
        <v>1035.5</v>
      </c>
      <c r="Y34" t="n">
        <v>1389.7</v>
      </c>
      <c r="Z34" t="n">
        <v>2435.6</v>
      </c>
      <c r="AA34" t="n">
        <v>1435.1</v>
      </c>
      <c r="AB34" t="n">
        <v>2734</v>
      </c>
      <c r="AC34" t="n">
        <v>1735.4</v>
      </c>
      <c r="AD34" t="n">
        <v>1397.1</v>
      </c>
      <c r="AE34" t="n">
        <v>1047.2</v>
      </c>
      <c r="AF34" t="n">
        <v>2268.4</v>
      </c>
    </row>
    <row r="35">
      <c r="A35" t="s">
        <v>13</v>
      </c>
      <c r="B35" t="s">
        <v>340</v>
      </c>
      <c r="C35" t="s">
        <v>246</v>
      </c>
      <c r="D35" t="s">
        <v>341</v>
      </c>
      <c r="E35" t="s">
        <v>247</v>
      </c>
      <c r="F35" t="n">
        <v>1630.1</v>
      </c>
      <c r="G35" t="n">
        <v>1585.8</v>
      </c>
      <c r="H35" t="n">
        <v>1598.7</v>
      </c>
      <c r="I35" t="n">
        <v>1505.6</v>
      </c>
      <c r="J35" t="n">
        <v>1595.4</v>
      </c>
      <c r="K35" t="n">
        <v>1574.3</v>
      </c>
      <c r="L35" t="n">
        <v>2331.2</v>
      </c>
      <c r="M35" t="n">
        <v>1600.2</v>
      </c>
      <c r="N35" t="n">
        <v>1785.2</v>
      </c>
      <c r="O35" t="n">
        <v>1939.1</v>
      </c>
      <c r="P35" t="n">
        <v>2421.4</v>
      </c>
      <c r="Q35" t="n">
        <v>2373.7</v>
      </c>
      <c r="R35" t="n">
        <v>2278.8</v>
      </c>
      <c r="S35" t="n">
        <v>1909.8</v>
      </c>
      <c r="T35" t="n">
        <v>1515.2</v>
      </c>
      <c r="U35" t="n">
        <v>1988.2</v>
      </c>
      <c r="V35" t="n">
        <v>2136.5</v>
      </c>
      <c r="W35" t="n">
        <v>1964.6</v>
      </c>
      <c r="X35" t="n">
        <v>1418.9</v>
      </c>
      <c r="Y35" t="n">
        <v>2256.5</v>
      </c>
      <c r="Z35" t="n">
        <v>2190.7</v>
      </c>
      <c r="AA35" t="n">
        <v>2980.3</v>
      </c>
      <c r="AB35" t="n">
        <v>3462.3</v>
      </c>
      <c r="AC35" t="n">
        <v>3409.3</v>
      </c>
      <c r="AD35" t="n">
        <v>4088.3</v>
      </c>
      <c r="AE35" t="n">
        <v>3580.4</v>
      </c>
      <c r="AF35" t="n">
        <v>2634.8</v>
      </c>
    </row>
    <row r="36">
      <c r="A36" t="s">
        <v>13</v>
      </c>
      <c r="B36" t="s">
        <v>342</v>
      </c>
      <c r="C36" t="s">
        <v>246</v>
      </c>
      <c r="D36" t="s">
        <v>343</v>
      </c>
      <c r="E36" t="s">
        <v>247</v>
      </c>
      <c r="F36" t="n">
        <v>94.2</v>
      </c>
      <c r="G36" t="n">
        <v>78.4</v>
      </c>
      <c r="H36" t="n">
        <v>86.1</v>
      </c>
      <c r="I36" t="n">
        <v>104.7</v>
      </c>
      <c r="J36" t="n">
        <v>98.3</v>
      </c>
      <c r="K36" t="n">
        <v>118.2</v>
      </c>
      <c r="L36" t="n">
        <v>142.2</v>
      </c>
      <c r="M36" t="n">
        <v>174.7</v>
      </c>
      <c r="N36" t="n">
        <v>176.3</v>
      </c>
      <c r="O36" t="n">
        <v>162.5</v>
      </c>
      <c r="P36" t="n">
        <v>169.4</v>
      </c>
      <c r="Q36" t="n">
        <v>158.9</v>
      </c>
      <c r="R36" t="n">
        <v>186.6</v>
      </c>
      <c r="S36" t="n">
        <v>219.2</v>
      </c>
      <c r="T36" t="n">
        <v>126.3</v>
      </c>
      <c r="U36" t="n">
        <v>170.6</v>
      </c>
      <c r="V36" t="n">
        <v>183.8</v>
      </c>
      <c r="W36" t="n">
        <v>95.9</v>
      </c>
      <c r="X36" t="n">
        <v>117.8</v>
      </c>
      <c r="Y36" t="n">
        <v>77</v>
      </c>
      <c r="Z36" t="n">
        <v>118.1</v>
      </c>
      <c r="AA36" t="n">
        <v>94.1</v>
      </c>
      <c r="AB36" t="n">
        <v>123.3</v>
      </c>
      <c r="AC36" t="n">
        <v>121.3</v>
      </c>
      <c r="AD36" t="n">
        <v>103.2</v>
      </c>
      <c r="AE36" t="n">
        <v>109.7</v>
      </c>
      <c r="AF36" t="n">
        <v>99.5</v>
      </c>
    </row>
    <row r="37">
      <c r="A37" t="s">
        <v>13</v>
      </c>
      <c r="B37" t="s">
        <v>344</v>
      </c>
      <c r="C37" t="s">
        <v>246</v>
      </c>
      <c r="D37" t="s">
        <v>345</v>
      </c>
      <c r="E37" t="s">
        <v>247</v>
      </c>
      <c r="F37" t="n">
        <v>1436.9</v>
      </c>
      <c r="G37" t="n">
        <v>1377.5</v>
      </c>
      <c r="H37" t="n">
        <v>1343.8</v>
      </c>
      <c r="I37" t="n">
        <v>1295.4</v>
      </c>
      <c r="J37" t="n">
        <v>1325.9</v>
      </c>
      <c r="K37" t="n">
        <v>1321.1</v>
      </c>
      <c r="L37" t="n">
        <v>2055.6</v>
      </c>
      <c r="M37" t="n">
        <v>1234.1</v>
      </c>
      <c r="N37" t="n">
        <v>1449.3</v>
      </c>
      <c r="O37" t="n">
        <v>1590.7</v>
      </c>
      <c r="P37" t="n">
        <v>2059.2</v>
      </c>
      <c r="Q37" t="n">
        <v>2057.8</v>
      </c>
      <c r="R37" t="n">
        <v>1775.5</v>
      </c>
      <c r="S37" t="n">
        <v>1554.3</v>
      </c>
      <c r="T37" t="n">
        <v>1221.2</v>
      </c>
      <c r="U37" t="n">
        <v>1643</v>
      </c>
      <c r="V37" t="n">
        <v>1776</v>
      </c>
      <c r="W37" t="n">
        <v>1771.2</v>
      </c>
      <c r="X37" t="n">
        <v>1119</v>
      </c>
      <c r="Y37" t="n">
        <v>2071.6</v>
      </c>
      <c r="Z37" t="n">
        <v>1977.4</v>
      </c>
      <c r="AA37" t="n">
        <v>2674.8</v>
      </c>
      <c r="AB37" t="n">
        <v>3153.9</v>
      </c>
      <c r="AC37" t="n">
        <v>3152.8</v>
      </c>
      <c r="AD37" t="n">
        <v>3861.5</v>
      </c>
      <c r="AE37" t="n">
        <v>3320.6</v>
      </c>
      <c r="AF37" t="n">
        <v>2246.4</v>
      </c>
    </row>
    <row r="38">
      <c r="A38" t="s">
        <v>13</v>
      </c>
      <c r="B38" t="s">
        <v>346</v>
      </c>
      <c r="C38" t="s">
        <v>246</v>
      </c>
      <c r="D38" t="s">
        <v>347</v>
      </c>
      <c r="E38" t="s">
        <v>247</v>
      </c>
      <c r="F38" t="n">
        <v>99</v>
      </c>
      <c r="G38" t="n">
        <v>129.9</v>
      </c>
      <c r="H38" t="n">
        <v>168.8</v>
      </c>
      <c r="I38" t="n">
        <v>105.5</v>
      </c>
      <c r="J38" t="n">
        <v>171.2</v>
      </c>
      <c r="K38" t="n">
        <v>135</v>
      </c>
      <c r="L38" t="n">
        <v>133.4</v>
      </c>
      <c r="M38" t="n">
        <v>191.4</v>
      </c>
      <c r="N38" t="n">
        <v>159.6</v>
      </c>
      <c r="O38" t="n">
        <v>185.9</v>
      </c>
      <c r="P38" t="n">
        <v>192.8</v>
      </c>
      <c r="Q38" t="n">
        <v>157</v>
      </c>
      <c r="R38" t="n">
        <v>316.7</v>
      </c>
      <c r="S38" t="n">
        <v>136.3</v>
      </c>
      <c r="T38" t="n">
        <v>167.7</v>
      </c>
      <c r="U38" t="n">
        <v>174.6</v>
      </c>
      <c r="V38" t="n">
        <v>176.7</v>
      </c>
      <c r="W38" t="n">
        <v>97.5</v>
      </c>
      <c r="X38" t="n">
        <v>182.1</v>
      </c>
      <c r="Y38" t="n">
        <v>107.9</v>
      </c>
      <c r="Z38" t="n">
        <v>95.2</v>
      </c>
      <c r="AA38" t="n">
        <v>211.4</v>
      </c>
      <c r="AB38" t="n">
        <v>185.1</v>
      </c>
      <c r="AC38" t="n">
        <v>135.2</v>
      </c>
      <c r="AD38" t="n">
        <v>123.6</v>
      </c>
      <c r="AE38" t="n">
        <v>150.1</v>
      </c>
      <c r="AF38" t="n">
        <v>288.9</v>
      </c>
    </row>
    <row r="39">
      <c r="A39" t="s">
        <v>13</v>
      </c>
      <c r="B39" t="s">
        <v>348</v>
      </c>
      <c r="C39" t="s">
        <v>246</v>
      </c>
      <c r="D39" t="s">
        <v>349</v>
      </c>
      <c r="E39" t="s">
        <v>247</v>
      </c>
      <c r="F39" t="n">
        <v>2247.2</v>
      </c>
      <c r="G39" t="n">
        <v>2702.7</v>
      </c>
      <c r="H39" t="n">
        <v>2629.4</v>
      </c>
      <c r="I39" t="n">
        <v>2667.5</v>
      </c>
      <c r="J39" t="n">
        <v>1492.4</v>
      </c>
      <c r="K39" t="n">
        <v>2147.8</v>
      </c>
      <c r="L39" t="n">
        <v>2498.4</v>
      </c>
      <c r="M39" t="n">
        <v>2817.7</v>
      </c>
      <c r="N39" t="n">
        <v>1644.8</v>
      </c>
      <c r="O39" t="n">
        <v>2097</v>
      </c>
      <c r="P39" t="n">
        <v>1369.2</v>
      </c>
      <c r="Q39" t="n">
        <v>1556.2</v>
      </c>
      <c r="R39" t="n">
        <v>2523.1</v>
      </c>
      <c r="S39" t="n">
        <v>1961.9</v>
      </c>
      <c r="T39" t="n">
        <v>1561.1</v>
      </c>
      <c r="U39" t="n">
        <v>2317.8</v>
      </c>
      <c r="V39" t="n">
        <v>2040.9</v>
      </c>
      <c r="W39" t="n">
        <v>1450.6</v>
      </c>
      <c r="X39" t="n">
        <v>1468.4</v>
      </c>
      <c r="Y39" t="n">
        <v>1822</v>
      </c>
      <c r="Z39" t="n">
        <v>1801.1</v>
      </c>
      <c r="AA39" t="n">
        <v>1842.5</v>
      </c>
      <c r="AB39" t="n">
        <v>2973.2</v>
      </c>
      <c r="AC39" t="n">
        <v>3074.7</v>
      </c>
      <c r="AD39" t="n">
        <v>3334.3</v>
      </c>
      <c r="AE39" t="n">
        <v>3056.8</v>
      </c>
      <c r="AF39" t="n">
        <v>4156</v>
      </c>
    </row>
    <row r="40">
      <c r="A40" t="s">
        <v>13</v>
      </c>
      <c r="B40" t="s">
        <v>350</v>
      </c>
      <c r="C40" t="s">
        <v>246</v>
      </c>
      <c r="D40" t="s">
        <v>351</v>
      </c>
      <c r="E40" t="s">
        <v>247</v>
      </c>
      <c r="F40" t="n">
        <v>5317.6</v>
      </c>
      <c r="G40" t="n">
        <v>6472</v>
      </c>
      <c r="H40" t="n">
        <v>6864.3</v>
      </c>
      <c r="I40" t="n">
        <v>6515.5</v>
      </c>
      <c r="J40" t="n">
        <v>7672.1</v>
      </c>
      <c r="K40" t="n">
        <v>8160.3</v>
      </c>
      <c r="L40" t="n">
        <v>8802.6</v>
      </c>
      <c r="M40" t="n">
        <v>10505</v>
      </c>
      <c r="N40" t="n">
        <v>10449.6</v>
      </c>
      <c r="O40" t="n">
        <v>10528</v>
      </c>
      <c r="P40" t="n">
        <v>11224.2</v>
      </c>
      <c r="Q40" t="n">
        <v>11793.4</v>
      </c>
      <c r="R40" t="n">
        <v>12316.1</v>
      </c>
      <c r="S40" t="n">
        <v>11641.8</v>
      </c>
      <c r="T40" t="n">
        <v>11048.6</v>
      </c>
      <c r="U40" t="n">
        <v>10608.5</v>
      </c>
      <c r="V40" t="n">
        <v>10999.9</v>
      </c>
      <c r="W40" t="n">
        <v>11802.8</v>
      </c>
      <c r="X40" t="n">
        <v>10928.7</v>
      </c>
      <c r="Y40" t="n">
        <v>10487.5</v>
      </c>
      <c r="Z40" t="n">
        <v>8302.5</v>
      </c>
      <c r="AA40" t="n">
        <v>9170.6</v>
      </c>
      <c r="AB40" t="n">
        <v>11346.8</v>
      </c>
      <c r="AC40" t="n">
        <v>11938.5</v>
      </c>
      <c r="AD40" t="n">
        <v>13557</v>
      </c>
      <c r="AE40" t="n">
        <v>11963.6</v>
      </c>
      <c r="AF40" t="n">
        <v>14979.8</v>
      </c>
    </row>
    <row r="41">
      <c r="A41" t="s">
        <v>13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13</v>
      </c>
      <c r="B42" t="s">
        <v>354</v>
      </c>
      <c r="C42" t="s">
        <v>246</v>
      </c>
      <c r="D42" t="s">
        <v>355</v>
      </c>
      <c r="E42" t="s">
        <v>247</v>
      </c>
      <c r="F42" t="n">
        <v>598.2</v>
      </c>
      <c r="G42" t="n">
        <v>733.7</v>
      </c>
      <c r="H42" t="n">
        <v>845.9</v>
      </c>
      <c r="I42" t="n">
        <v>731</v>
      </c>
      <c r="J42" t="n">
        <v>960.6</v>
      </c>
      <c r="K42" t="n">
        <v>1027.2</v>
      </c>
      <c r="L42" t="n">
        <v>1002.3</v>
      </c>
      <c r="M42" t="n">
        <v>1168.8</v>
      </c>
      <c r="N42" t="n">
        <v>1195.2</v>
      </c>
      <c r="O42" t="n">
        <v>1046.3</v>
      </c>
      <c r="P42" t="n">
        <v>1195.7</v>
      </c>
      <c r="Q42" t="n">
        <v>1123.3</v>
      </c>
      <c r="R42" t="n">
        <v>1251.7</v>
      </c>
      <c r="S42" t="n">
        <v>1114.7</v>
      </c>
      <c r="T42" t="n">
        <v>1126.1</v>
      </c>
      <c r="U42" t="n">
        <v>1073.6</v>
      </c>
      <c r="V42" t="n">
        <v>1120.1</v>
      </c>
      <c r="W42" t="n">
        <v>2081.4</v>
      </c>
      <c r="X42" t="n">
        <v>1935.1</v>
      </c>
      <c r="Y42" t="n">
        <v>1279.8</v>
      </c>
      <c r="Z42" t="n">
        <v>880.3</v>
      </c>
      <c r="AA42" t="n">
        <v>822.7</v>
      </c>
      <c r="AB42" t="n">
        <v>648.7</v>
      </c>
      <c r="AC42" t="n">
        <v>834.7</v>
      </c>
      <c r="AD42" t="n">
        <v>767.3</v>
      </c>
      <c r="AE42" t="n">
        <v>854.5</v>
      </c>
      <c r="AF42" t="n">
        <v>1045</v>
      </c>
    </row>
    <row r="43">
      <c r="A43" t="s">
        <v>13</v>
      </c>
      <c r="B43" t="s">
        <v>356</v>
      </c>
      <c r="C43" t="s">
        <v>246</v>
      </c>
      <c r="D43" t="s">
        <v>357</v>
      </c>
      <c r="E43" t="s">
        <v>247</v>
      </c>
      <c r="F43" t="n">
        <v>719.7</v>
      </c>
      <c r="G43" t="n">
        <v>888.4</v>
      </c>
      <c r="H43" t="n">
        <v>1041.9</v>
      </c>
      <c r="I43" t="n">
        <v>863.4</v>
      </c>
      <c r="J43" t="n">
        <v>1165.6</v>
      </c>
      <c r="K43" t="n">
        <v>1220.3</v>
      </c>
      <c r="L43" t="n">
        <v>1198.8</v>
      </c>
      <c r="M43" t="n">
        <v>1404.7</v>
      </c>
      <c r="N43" t="n">
        <v>1461.9</v>
      </c>
      <c r="O43" t="n">
        <v>1276.3</v>
      </c>
      <c r="P43" t="n">
        <v>1450</v>
      </c>
      <c r="Q43" t="n">
        <v>1383.8</v>
      </c>
      <c r="R43" t="n">
        <v>1528.8</v>
      </c>
      <c r="S43" t="n">
        <v>1432.5</v>
      </c>
      <c r="T43" t="n">
        <v>1347.7</v>
      </c>
      <c r="U43" t="n">
        <v>1341.5</v>
      </c>
      <c r="V43" t="n">
        <v>1431.6</v>
      </c>
      <c r="W43" t="n">
        <v>2272.8</v>
      </c>
      <c r="X43" t="n">
        <v>2230</v>
      </c>
      <c r="Y43" t="n">
        <v>1854.1</v>
      </c>
      <c r="Z43" t="n">
        <v>1085.1</v>
      </c>
      <c r="AA43" t="n">
        <v>1028.9</v>
      </c>
      <c r="AB43" t="n">
        <v>894.2</v>
      </c>
      <c r="AC43" t="n">
        <v>1119.1</v>
      </c>
      <c r="AD43" t="n">
        <v>971.4</v>
      </c>
      <c r="AE43" t="n">
        <v>1054.7</v>
      </c>
      <c r="AF43" t="n">
        <v>1353.1</v>
      </c>
    </row>
    <row r="44">
      <c r="A44" t="s">
        <v>13</v>
      </c>
      <c r="B44" t="s">
        <v>358</v>
      </c>
      <c r="C44" t="s">
        <v>246</v>
      </c>
      <c r="D44" t="s">
        <v>359</v>
      </c>
      <c r="E44" t="s">
        <v>247</v>
      </c>
      <c r="F44" t="n">
        <v>29221.9</v>
      </c>
      <c r="G44" t="n">
        <v>30162.6</v>
      </c>
      <c r="H44" t="n">
        <v>30760.7</v>
      </c>
      <c r="I44" t="n">
        <v>31122.5</v>
      </c>
      <c r="J44" t="n">
        <v>31956.2</v>
      </c>
      <c r="K44" t="n">
        <v>37429.6</v>
      </c>
      <c r="L44" t="n">
        <v>41279.5</v>
      </c>
      <c r="M44" t="n">
        <v>45618.1</v>
      </c>
      <c r="N44" t="n">
        <v>48197.5</v>
      </c>
      <c r="O44" t="n">
        <v>49270.1</v>
      </c>
      <c r="P44" t="n">
        <v>50351.4</v>
      </c>
      <c r="Q44" t="n">
        <v>51253.9</v>
      </c>
      <c r="R44" t="n">
        <v>54476.2</v>
      </c>
      <c r="S44" t="n">
        <v>54051.3</v>
      </c>
      <c r="T44" t="n">
        <v>46176.6</v>
      </c>
      <c r="U44" t="n">
        <v>45439.3</v>
      </c>
      <c r="V44" t="n">
        <v>52400.2</v>
      </c>
      <c r="W44" t="n">
        <v>42916.1</v>
      </c>
      <c r="X44" t="n">
        <v>36108.8</v>
      </c>
      <c r="Y44" t="n">
        <v>35397.5</v>
      </c>
      <c r="Z44" t="n">
        <v>37302.8</v>
      </c>
      <c r="AA44" t="n">
        <v>39060.1</v>
      </c>
      <c r="AB44" t="n">
        <v>39702.2</v>
      </c>
      <c r="AC44" t="n">
        <v>42221.9</v>
      </c>
      <c r="AD44" t="n">
        <v>42262.3</v>
      </c>
      <c r="AE44" t="n">
        <v>41111.4</v>
      </c>
      <c r="AF44" t="n">
        <v>50661.8</v>
      </c>
    </row>
    <row r="45">
      <c r="A45" t="s">
        <v>13</v>
      </c>
      <c r="B45" t="s">
        <v>360</v>
      </c>
      <c r="C45" t="s">
        <v>246</v>
      </c>
      <c r="D45" t="s">
        <v>361</v>
      </c>
      <c r="E45" t="s">
        <v>247</v>
      </c>
      <c r="F45" t="n">
        <v>27939.1</v>
      </c>
      <c r="G45" t="n">
        <v>28885.4</v>
      </c>
      <c r="H45" t="n">
        <v>29350.9</v>
      </c>
      <c r="I45" t="n">
        <v>29686.8</v>
      </c>
      <c r="J45" t="n">
        <v>30274.7</v>
      </c>
      <c r="K45" t="n">
        <v>35405.2</v>
      </c>
      <c r="L45" t="n">
        <v>39292.6</v>
      </c>
      <c r="M45" t="n">
        <v>43382.5</v>
      </c>
      <c r="N45" t="n">
        <v>45795.9</v>
      </c>
      <c r="O45" t="n">
        <v>46984.9</v>
      </c>
      <c r="P45" t="n">
        <v>47731</v>
      </c>
      <c r="Q45" t="n">
        <v>48328.1</v>
      </c>
      <c r="R45" t="n">
        <v>51770.5</v>
      </c>
      <c r="S45" t="n">
        <v>51448.7</v>
      </c>
      <c r="T45" t="n">
        <v>43991.5</v>
      </c>
      <c r="U45" t="n">
        <v>43448.4</v>
      </c>
      <c r="V45" t="n">
        <v>49671.7</v>
      </c>
      <c r="W45" t="n">
        <v>40405.8</v>
      </c>
      <c r="X45" t="n">
        <v>34441.6</v>
      </c>
      <c r="Y45" t="n">
        <v>34083.2</v>
      </c>
      <c r="Z45" t="n">
        <v>35916.7</v>
      </c>
      <c r="AA45" t="n">
        <v>37498.2</v>
      </c>
      <c r="AB45" t="n">
        <v>37667</v>
      </c>
      <c r="AC45" t="n">
        <v>39855.4</v>
      </c>
      <c r="AD45" t="n">
        <v>39708.7</v>
      </c>
      <c r="AE45" t="n">
        <v>38722.9</v>
      </c>
      <c r="AF45" t="n">
        <v>48136.9</v>
      </c>
    </row>
    <row r="46">
      <c r="A46" t="s">
        <v>13</v>
      </c>
      <c r="B46" t="s">
        <v>362</v>
      </c>
      <c r="C46" t="s">
        <v>246</v>
      </c>
      <c r="D46" t="s">
        <v>363</v>
      </c>
      <c r="E46" t="s">
        <v>247</v>
      </c>
      <c r="F46" t="n">
        <v>121.5</v>
      </c>
      <c r="G46" t="n">
        <v>154.7</v>
      </c>
      <c r="H46" t="n">
        <v>196</v>
      </c>
      <c r="I46" t="n">
        <v>132.4</v>
      </c>
      <c r="J46" t="n">
        <v>205</v>
      </c>
      <c r="K46" t="n">
        <v>193.1</v>
      </c>
      <c r="L46" t="n">
        <v>196.5</v>
      </c>
      <c r="M46" t="n">
        <v>235.9</v>
      </c>
      <c r="N46" t="n">
        <v>266.7</v>
      </c>
      <c r="O46" t="n">
        <v>230</v>
      </c>
      <c r="P46" t="n">
        <v>254.3</v>
      </c>
      <c r="Q46" t="n">
        <v>260.5</v>
      </c>
      <c r="R46" t="n">
        <v>277.1</v>
      </c>
      <c r="S46" t="n">
        <v>317.8</v>
      </c>
      <c r="T46" t="n">
        <v>221.6</v>
      </c>
      <c r="U46" t="n">
        <v>267.9</v>
      </c>
      <c r="V46" t="n">
        <v>311.5</v>
      </c>
      <c r="W46" t="n">
        <v>191.4</v>
      </c>
      <c r="X46" t="n">
        <v>294.9</v>
      </c>
      <c r="Y46" t="n">
        <v>574.3</v>
      </c>
      <c r="Z46" t="n">
        <v>204.8</v>
      </c>
      <c r="AA46" t="n">
        <v>206.2</v>
      </c>
      <c r="AB46" t="n">
        <v>245.5</v>
      </c>
      <c r="AC46" t="n">
        <v>284.4</v>
      </c>
      <c r="AD46" t="n">
        <v>204.1</v>
      </c>
      <c r="AE46" t="n">
        <v>200.2</v>
      </c>
      <c r="AF46" t="n">
        <v>308.1</v>
      </c>
    </row>
    <row r="47">
      <c r="A47" t="s">
        <v>13</v>
      </c>
      <c r="B47" t="s">
        <v>364</v>
      </c>
      <c r="C47" t="s">
        <v>246</v>
      </c>
      <c r="D47" t="s">
        <v>365</v>
      </c>
      <c r="E47" t="s">
        <v>247</v>
      </c>
      <c r="F47" t="n">
        <v>11329</v>
      </c>
      <c r="G47" t="n">
        <v>12795</v>
      </c>
      <c r="H47" t="n">
        <v>13482</v>
      </c>
      <c r="I47" t="n">
        <v>14856</v>
      </c>
      <c r="J47" t="n">
        <v>15718</v>
      </c>
      <c r="K47" t="n">
        <v>15560</v>
      </c>
      <c r="L47" t="n">
        <v>17004</v>
      </c>
      <c r="M47" t="n">
        <v>18809</v>
      </c>
      <c r="N47" t="n">
        <v>19469</v>
      </c>
      <c r="O47" t="n">
        <v>23105</v>
      </c>
      <c r="P47" t="n">
        <v>21839</v>
      </c>
      <c r="Q47" t="n">
        <v>21588</v>
      </c>
      <c r="R47" t="n">
        <v>21381</v>
      </c>
      <c r="S47" t="n">
        <v>21644</v>
      </c>
      <c r="T47" t="n">
        <v>23187</v>
      </c>
      <c r="U47" t="n">
        <v>18916</v>
      </c>
      <c r="V47" t="n">
        <v>17453</v>
      </c>
      <c r="W47" t="n">
        <v>16846</v>
      </c>
      <c r="X47" t="n">
        <v>15801</v>
      </c>
      <c r="Y47" t="n">
        <v>14305</v>
      </c>
      <c r="Z47" t="n">
        <v>14917</v>
      </c>
      <c r="AA47" t="n">
        <v>12163</v>
      </c>
      <c r="AB47" t="n">
        <v>11404</v>
      </c>
      <c r="AC47" t="n">
        <v>11320</v>
      </c>
      <c r="AD47" t="n">
        <v>13709</v>
      </c>
      <c r="AE47" t="n">
        <v>13653</v>
      </c>
      <c r="AF47" t="n">
        <v>14966</v>
      </c>
    </row>
    <row r="48">
      <c r="A48" t="s">
        <v>13</v>
      </c>
      <c r="B48" t="s">
        <v>366</v>
      </c>
      <c r="C48" t="s">
        <v>246</v>
      </c>
      <c r="D48" t="s">
        <v>367</v>
      </c>
      <c r="E48" t="s">
        <v>247</v>
      </c>
      <c r="F48" t="n">
        <v>13546.6</v>
      </c>
      <c r="G48" t="n">
        <v>15106.9</v>
      </c>
      <c r="H48" t="n">
        <v>16025.4</v>
      </c>
      <c r="I48" t="n">
        <v>17683.8</v>
      </c>
      <c r="J48" t="n">
        <v>18797.6</v>
      </c>
      <c r="K48" t="n">
        <v>19293.2</v>
      </c>
      <c r="L48" t="n">
        <v>20902.2</v>
      </c>
      <c r="M48" t="n">
        <v>23092.9</v>
      </c>
      <c r="N48" t="n">
        <v>23905.9</v>
      </c>
      <c r="O48" t="n">
        <v>27497</v>
      </c>
      <c r="P48" t="n">
        <v>26552.2</v>
      </c>
      <c r="Q48" t="n">
        <v>26574.3</v>
      </c>
      <c r="R48" t="n">
        <v>26429.5</v>
      </c>
      <c r="S48" t="n">
        <v>26196</v>
      </c>
      <c r="T48" t="n">
        <v>28260.4</v>
      </c>
      <c r="U48" t="n">
        <v>24186.1</v>
      </c>
      <c r="V48" t="n">
        <v>22122.3</v>
      </c>
      <c r="W48" t="n">
        <v>21098.1</v>
      </c>
      <c r="X48" t="n">
        <v>19415.4</v>
      </c>
      <c r="Y48" t="n">
        <v>17031.1</v>
      </c>
      <c r="Z48" t="n">
        <v>17484</v>
      </c>
      <c r="AA48" t="n">
        <v>14314.5</v>
      </c>
      <c r="AB48" t="n">
        <v>13278.6</v>
      </c>
      <c r="AC48" t="n">
        <v>13103.5</v>
      </c>
      <c r="AD48" t="n">
        <v>15464.9</v>
      </c>
      <c r="AE48" t="n">
        <v>15394.5</v>
      </c>
      <c r="AF48" t="n">
        <v>17674</v>
      </c>
    </row>
    <row r="49">
      <c r="A49" t="s">
        <v>13</v>
      </c>
      <c r="B49" t="s">
        <v>368</v>
      </c>
      <c r="C49" t="s">
        <v>246</v>
      </c>
      <c r="D49" t="s">
        <v>369</v>
      </c>
      <c r="E49" t="s">
        <v>247</v>
      </c>
      <c r="F49" t="n">
        <v>796.2</v>
      </c>
      <c r="G49" t="n">
        <v>819.4</v>
      </c>
      <c r="H49" t="n">
        <v>867.7</v>
      </c>
      <c r="I49" t="n">
        <v>1031.7</v>
      </c>
      <c r="J49" t="n">
        <v>1116.3</v>
      </c>
      <c r="K49" t="n">
        <v>1306.4</v>
      </c>
      <c r="L49" t="n">
        <v>1314.1</v>
      </c>
      <c r="M49" t="n">
        <v>1549</v>
      </c>
      <c r="N49" t="n">
        <v>1542.2</v>
      </c>
      <c r="O49" t="n">
        <v>1724</v>
      </c>
      <c r="P49" t="n">
        <v>1616.2</v>
      </c>
      <c r="Q49" t="n">
        <v>1564</v>
      </c>
      <c r="R49" t="n">
        <v>1521.5</v>
      </c>
      <c r="S49" t="n">
        <v>1369.5</v>
      </c>
      <c r="T49" t="n">
        <v>1366.5</v>
      </c>
      <c r="U49" t="n">
        <v>1312.3</v>
      </c>
      <c r="V49" t="n">
        <v>1310.1</v>
      </c>
      <c r="W49" t="n">
        <v>1179.8</v>
      </c>
      <c r="X49" t="n">
        <v>1301.2</v>
      </c>
      <c r="Y49" t="n">
        <v>1100.7</v>
      </c>
      <c r="Z49" t="n">
        <v>1103.5</v>
      </c>
      <c r="AA49" t="n">
        <v>929.5</v>
      </c>
      <c r="AB49" t="n">
        <v>592.5</v>
      </c>
      <c r="AC49" t="n">
        <v>617.2</v>
      </c>
      <c r="AD49" t="n">
        <v>586.6</v>
      </c>
      <c r="AE49" t="n">
        <v>499.4</v>
      </c>
      <c r="AF49" t="n">
        <v>773.5</v>
      </c>
    </row>
    <row r="50">
      <c r="A50" t="s">
        <v>13</v>
      </c>
      <c r="B50" t="s">
        <v>370</v>
      </c>
      <c r="C50" t="s">
        <v>246</v>
      </c>
      <c r="D50" t="s">
        <v>371</v>
      </c>
      <c r="E50" t="s">
        <v>247</v>
      </c>
      <c r="F50" t="n">
        <v>1421.4</v>
      </c>
      <c r="G50" t="n">
        <v>1492.5</v>
      </c>
      <c r="H50" t="n">
        <v>1675.6</v>
      </c>
      <c r="I50" t="n">
        <v>1796</v>
      </c>
      <c r="J50" t="n">
        <v>1963.3</v>
      </c>
      <c r="K50" t="n">
        <v>2426.8</v>
      </c>
      <c r="L50" t="n">
        <v>2584</v>
      </c>
      <c r="M50" t="n">
        <v>2734.9</v>
      </c>
      <c r="N50" t="n">
        <v>2894.7</v>
      </c>
      <c r="O50" t="n">
        <v>2668.1</v>
      </c>
      <c r="P50" t="n">
        <v>3097</v>
      </c>
      <c r="Q50" t="n">
        <v>3422.2</v>
      </c>
      <c r="R50" t="n">
        <v>3527</v>
      </c>
      <c r="S50" t="n">
        <v>3182.5</v>
      </c>
      <c r="T50" t="n">
        <v>3706.9</v>
      </c>
      <c r="U50" t="n">
        <v>3957.8</v>
      </c>
      <c r="V50" t="n">
        <v>3359.3</v>
      </c>
      <c r="W50" t="n">
        <v>3072.3</v>
      </c>
      <c r="X50" t="n">
        <v>2313.2</v>
      </c>
      <c r="Y50" t="n">
        <v>1625.3</v>
      </c>
      <c r="Z50" t="n">
        <v>1463.6</v>
      </c>
      <c r="AA50" t="n">
        <v>1222</v>
      </c>
      <c r="AB50" t="n">
        <v>1282</v>
      </c>
      <c r="AC50" t="n">
        <v>1166.2</v>
      </c>
      <c r="AD50" t="n">
        <v>1169.3</v>
      </c>
      <c r="AE50" t="n">
        <v>1242.2</v>
      </c>
      <c r="AF50" t="n">
        <v>1934.6</v>
      </c>
    </row>
    <row r="51">
      <c r="A51" t="s">
        <v>13</v>
      </c>
      <c r="B51" t="s">
        <v>372</v>
      </c>
      <c r="C51" t="s">
        <v>246</v>
      </c>
      <c r="D51" t="s">
        <v>373</v>
      </c>
      <c r="E51" t="s">
        <v>247</v>
      </c>
      <c r="F51" t="n">
        <v>1361.5</v>
      </c>
      <c r="G51" t="n">
        <v>1436</v>
      </c>
      <c r="H51" t="n">
        <v>1602.8</v>
      </c>
      <c r="I51" t="n">
        <v>1735</v>
      </c>
      <c r="J51" t="n">
        <v>1900.5</v>
      </c>
      <c r="K51" t="n">
        <v>2352.1</v>
      </c>
      <c r="L51" t="n">
        <v>2492.4</v>
      </c>
      <c r="M51" t="n">
        <v>2657.6</v>
      </c>
      <c r="N51" t="n">
        <v>2807.3</v>
      </c>
      <c r="O51" t="n">
        <v>2569.8</v>
      </c>
      <c r="P51" t="n">
        <v>3008.2</v>
      </c>
      <c r="Q51" t="n">
        <v>3325.8</v>
      </c>
      <c r="R51" t="n">
        <v>3418.6</v>
      </c>
      <c r="S51" t="n">
        <v>3104.6</v>
      </c>
      <c r="T51" t="n">
        <v>3621.5</v>
      </c>
      <c r="U51" t="n">
        <v>3857.4</v>
      </c>
      <c r="V51" t="n">
        <v>3248.9</v>
      </c>
      <c r="W51" t="n">
        <v>2980.3</v>
      </c>
      <c r="X51" t="n">
        <v>2155.2</v>
      </c>
      <c r="Y51" t="n">
        <v>1498.7</v>
      </c>
      <c r="Z51" t="n">
        <v>1376.9</v>
      </c>
      <c r="AA51" t="n">
        <v>1080.3</v>
      </c>
      <c r="AB51" t="n">
        <v>1114.6</v>
      </c>
      <c r="AC51" t="n">
        <v>1068.3</v>
      </c>
      <c r="AD51" t="n">
        <v>1031.5</v>
      </c>
      <c r="AE51" t="n">
        <v>1124.7</v>
      </c>
      <c r="AF51" t="n">
        <v>1714.6</v>
      </c>
    </row>
    <row r="52">
      <c r="A52" t="s">
        <v>13</v>
      </c>
      <c r="B52" t="s">
        <v>374</v>
      </c>
      <c r="C52" t="s">
        <v>246</v>
      </c>
      <c r="D52" t="s">
        <v>375</v>
      </c>
      <c r="E52" t="s">
        <v>247</v>
      </c>
      <c r="F52" t="n">
        <v>59.9</v>
      </c>
      <c r="G52" t="n">
        <v>56.5</v>
      </c>
      <c r="H52" t="n">
        <v>72.8</v>
      </c>
      <c r="I52" t="n">
        <v>61</v>
      </c>
      <c r="J52" t="n">
        <v>62.8</v>
      </c>
      <c r="K52" t="n">
        <v>74.7</v>
      </c>
      <c r="L52" t="n">
        <v>91.6</v>
      </c>
      <c r="M52" t="n">
        <v>77.3</v>
      </c>
      <c r="N52" t="n">
        <v>87.4</v>
      </c>
      <c r="O52" t="n">
        <v>98.3</v>
      </c>
      <c r="P52" t="n">
        <v>88.8</v>
      </c>
      <c r="Q52" t="n">
        <v>96.4</v>
      </c>
      <c r="R52" t="n">
        <v>108.4</v>
      </c>
      <c r="S52" t="n">
        <v>77.9</v>
      </c>
      <c r="T52" t="n">
        <v>85.4</v>
      </c>
      <c r="U52" t="n">
        <v>100.4</v>
      </c>
      <c r="V52" t="n">
        <v>110.4</v>
      </c>
      <c r="W52" t="n">
        <v>92</v>
      </c>
      <c r="X52" t="n">
        <v>158</v>
      </c>
      <c r="Y52" t="n">
        <v>126.6</v>
      </c>
      <c r="Z52" t="n">
        <v>86.7</v>
      </c>
      <c r="AA52" t="n">
        <v>141.7</v>
      </c>
      <c r="AB52" t="n">
        <v>167.4</v>
      </c>
      <c r="AC52" t="n">
        <v>97.9</v>
      </c>
      <c r="AD52" t="n">
        <v>137.8</v>
      </c>
      <c r="AE52" t="n">
        <v>117.5</v>
      </c>
      <c r="AF52" t="n">
        <v>220</v>
      </c>
    </row>
    <row r="53">
      <c r="A53" t="s">
        <v>13</v>
      </c>
      <c r="B53" t="s">
        <v>376</v>
      </c>
      <c r="C53" t="s">
        <v>246</v>
      </c>
      <c r="D53" t="s">
        <v>377</v>
      </c>
      <c r="E53" t="s">
        <v>247</v>
      </c>
      <c r="F53" t="n">
        <v>563.7</v>
      </c>
      <c r="G53" t="n">
        <v>501.9</v>
      </c>
      <c r="H53" t="n">
        <v>561</v>
      </c>
      <c r="I53" t="n">
        <v>655</v>
      </c>
      <c r="J53" t="n">
        <v>686</v>
      </c>
      <c r="K53" t="n">
        <v>686.4</v>
      </c>
      <c r="L53" t="n">
        <v>814</v>
      </c>
      <c r="M53" t="n">
        <v>985.9</v>
      </c>
      <c r="N53" t="n">
        <v>901.7</v>
      </c>
      <c r="O53" t="n">
        <v>1034.4</v>
      </c>
      <c r="P53" t="n">
        <v>1023.8</v>
      </c>
      <c r="Q53" t="n">
        <v>943.8</v>
      </c>
      <c r="R53" t="n">
        <v>1038.4</v>
      </c>
      <c r="S53" t="n">
        <v>930.4</v>
      </c>
      <c r="T53" t="n">
        <v>1005.7</v>
      </c>
      <c r="U53" t="n">
        <v>1011.3</v>
      </c>
      <c r="V53" t="n">
        <v>919.7</v>
      </c>
      <c r="W53" t="n">
        <v>509.7</v>
      </c>
      <c r="X53" t="n">
        <v>381.4</v>
      </c>
      <c r="Y53" t="n">
        <v>561.6</v>
      </c>
      <c r="Z53" t="n">
        <v>574.3</v>
      </c>
      <c r="AA53" t="n">
        <v>742.2</v>
      </c>
      <c r="AB53" t="n">
        <v>580.3</v>
      </c>
      <c r="AC53" t="n">
        <v>804.8</v>
      </c>
      <c r="AD53" t="n">
        <v>466.6</v>
      </c>
      <c r="AE53" t="n">
        <v>454</v>
      </c>
      <c r="AF53" t="n">
        <v>1202</v>
      </c>
    </row>
    <row r="54">
      <c r="A54" t="s">
        <v>13</v>
      </c>
      <c r="B54" t="s">
        <v>378</v>
      </c>
      <c r="C54" t="s">
        <v>246</v>
      </c>
      <c r="D54" t="s">
        <v>379</v>
      </c>
      <c r="E54" t="s">
        <v>247</v>
      </c>
      <c r="F54" t="n">
        <v>888.2</v>
      </c>
      <c r="G54" t="n">
        <v>772.9</v>
      </c>
      <c r="H54" t="n">
        <v>853.6</v>
      </c>
      <c r="I54" t="n">
        <v>1011.4</v>
      </c>
      <c r="J54" t="n">
        <v>1028</v>
      </c>
      <c r="K54" t="n">
        <v>1097.6</v>
      </c>
      <c r="L54" t="n">
        <v>1307.2</v>
      </c>
      <c r="M54" t="n">
        <v>1479.4</v>
      </c>
      <c r="N54" t="n">
        <v>1510.4</v>
      </c>
      <c r="O54" t="n">
        <v>1576.7</v>
      </c>
      <c r="P54" t="n">
        <v>1610.1</v>
      </c>
      <c r="Q54" t="n">
        <v>1481.5</v>
      </c>
      <c r="R54" t="n">
        <v>1677.7</v>
      </c>
      <c r="S54" t="n">
        <v>1467.2</v>
      </c>
      <c r="T54" t="n">
        <v>1463.2</v>
      </c>
      <c r="U54" t="n">
        <v>1565.6</v>
      </c>
      <c r="V54" t="n">
        <v>1513</v>
      </c>
      <c r="W54" t="n">
        <v>841.5</v>
      </c>
      <c r="X54" t="n">
        <v>538.5</v>
      </c>
      <c r="Y54" t="n">
        <v>1017.4</v>
      </c>
      <c r="Z54" t="n">
        <v>875</v>
      </c>
      <c r="AA54" t="n">
        <v>949.6</v>
      </c>
      <c r="AB54" t="n">
        <v>854</v>
      </c>
      <c r="AC54" t="n">
        <v>1000</v>
      </c>
      <c r="AD54" t="n">
        <v>635.9</v>
      </c>
      <c r="AE54" t="n">
        <v>570.9</v>
      </c>
      <c r="AF54" t="n">
        <v>1454.2</v>
      </c>
    </row>
    <row r="55">
      <c r="A55" t="s">
        <v>13</v>
      </c>
      <c r="B55" t="s">
        <v>380</v>
      </c>
      <c r="C55" t="s">
        <v>246</v>
      </c>
      <c r="D55" t="s">
        <v>381</v>
      </c>
      <c r="E55" t="s">
        <v>247</v>
      </c>
      <c r="F55" t="n">
        <v>324.5</v>
      </c>
      <c r="G55" t="n">
        <v>271</v>
      </c>
      <c r="H55" t="n">
        <v>292.6</v>
      </c>
      <c r="I55" t="n">
        <v>356.4</v>
      </c>
      <c r="J55" t="n">
        <v>342</v>
      </c>
      <c r="K55" t="n">
        <v>411.2</v>
      </c>
      <c r="L55" t="n">
        <v>493.2</v>
      </c>
      <c r="M55" t="n">
        <v>493.5</v>
      </c>
      <c r="N55" t="n">
        <v>608.7</v>
      </c>
      <c r="O55" t="n">
        <v>542.3</v>
      </c>
      <c r="P55" t="n">
        <v>586.3</v>
      </c>
      <c r="Q55" t="n">
        <v>537.7</v>
      </c>
      <c r="R55" t="n">
        <v>639.3</v>
      </c>
      <c r="S55" t="n">
        <v>536.8</v>
      </c>
      <c r="T55" t="n">
        <v>457.5</v>
      </c>
      <c r="U55" t="n">
        <v>554.3</v>
      </c>
      <c r="V55" t="n">
        <v>593.3</v>
      </c>
      <c r="W55" t="n">
        <v>331.8</v>
      </c>
      <c r="X55" t="n">
        <v>157.1</v>
      </c>
      <c r="Y55" t="n">
        <v>455.8</v>
      </c>
      <c r="Z55" t="n">
        <v>300.7</v>
      </c>
      <c r="AA55" t="n">
        <v>207.4</v>
      </c>
      <c r="AB55" t="n">
        <v>273.7</v>
      </c>
      <c r="AC55" t="n">
        <v>195.2</v>
      </c>
      <c r="AD55" t="n">
        <v>169.3</v>
      </c>
      <c r="AE55" t="n">
        <v>116.9</v>
      </c>
      <c r="AF55" t="n">
        <v>252.2</v>
      </c>
    </row>
    <row r="56">
      <c r="A56" t="s">
        <v>13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</v>
      </c>
      <c r="B57" t="s">
        <v>384</v>
      </c>
      <c r="C57" t="s">
        <v>246</v>
      </c>
      <c r="D57" t="s">
        <v>385</v>
      </c>
      <c r="E57" t="s">
        <v>247</v>
      </c>
      <c r="F57" t="n">
        <v>48086.1</v>
      </c>
      <c r="G57" t="n">
        <v>51741.5</v>
      </c>
      <c r="H57" t="n">
        <v>53650.3</v>
      </c>
      <c r="I57" t="n">
        <v>55321.7</v>
      </c>
      <c r="J57" t="n">
        <v>58425.9</v>
      </c>
      <c r="K57" t="n">
        <v>64883.1</v>
      </c>
      <c r="L57" t="n">
        <v>70984.2</v>
      </c>
      <c r="M57" t="n">
        <v>79216</v>
      </c>
      <c r="N57" t="n">
        <v>82553</v>
      </c>
      <c r="O57" t="n">
        <v>87295.2</v>
      </c>
      <c r="P57" t="n">
        <v>88127.8</v>
      </c>
      <c r="Q57" t="n">
        <v>89621.5</v>
      </c>
      <c r="R57" t="n">
        <v>93221.8</v>
      </c>
      <c r="S57" t="n">
        <v>91889.1</v>
      </c>
      <c r="T57" t="n">
        <v>85485.6</v>
      </c>
      <c r="U57" t="n">
        <v>80233.9</v>
      </c>
      <c r="V57" t="n">
        <v>85522.5</v>
      </c>
      <c r="W57" t="n">
        <v>75817</v>
      </c>
      <c r="X57" t="n">
        <v>66452.9</v>
      </c>
      <c r="Y57" t="n">
        <v>62916</v>
      </c>
      <c r="Z57" t="n">
        <v>63089.4</v>
      </c>
      <c r="AA57" t="n">
        <v>62545.2</v>
      </c>
      <c r="AB57" t="n">
        <v>64327.5</v>
      </c>
      <c r="AC57" t="n">
        <v>67263.8</v>
      </c>
      <c r="AD57" t="n">
        <v>71284.2</v>
      </c>
      <c r="AE57" t="n">
        <v>68469.6</v>
      </c>
      <c r="AF57" t="n">
        <v>83315.7</v>
      </c>
    </row>
    <row r="58">
      <c r="A58" t="s">
        <v>13</v>
      </c>
      <c r="B58" t="s">
        <v>386</v>
      </c>
      <c r="C58" t="s">
        <v>246</v>
      </c>
      <c r="D58" t="s">
        <v>387</v>
      </c>
      <c r="E58" t="s">
        <v>247</v>
      </c>
      <c r="F58" t="n">
        <v>48086.1</v>
      </c>
      <c r="G58" t="n">
        <v>51741.5</v>
      </c>
      <c r="H58" t="n">
        <v>53650.3</v>
      </c>
      <c r="I58" t="n">
        <v>55321.7</v>
      </c>
      <c r="J58" t="n">
        <v>58425.9</v>
      </c>
      <c r="K58" t="n">
        <v>64883.1</v>
      </c>
      <c r="L58" t="n">
        <v>70984.2</v>
      </c>
      <c r="M58" t="n">
        <v>79216</v>
      </c>
      <c r="N58" t="n">
        <v>82553</v>
      </c>
      <c r="O58" t="n">
        <v>87295.2</v>
      </c>
      <c r="P58" t="n">
        <v>88127.8</v>
      </c>
      <c r="Q58" t="n">
        <v>89621.5</v>
      </c>
      <c r="R58" t="n">
        <v>93221.8</v>
      </c>
      <c r="S58" t="n">
        <v>91889.1</v>
      </c>
      <c r="T58" t="n">
        <v>85485.6</v>
      </c>
      <c r="U58" t="n">
        <v>80233.9</v>
      </c>
      <c r="V58" t="n">
        <v>85522.5</v>
      </c>
      <c r="W58" t="n">
        <v>75817</v>
      </c>
      <c r="X58" t="n">
        <v>66452.9</v>
      </c>
      <c r="Y58" t="n">
        <v>62916</v>
      </c>
      <c r="Z58" t="n">
        <v>63089.4</v>
      </c>
      <c r="AA58" t="n">
        <v>62545.2</v>
      </c>
      <c r="AB58" t="n">
        <v>64327.5</v>
      </c>
      <c r="AC58" t="n">
        <v>67263.8</v>
      </c>
      <c r="AD58" t="n">
        <v>71284.2</v>
      </c>
      <c r="AE58" t="n">
        <v>68469.6</v>
      </c>
      <c r="AF58" t="n">
        <v>83315.7</v>
      </c>
    </row>
    <row r="59">
      <c r="A59" t="s">
        <v>13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15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15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15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</v>
      </c>
      <c r="B40" t="s">
        <v>350</v>
      </c>
      <c r="C40" t="s">
        <v>246</v>
      </c>
      <c r="D40" t="s">
        <v>351</v>
      </c>
      <c r="E40" t="s">
        <v>247</v>
      </c>
      <c r="F40" t="n">
        <v>51019.3</v>
      </c>
      <c r="G40" t="n">
        <v>51558.8</v>
      </c>
      <c r="H40" t="n">
        <v>52352.7</v>
      </c>
      <c r="I40" t="n">
        <v>53200.3</v>
      </c>
      <c r="J40" t="n">
        <v>55129.3</v>
      </c>
      <c r="K40" t="n">
        <v>59509</v>
      </c>
      <c r="L40" t="n">
        <v>61940.4</v>
      </c>
      <c r="M40" t="n">
        <v>65362.5</v>
      </c>
      <c r="N40" t="n">
        <v>69228.5</v>
      </c>
      <c r="O40" t="n">
        <v>73690.3</v>
      </c>
      <c r="P40" t="n">
        <v>82029.8</v>
      </c>
      <c r="Q40" t="n">
        <v>88733</v>
      </c>
      <c r="R40" t="n">
        <v>93347.3</v>
      </c>
      <c r="S40" t="n">
        <v>94393</v>
      </c>
      <c r="T40" t="n">
        <v>86669.4</v>
      </c>
      <c r="U40" t="n">
        <v>88459.5</v>
      </c>
      <c r="V40" t="n">
        <v>85576.2</v>
      </c>
      <c r="W40" t="n">
        <v>78965.1</v>
      </c>
      <c r="X40" t="n">
        <v>74760.5</v>
      </c>
      <c r="Y40" t="n">
        <v>68858.6</v>
      </c>
      <c r="Z40" t="n">
        <v>67381.6</v>
      </c>
      <c r="AA40" t="n">
        <v>67751.4</v>
      </c>
      <c r="AB40" t="n">
        <v>69034.5</v>
      </c>
      <c r="AC40" t="n">
        <v>70929.2</v>
      </c>
      <c r="AD40" t="n">
        <v>70457.6</v>
      </c>
      <c r="AE40" t="n">
        <v>65546.2</v>
      </c>
      <c r="AF40" t="n">
        <v>102848.6</v>
      </c>
    </row>
    <row r="41">
      <c r="A41" t="s">
        <v>15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15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15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15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15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</v>
      </c>
      <c r="B57" t="s">
        <v>384</v>
      </c>
      <c r="C57" t="s">
        <v>246</v>
      </c>
      <c r="D57" t="s">
        <v>385</v>
      </c>
      <c r="E57" t="s">
        <v>247</v>
      </c>
      <c r="F57" t="n">
        <v>51019.3</v>
      </c>
      <c r="G57" t="n">
        <v>51558.8</v>
      </c>
      <c r="H57" t="n">
        <v>52352.7</v>
      </c>
      <c r="I57" t="n">
        <v>53200.3</v>
      </c>
      <c r="J57" t="n">
        <v>55129.3</v>
      </c>
      <c r="K57" t="n">
        <v>59509</v>
      </c>
      <c r="L57" t="n">
        <v>61940.4</v>
      </c>
      <c r="M57" t="n">
        <v>65362.5</v>
      </c>
      <c r="N57" t="n">
        <v>69228.5</v>
      </c>
      <c r="O57" t="n">
        <v>73690.3</v>
      </c>
      <c r="P57" t="n">
        <v>82029.8</v>
      </c>
      <c r="Q57" t="n">
        <v>88733</v>
      </c>
      <c r="R57" t="n">
        <v>93347.3</v>
      </c>
      <c r="S57" t="n">
        <v>94393</v>
      </c>
      <c r="T57" t="n">
        <v>86669.4</v>
      </c>
      <c r="U57" t="n">
        <v>88459.5</v>
      </c>
      <c r="V57" t="n">
        <v>85576.2</v>
      </c>
      <c r="W57" t="n">
        <v>78965.1</v>
      </c>
      <c r="X57" t="n">
        <v>74760.5</v>
      </c>
      <c r="Y57" t="n">
        <v>68858.6</v>
      </c>
      <c r="Z57" t="n">
        <v>67381.6</v>
      </c>
      <c r="AA57" t="n">
        <v>67751.4</v>
      </c>
      <c r="AB57" t="n">
        <v>69034.5</v>
      </c>
      <c r="AC57" t="n">
        <v>70929.2</v>
      </c>
      <c r="AD57" t="n">
        <v>70457.6</v>
      </c>
      <c r="AE57" t="n">
        <v>65546.2</v>
      </c>
      <c r="AF57" t="n">
        <v>102848.6</v>
      </c>
    </row>
    <row r="58">
      <c r="A58" t="s">
        <v>15</v>
      </c>
      <c r="B58" t="s">
        <v>386</v>
      </c>
      <c r="C58" t="s">
        <v>246</v>
      </c>
      <c r="D58" t="s">
        <v>387</v>
      </c>
      <c r="E58" t="s">
        <v>247</v>
      </c>
      <c r="F58" t="n">
        <v>51019.3</v>
      </c>
      <c r="G58" t="n">
        <v>51558.8</v>
      </c>
      <c r="H58" t="n">
        <v>52352.7</v>
      </c>
      <c r="I58" t="n">
        <v>53200.3</v>
      </c>
      <c r="J58" t="n">
        <v>55129.3</v>
      </c>
      <c r="K58" t="n">
        <v>59509</v>
      </c>
      <c r="L58" t="n">
        <v>61940.4</v>
      </c>
      <c r="M58" t="n">
        <v>65362.5</v>
      </c>
      <c r="N58" t="n">
        <v>69228.5</v>
      </c>
      <c r="O58" t="n">
        <v>73690.3</v>
      </c>
      <c r="P58" t="n">
        <v>82029.8</v>
      </c>
      <c r="Q58" t="n">
        <v>88733</v>
      </c>
      <c r="R58" t="n">
        <v>93347.3</v>
      </c>
      <c r="S58" t="n">
        <v>94393</v>
      </c>
      <c r="T58" t="n">
        <v>86669.4</v>
      </c>
      <c r="U58" t="n">
        <v>88459.5</v>
      </c>
      <c r="V58" t="n">
        <v>85576.2</v>
      </c>
      <c r="W58" t="n">
        <v>78965.1</v>
      </c>
      <c r="X58" t="n">
        <v>74760.5</v>
      </c>
      <c r="Y58" t="n">
        <v>68858.6</v>
      </c>
      <c r="Z58" t="n">
        <v>67381.6</v>
      </c>
      <c r="AA58" t="n">
        <v>67751.4</v>
      </c>
      <c r="AB58" t="n">
        <v>69034.5</v>
      </c>
      <c r="AC58" t="n">
        <v>70929.2</v>
      </c>
      <c r="AD58" t="n">
        <v>70457.6</v>
      </c>
      <c r="AE58" t="n">
        <v>65546.2</v>
      </c>
      <c r="AF58" t="n">
        <v>102848.6</v>
      </c>
    </row>
    <row r="59">
      <c r="A59" t="s">
        <v>15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17</v>
      </c>
      <c r="B2" t="s">
        <v>197</v>
      </c>
      <c r="C2" t="s">
        <v>246</v>
      </c>
      <c r="D2" t="s">
        <v>199</v>
      </c>
      <c r="E2" t="s">
        <v>247</v>
      </c>
      <c r="F2" t="n">
        <v>632.3</v>
      </c>
      <c r="G2" t="n">
        <v>621.8</v>
      </c>
      <c r="H2" t="n">
        <v>632.2</v>
      </c>
      <c r="I2" t="n">
        <v>621.6</v>
      </c>
      <c r="J2" t="n">
        <v>659.4</v>
      </c>
      <c r="K2" t="n">
        <v>595.4</v>
      </c>
      <c r="L2" t="n">
        <v>626.3</v>
      </c>
      <c r="M2" t="n">
        <v>663</v>
      </c>
      <c r="N2" t="n">
        <v>669.2</v>
      </c>
      <c r="O2" t="n">
        <v>702.3</v>
      </c>
      <c r="P2" t="n">
        <v>670.5</v>
      </c>
      <c r="Q2" t="n">
        <v>668.4</v>
      </c>
      <c r="R2" t="n">
        <v>614.1</v>
      </c>
      <c r="S2" t="n">
        <v>546.4</v>
      </c>
      <c r="T2" t="n">
        <v>572.5</v>
      </c>
      <c r="U2" t="n">
        <v>587.4</v>
      </c>
      <c r="V2" t="n">
        <v>609.6</v>
      </c>
      <c r="W2" t="n">
        <v>668.5</v>
      </c>
      <c r="X2" t="n">
        <v>681.6</v>
      </c>
      <c r="Y2" t="n">
        <v>652.5</v>
      </c>
      <c r="Z2" t="n">
        <v>622.6</v>
      </c>
      <c r="AA2" t="n">
        <v>623</v>
      </c>
      <c r="AB2" t="n">
        <v>643.9</v>
      </c>
      <c r="AC2" t="n">
        <v>636.8</v>
      </c>
      <c r="AD2" t="n">
        <v>602.8</v>
      </c>
      <c r="AE2" t="n">
        <v>551.2</v>
      </c>
      <c r="AF2" t="n">
        <v>590</v>
      </c>
    </row>
    <row r="3">
      <c r="A3" t="s">
        <v>17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17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17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17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17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17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17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17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17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17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17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17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17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17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17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17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17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17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17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17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17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17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17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17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17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17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17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17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17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17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17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17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17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17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17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17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17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17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17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17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17</v>
      </c>
      <c r="B44" t="s">
        <v>358</v>
      </c>
      <c r="C44" t="s">
        <v>246</v>
      </c>
      <c r="D44" t="s">
        <v>359</v>
      </c>
      <c r="E44" t="s">
        <v>247</v>
      </c>
      <c r="F44" t="n">
        <v>649.4</v>
      </c>
      <c r="G44" t="n">
        <v>639.9</v>
      </c>
      <c r="H44" t="n">
        <v>650.4</v>
      </c>
      <c r="I44" t="n">
        <v>640.6</v>
      </c>
      <c r="J44" t="n">
        <v>676</v>
      </c>
      <c r="K44" t="n">
        <v>688.3</v>
      </c>
      <c r="L44" t="n">
        <v>724.1</v>
      </c>
      <c r="M44" t="n">
        <v>797.4</v>
      </c>
      <c r="N44" t="n">
        <v>770.4</v>
      </c>
      <c r="O44" t="n">
        <v>801.2</v>
      </c>
      <c r="P44" t="n">
        <v>771.5</v>
      </c>
      <c r="Q44" t="n">
        <v>768.4</v>
      </c>
      <c r="R44" t="n">
        <v>703.1</v>
      </c>
      <c r="S44" t="n">
        <v>622.7</v>
      </c>
      <c r="T44" t="n">
        <v>650.7</v>
      </c>
      <c r="U44" t="n">
        <v>681.8</v>
      </c>
      <c r="V44" t="n">
        <v>696.6</v>
      </c>
      <c r="W44" t="n">
        <v>730.5</v>
      </c>
      <c r="X44" t="n">
        <v>736.2</v>
      </c>
      <c r="Y44" t="n">
        <v>687.3</v>
      </c>
      <c r="Z44" t="n">
        <v>666.4</v>
      </c>
      <c r="AA44" t="n">
        <v>668.8</v>
      </c>
      <c r="AB44" t="n">
        <v>675.7</v>
      </c>
      <c r="AC44" t="n">
        <v>675.5</v>
      </c>
      <c r="AD44" t="n">
        <v>636.6</v>
      </c>
      <c r="AE44" t="n">
        <v>584.8</v>
      </c>
      <c r="AF44" t="n">
        <v>627.4</v>
      </c>
    </row>
    <row r="45">
      <c r="A45" t="s">
        <v>17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17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17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17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17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17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17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17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17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17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17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17</v>
      </c>
      <c r="B57" t="s">
        <v>384</v>
      </c>
      <c r="C57" t="s">
        <v>246</v>
      </c>
      <c r="D57" t="s">
        <v>385</v>
      </c>
      <c r="E57" t="s">
        <v>247</v>
      </c>
      <c r="F57" t="n">
        <v>649.4</v>
      </c>
      <c r="G57" t="n">
        <v>639.9</v>
      </c>
      <c r="H57" t="n">
        <v>650.4</v>
      </c>
      <c r="I57" t="n">
        <v>640.6</v>
      </c>
      <c r="J57" t="n">
        <v>676</v>
      </c>
      <c r="K57" t="n">
        <v>688.3</v>
      </c>
      <c r="L57" t="n">
        <v>724.1</v>
      </c>
      <c r="M57" t="n">
        <v>797.4</v>
      </c>
      <c r="N57" t="n">
        <v>770.4</v>
      </c>
      <c r="O57" t="n">
        <v>801.2</v>
      </c>
      <c r="P57" t="n">
        <v>771.5</v>
      </c>
      <c r="Q57" t="n">
        <v>768.4</v>
      </c>
      <c r="R57" t="n">
        <v>703.1</v>
      </c>
      <c r="S57" t="n">
        <v>622.7</v>
      </c>
      <c r="T57" t="n">
        <v>650.7</v>
      </c>
      <c r="U57" t="n">
        <v>681.8</v>
      </c>
      <c r="V57" t="n">
        <v>696.6</v>
      </c>
      <c r="W57" t="n">
        <v>730.5</v>
      </c>
      <c r="X57" t="n">
        <v>736.2</v>
      </c>
      <c r="Y57" t="n">
        <v>687.3</v>
      </c>
      <c r="Z57" t="n">
        <v>666.4</v>
      </c>
      <c r="AA57" t="n">
        <v>668.8</v>
      </c>
      <c r="AB57" t="n">
        <v>675.7</v>
      </c>
      <c r="AC57" t="n">
        <v>675.5</v>
      </c>
      <c r="AD57" t="n">
        <v>636.6</v>
      </c>
      <c r="AE57" t="n">
        <v>584.8</v>
      </c>
      <c r="AF57" t="n">
        <v>627.4</v>
      </c>
    </row>
    <row r="58">
      <c r="A58" t="s">
        <v>17</v>
      </c>
      <c r="B58" t="s">
        <v>386</v>
      </c>
      <c r="C58" t="s">
        <v>246</v>
      </c>
      <c r="D58" t="s">
        <v>387</v>
      </c>
      <c r="E58" t="s">
        <v>247</v>
      </c>
      <c r="F58" t="n">
        <v>649.4</v>
      </c>
      <c r="G58" t="n">
        <v>639.9</v>
      </c>
      <c r="H58" t="n">
        <v>650.4</v>
      </c>
      <c r="I58" t="n">
        <v>640.6</v>
      </c>
      <c r="J58" t="n">
        <v>676</v>
      </c>
      <c r="K58" t="n">
        <v>688.3</v>
      </c>
      <c r="L58" t="n">
        <v>724.1</v>
      </c>
      <c r="M58" t="n">
        <v>797.4</v>
      </c>
      <c r="N58" t="n">
        <v>770.4</v>
      </c>
      <c r="O58" t="n">
        <v>801.2</v>
      </c>
      <c r="P58" t="n">
        <v>771.5</v>
      </c>
      <c r="Q58" t="n">
        <v>768.4</v>
      </c>
      <c r="R58" t="n">
        <v>703.1</v>
      </c>
      <c r="S58" t="n">
        <v>622.7</v>
      </c>
      <c r="T58" t="n">
        <v>650.7</v>
      </c>
      <c r="U58" t="n">
        <v>681.8</v>
      </c>
      <c r="V58" t="n">
        <v>696.6</v>
      </c>
      <c r="W58" t="n">
        <v>730.5</v>
      </c>
      <c r="X58" t="n">
        <v>736.2</v>
      </c>
      <c r="Y58" t="n">
        <v>687.3</v>
      </c>
      <c r="Z58" t="n">
        <v>666.4</v>
      </c>
      <c r="AA58" t="n">
        <v>668.8</v>
      </c>
      <c r="AB58" t="n">
        <v>675.7</v>
      </c>
      <c r="AC58" t="n">
        <v>675.5</v>
      </c>
      <c r="AD58" t="n">
        <v>636.6</v>
      </c>
      <c r="AE58" t="n">
        <v>584.8</v>
      </c>
      <c r="AF58" t="n">
        <v>627.4</v>
      </c>
    </row>
    <row r="59">
      <c r="A59" t="s">
        <v>17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19</v>
      </c>
      <c r="B2" t="s">
        <v>197</v>
      </c>
      <c r="C2" t="s">
        <v>246</v>
      </c>
      <c r="D2" t="s">
        <v>199</v>
      </c>
      <c r="E2" t="s">
        <v>247</v>
      </c>
      <c r="F2" t="n">
        <v>1.5</v>
      </c>
      <c r="G2" t="n">
        <v>1.5</v>
      </c>
      <c r="H2" t="n">
        <v>1.6</v>
      </c>
      <c r="I2" t="n">
        <v>1.6</v>
      </c>
      <c r="J2" t="n">
        <v>1.7</v>
      </c>
      <c r="K2" t="n">
        <v>1.7</v>
      </c>
      <c r="L2" t="n">
        <v>1.8</v>
      </c>
      <c r="M2" t="n">
        <v>1.9</v>
      </c>
      <c r="N2" t="n">
        <v>2</v>
      </c>
      <c r="O2" t="n">
        <v>2</v>
      </c>
      <c r="P2" t="n">
        <v>2.1</v>
      </c>
      <c r="Q2" t="n">
        <v>2.2</v>
      </c>
      <c r="R2" t="n">
        <v>2.2</v>
      </c>
      <c r="S2" t="n">
        <v>2.5</v>
      </c>
      <c r="T2" t="n">
        <v>3.6</v>
      </c>
      <c r="U2" t="n">
        <v>7.6</v>
      </c>
      <c r="V2" t="n">
        <v>7.8</v>
      </c>
      <c r="W2" t="n">
        <v>7.3</v>
      </c>
      <c r="X2" t="n">
        <v>8</v>
      </c>
      <c r="Y2" t="n">
        <v>11.7</v>
      </c>
      <c r="Z2" t="n">
        <v>12.9</v>
      </c>
      <c r="AA2" t="n">
        <v>19.5</v>
      </c>
      <c r="AB2" t="n">
        <v>10.8</v>
      </c>
      <c r="AC2" t="n">
        <v>12.6</v>
      </c>
      <c r="AD2" t="n">
        <v>26.3</v>
      </c>
      <c r="AE2" t="n">
        <v>33.7</v>
      </c>
      <c r="AF2" t="n">
        <v>40</v>
      </c>
    </row>
    <row r="3">
      <c r="A3" t="s">
        <v>19</v>
      </c>
      <c r="B3" t="s">
        <v>276</v>
      </c>
      <c r="C3" t="s">
        <v>246</v>
      </c>
      <c r="D3" t="s">
        <v>277</v>
      </c>
      <c r="E3" t="s">
        <v>247</v>
      </c>
      <c r="F3" t="n">
        <v>155</v>
      </c>
      <c r="G3" t="n">
        <v>161</v>
      </c>
      <c r="H3" t="n">
        <v>162.7</v>
      </c>
      <c r="I3" t="n">
        <v>169.1</v>
      </c>
      <c r="J3" t="n">
        <v>173.3</v>
      </c>
      <c r="K3" t="n">
        <v>181.6</v>
      </c>
      <c r="L3" t="n">
        <v>193.7</v>
      </c>
      <c r="M3" t="n">
        <v>201.7</v>
      </c>
      <c r="N3" t="n">
        <v>211.5</v>
      </c>
      <c r="O3" t="n">
        <v>213.6</v>
      </c>
      <c r="P3" t="n">
        <v>225.2</v>
      </c>
      <c r="Q3" t="n">
        <v>226.5</v>
      </c>
      <c r="R3" t="n">
        <v>233.5</v>
      </c>
      <c r="S3" t="n">
        <v>259.2</v>
      </c>
      <c r="T3" t="n">
        <v>251</v>
      </c>
      <c r="U3" t="n">
        <v>243.8</v>
      </c>
      <c r="V3" t="n">
        <v>213.5</v>
      </c>
      <c r="W3" t="n">
        <v>198</v>
      </c>
      <c r="X3" t="n">
        <v>172</v>
      </c>
      <c r="Y3" t="n">
        <v>127.4</v>
      </c>
      <c r="Z3" t="n">
        <v>100</v>
      </c>
      <c r="AA3" t="n">
        <v>132.5</v>
      </c>
      <c r="AB3" t="n">
        <v>169.5</v>
      </c>
      <c r="AC3" t="n">
        <v>192.7</v>
      </c>
      <c r="AD3" t="n">
        <v>190.7</v>
      </c>
      <c r="AE3" t="n">
        <v>181.6</v>
      </c>
      <c r="AF3" t="n">
        <v>233.5</v>
      </c>
    </row>
    <row r="4">
      <c r="A4" t="s">
        <v>19</v>
      </c>
      <c r="B4" t="s">
        <v>278</v>
      </c>
      <c r="C4" t="s">
        <v>246</v>
      </c>
      <c r="D4" t="s">
        <v>279</v>
      </c>
      <c r="E4" t="s">
        <v>247</v>
      </c>
      <c r="F4" t="n">
        <v>4879</v>
      </c>
      <c r="G4" t="n">
        <v>5065.8</v>
      </c>
      <c r="H4" t="n">
        <v>5119.5</v>
      </c>
      <c r="I4" t="n">
        <v>5320.6</v>
      </c>
      <c r="J4" t="n">
        <v>5455</v>
      </c>
      <c r="K4" t="n">
        <v>5714.7</v>
      </c>
      <c r="L4" t="n">
        <v>6097.3</v>
      </c>
      <c r="M4" t="n">
        <v>6349</v>
      </c>
      <c r="N4" t="n">
        <v>6657.1</v>
      </c>
      <c r="O4" t="n">
        <v>6721.2</v>
      </c>
      <c r="P4" t="n">
        <v>7086.6</v>
      </c>
      <c r="Q4" t="n">
        <v>7129.6</v>
      </c>
      <c r="R4" t="n">
        <v>7349.7</v>
      </c>
      <c r="S4" t="n">
        <v>8158.5</v>
      </c>
      <c r="T4" t="n">
        <v>8642</v>
      </c>
      <c r="U4" t="n">
        <v>9289.5</v>
      </c>
      <c r="V4" t="n">
        <v>9826.2</v>
      </c>
      <c r="W4" t="n">
        <v>9169.9</v>
      </c>
      <c r="X4" t="n">
        <v>8942.2</v>
      </c>
      <c r="Y4" t="n">
        <v>9434.3</v>
      </c>
      <c r="Z4" t="n">
        <v>11023.3</v>
      </c>
      <c r="AA4" t="n">
        <v>12332</v>
      </c>
      <c r="AB4" t="n">
        <v>12727.3</v>
      </c>
      <c r="AC4" t="n">
        <v>13287.5</v>
      </c>
      <c r="AD4" t="n">
        <v>13801.3</v>
      </c>
      <c r="AE4" t="n">
        <v>13369.8</v>
      </c>
      <c r="AF4" t="n">
        <v>13688.9</v>
      </c>
    </row>
    <row r="5">
      <c r="A5" t="s">
        <v>19</v>
      </c>
      <c r="B5" t="s">
        <v>280</v>
      </c>
      <c r="C5" t="s">
        <v>246</v>
      </c>
      <c r="D5" t="s">
        <v>281</v>
      </c>
      <c r="E5" t="s">
        <v>247</v>
      </c>
      <c r="F5" t="n">
        <v>161.8</v>
      </c>
      <c r="G5" t="n">
        <v>168</v>
      </c>
      <c r="H5" t="n">
        <v>169.8</v>
      </c>
      <c r="I5" t="n">
        <v>176.4</v>
      </c>
      <c r="J5" t="n">
        <v>180.9</v>
      </c>
      <c r="K5" t="n">
        <v>189.5</v>
      </c>
      <c r="L5" t="n">
        <v>202.2</v>
      </c>
      <c r="M5" t="n">
        <v>210.6</v>
      </c>
      <c r="N5" t="n">
        <v>220.8</v>
      </c>
      <c r="O5" t="n">
        <v>222.9</v>
      </c>
      <c r="P5" t="n">
        <v>235</v>
      </c>
      <c r="Q5" t="n">
        <v>236.4</v>
      </c>
      <c r="R5" t="n">
        <v>243.7</v>
      </c>
      <c r="S5" t="n">
        <v>270.6</v>
      </c>
      <c r="T5" t="n">
        <v>286.5</v>
      </c>
      <c r="U5" t="n">
        <v>288.2</v>
      </c>
      <c r="V5" t="n">
        <v>300</v>
      </c>
      <c r="W5" t="n">
        <v>289.6</v>
      </c>
      <c r="X5" t="n">
        <v>293.4</v>
      </c>
      <c r="Y5" t="n">
        <v>300.9</v>
      </c>
      <c r="Z5" t="n">
        <v>346.7</v>
      </c>
      <c r="AA5" t="n">
        <v>401.3</v>
      </c>
      <c r="AB5" t="n">
        <v>351.8</v>
      </c>
      <c r="AC5" t="n">
        <v>397.3</v>
      </c>
      <c r="AD5" t="n">
        <v>414.7</v>
      </c>
      <c r="AE5" t="n">
        <v>426.7</v>
      </c>
      <c r="AF5" t="n">
        <v>569.7</v>
      </c>
    </row>
    <row r="6">
      <c r="A6" t="s">
        <v>19</v>
      </c>
      <c r="B6" t="s">
        <v>282</v>
      </c>
      <c r="C6" t="s">
        <v>246</v>
      </c>
      <c r="D6" t="s">
        <v>283</v>
      </c>
      <c r="E6" t="s">
        <v>247</v>
      </c>
      <c r="F6" t="n">
        <v>259.7</v>
      </c>
      <c r="G6" t="n">
        <v>269.6</v>
      </c>
      <c r="H6" t="n">
        <v>272.5</v>
      </c>
      <c r="I6" t="n">
        <v>283.2</v>
      </c>
      <c r="J6" t="n">
        <v>290.3</v>
      </c>
      <c r="K6" t="n">
        <v>304.2</v>
      </c>
      <c r="L6" t="n">
        <v>324.5</v>
      </c>
      <c r="M6" t="n">
        <v>337.9</v>
      </c>
      <c r="N6" t="n">
        <v>354.3</v>
      </c>
      <c r="O6" t="n">
        <v>357.7</v>
      </c>
      <c r="P6" t="n">
        <v>377.2</v>
      </c>
      <c r="Q6" t="n">
        <v>379.5</v>
      </c>
      <c r="R6" t="n">
        <v>391.2</v>
      </c>
      <c r="S6" t="n">
        <v>434.2</v>
      </c>
      <c r="T6" t="n">
        <v>537.6</v>
      </c>
      <c r="U6" t="n">
        <v>600.1</v>
      </c>
      <c r="V6" t="n">
        <v>621.8</v>
      </c>
      <c r="W6" t="n">
        <v>608.1</v>
      </c>
      <c r="X6" t="n">
        <v>573.8</v>
      </c>
      <c r="Y6" t="n">
        <v>628.3</v>
      </c>
      <c r="Z6" t="n">
        <v>722.5</v>
      </c>
      <c r="AA6" t="n">
        <v>813.2</v>
      </c>
      <c r="AB6" t="n">
        <v>988.7</v>
      </c>
      <c r="AC6" t="n">
        <v>1067.5</v>
      </c>
      <c r="AD6" t="n">
        <v>1128.6</v>
      </c>
      <c r="AE6" t="n">
        <v>949.1</v>
      </c>
      <c r="AF6" t="n">
        <v>902</v>
      </c>
    </row>
    <row r="7">
      <c r="A7" t="s">
        <v>19</v>
      </c>
      <c r="B7" t="s">
        <v>284</v>
      </c>
      <c r="C7" t="s">
        <v>246</v>
      </c>
      <c r="D7" t="s">
        <v>285</v>
      </c>
      <c r="E7" t="s">
        <v>247</v>
      </c>
      <c r="F7" t="n">
        <v>54</v>
      </c>
      <c r="G7" t="n">
        <v>56.1</v>
      </c>
      <c r="H7" t="n">
        <v>56.7</v>
      </c>
      <c r="I7" t="n">
        <v>58.9</v>
      </c>
      <c r="J7" t="n">
        <v>60.4</v>
      </c>
      <c r="K7" t="n">
        <v>63.3</v>
      </c>
      <c r="L7" t="n">
        <v>67.5</v>
      </c>
      <c r="M7" t="n">
        <v>70.3</v>
      </c>
      <c r="N7" t="n">
        <v>73.7</v>
      </c>
      <c r="O7" t="n">
        <v>74.4</v>
      </c>
      <c r="P7" t="n">
        <v>78.5</v>
      </c>
      <c r="Q7" t="n">
        <v>78.9</v>
      </c>
      <c r="R7" t="n">
        <v>81.4</v>
      </c>
      <c r="S7" t="n">
        <v>90.3</v>
      </c>
      <c r="T7" t="n">
        <v>116</v>
      </c>
      <c r="U7" t="n">
        <v>99.7</v>
      </c>
      <c r="V7" t="n">
        <v>97.9</v>
      </c>
      <c r="W7" t="n">
        <v>87.2</v>
      </c>
      <c r="X7" t="n">
        <v>95.1</v>
      </c>
      <c r="Y7" t="n">
        <v>103.5</v>
      </c>
      <c r="Z7" t="n">
        <v>121.6</v>
      </c>
      <c r="AA7" t="n">
        <v>154.9</v>
      </c>
      <c r="AB7" t="n">
        <v>167.7</v>
      </c>
      <c r="AC7" t="n">
        <v>180</v>
      </c>
      <c r="AD7" t="n">
        <v>200.1</v>
      </c>
      <c r="AE7" t="n">
        <v>198.1</v>
      </c>
      <c r="AF7" t="n">
        <v>162.7</v>
      </c>
    </row>
    <row r="8">
      <c r="A8" t="s">
        <v>19</v>
      </c>
      <c r="B8" t="s">
        <v>286</v>
      </c>
      <c r="C8" t="s">
        <v>246</v>
      </c>
      <c r="D8" t="s">
        <v>287</v>
      </c>
      <c r="E8" t="s">
        <v>247</v>
      </c>
      <c r="F8" t="n">
        <v>3.4</v>
      </c>
      <c r="G8" t="n">
        <v>3.5</v>
      </c>
      <c r="H8" t="n">
        <v>3.5</v>
      </c>
      <c r="I8" t="n">
        <v>3.7</v>
      </c>
      <c r="J8" t="n">
        <v>3.8</v>
      </c>
      <c r="K8" t="n">
        <v>3.9</v>
      </c>
      <c r="L8" t="n">
        <v>4.2</v>
      </c>
      <c r="M8" t="n">
        <v>4.4</v>
      </c>
      <c r="N8" t="n">
        <v>4.6</v>
      </c>
      <c r="O8" t="n">
        <v>4.6</v>
      </c>
      <c r="P8" t="n">
        <v>4.9</v>
      </c>
      <c r="Q8" t="n">
        <v>4.9</v>
      </c>
      <c r="R8" t="n">
        <v>5.1</v>
      </c>
      <c r="S8" t="n">
        <v>5.6</v>
      </c>
      <c r="T8" t="n">
        <v>5.1</v>
      </c>
      <c r="U8" t="n">
        <v>4.7</v>
      </c>
      <c r="V8" t="n">
        <v>16.7</v>
      </c>
      <c r="W8" t="n">
        <v>12</v>
      </c>
      <c r="X8" t="n">
        <v>12.4</v>
      </c>
      <c r="Y8" t="n">
        <v>15.3</v>
      </c>
      <c r="Z8" t="n">
        <v>16.4</v>
      </c>
      <c r="AA8" t="n">
        <v>17</v>
      </c>
      <c r="AB8" t="n">
        <v>16.5</v>
      </c>
      <c r="AC8" t="n">
        <v>18.5</v>
      </c>
      <c r="AD8" t="n">
        <v>22.8</v>
      </c>
      <c r="AE8" t="n">
        <v>15.5</v>
      </c>
      <c r="AF8" t="n">
        <v>30.4</v>
      </c>
    </row>
    <row r="9">
      <c r="A9" t="s">
        <v>19</v>
      </c>
      <c r="B9" t="s">
        <v>288</v>
      </c>
      <c r="C9" t="s">
        <v>246</v>
      </c>
      <c r="D9" t="s">
        <v>289</v>
      </c>
      <c r="E9" t="s">
        <v>247</v>
      </c>
      <c r="F9" t="n">
        <v>271.4</v>
      </c>
      <c r="G9" t="n">
        <v>281.8</v>
      </c>
      <c r="H9" t="n">
        <v>284.8</v>
      </c>
      <c r="I9" t="n">
        <v>296</v>
      </c>
      <c r="J9" t="n">
        <v>303.5</v>
      </c>
      <c r="K9" t="n">
        <v>317.9</v>
      </c>
      <c r="L9" t="n">
        <v>339.2</v>
      </c>
      <c r="M9" t="n">
        <v>353.2</v>
      </c>
      <c r="N9" t="n">
        <v>370.4</v>
      </c>
      <c r="O9" t="n">
        <v>373.9</v>
      </c>
      <c r="P9" t="n">
        <v>394.3</v>
      </c>
      <c r="Q9" t="n">
        <v>396.7</v>
      </c>
      <c r="R9" t="n">
        <v>408.9</v>
      </c>
      <c r="S9" t="n">
        <v>453.9</v>
      </c>
      <c r="T9" t="n">
        <v>445.3</v>
      </c>
      <c r="U9" t="n">
        <v>481.1</v>
      </c>
      <c r="V9" t="n">
        <v>443.2</v>
      </c>
      <c r="W9" t="n">
        <v>431</v>
      </c>
      <c r="X9" t="n">
        <v>407.9</v>
      </c>
      <c r="Y9" t="n">
        <v>403.6</v>
      </c>
      <c r="Z9" t="n">
        <v>414.9</v>
      </c>
      <c r="AA9" t="n">
        <v>560.9</v>
      </c>
      <c r="AB9" t="n">
        <v>579.1</v>
      </c>
      <c r="AC9" t="n">
        <v>618.1</v>
      </c>
      <c r="AD9" t="n">
        <v>575.9</v>
      </c>
      <c r="AE9" t="n">
        <v>636.7</v>
      </c>
      <c r="AF9" t="n">
        <v>689.6</v>
      </c>
    </row>
    <row r="10">
      <c r="A10" t="s">
        <v>19</v>
      </c>
      <c r="B10" t="s">
        <v>290</v>
      </c>
      <c r="C10" t="s">
        <v>246</v>
      </c>
      <c r="D10" t="s">
        <v>291</v>
      </c>
      <c r="E10" t="s">
        <v>247</v>
      </c>
      <c r="F10" t="n">
        <v>660</v>
      </c>
      <c r="G10" t="n">
        <v>685.3</v>
      </c>
      <c r="H10" t="n">
        <v>692.6</v>
      </c>
      <c r="I10" t="n">
        <v>719.8</v>
      </c>
      <c r="J10" t="n">
        <v>738</v>
      </c>
      <c r="K10" t="n">
        <v>773.1</v>
      </c>
      <c r="L10" t="n">
        <v>824.8</v>
      </c>
      <c r="M10" t="n">
        <v>858.9</v>
      </c>
      <c r="N10" t="n">
        <v>900.6</v>
      </c>
      <c r="O10" t="n">
        <v>909.2</v>
      </c>
      <c r="P10" t="n">
        <v>958.7</v>
      </c>
      <c r="Q10" t="n">
        <v>964.6</v>
      </c>
      <c r="R10" t="n">
        <v>994.3</v>
      </c>
      <c r="S10" t="n">
        <v>1103.7</v>
      </c>
      <c r="T10" t="n">
        <v>1192.2</v>
      </c>
      <c r="U10" t="n">
        <v>1307.8</v>
      </c>
      <c r="V10" t="n">
        <v>1197.6</v>
      </c>
      <c r="W10" t="n">
        <v>1142.3</v>
      </c>
      <c r="X10" t="n">
        <v>1068.1</v>
      </c>
      <c r="Y10" t="n">
        <v>952.5</v>
      </c>
      <c r="Z10" t="n">
        <v>1138.6</v>
      </c>
      <c r="AA10" t="n">
        <v>1425</v>
      </c>
      <c r="AB10" t="n">
        <v>1253.5</v>
      </c>
      <c r="AC10" t="n">
        <v>1283.7</v>
      </c>
      <c r="AD10" t="n">
        <v>1264.2</v>
      </c>
      <c r="AE10" t="n">
        <v>1557.2</v>
      </c>
      <c r="AF10" t="n">
        <v>1599</v>
      </c>
    </row>
    <row r="11">
      <c r="A11" t="s">
        <v>19</v>
      </c>
      <c r="B11" t="s">
        <v>292</v>
      </c>
      <c r="C11" t="s">
        <v>246</v>
      </c>
      <c r="D11" t="s">
        <v>293</v>
      </c>
      <c r="E11" t="s">
        <v>247</v>
      </c>
      <c r="F11" t="n">
        <v>388.6</v>
      </c>
      <c r="G11" t="n">
        <v>403.5</v>
      </c>
      <c r="H11" t="n">
        <v>407.8</v>
      </c>
      <c r="I11" t="n">
        <v>423.8</v>
      </c>
      <c r="J11" t="n">
        <v>434.5</v>
      </c>
      <c r="K11" t="n">
        <v>455.2</v>
      </c>
      <c r="L11" t="n">
        <v>485.6</v>
      </c>
      <c r="M11" t="n">
        <v>505.7</v>
      </c>
      <c r="N11" t="n">
        <v>530.2</v>
      </c>
      <c r="O11" t="n">
        <v>535.3</v>
      </c>
      <c r="P11" t="n">
        <v>564.4</v>
      </c>
      <c r="Q11" t="n">
        <v>567.9</v>
      </c>
      <c r="R11" t="n">
        <v>585.4</v>
      </c>
      <c r="S11" t="n">
        <v>649.8</v>
      </c>
      <c r="T11" t="n">
        <v>746.9</v>
      </c>
      <c r="U11" t="n">
        <v>826.7</v>
      </c>
      <c r="V11" t="n">
        <v>754.4</v>
      </c>
      <c r="W11" t="n">
        <v>711.3</v>
      </c>
      <c r="X11" t="n">
        <v>660.2</v>
      </c>
      <c r="Y11" t="n">
        <v>548.9</v>
      </c>
      <c r="Z11" t="n">
        <v>723.7</v>
      </c>
      <c r="AA11" t="n">
        <v>864.1</v>
      </c>
      <c r="AB11" t="n">
        <v>674.4</v>
      </c>
      <c r="AC11" t="n">
        <v>665.6</v>
      </c>
      <c r="AD11" t="n">
        <v>688.3</v>
      </c>
      <c r="AE11" t="n">
        <v>920.5</v>
      </c>
      <c r="AF11" t="n">
        <v>909.4</v>
      </c>
    </row>
    <row r="12">
      <c r="A12" t="s">
        <v>19</v>
      </c>
      <c r="B12" t="s">
        <v>294</v>
      </c>
      <c r="C12" t="s">
        <v>246</v>
      </c>
      <c r="D12" t="s">
        <v>295</v>
      </c>
      <c r="E12" t="s">
        <v>247</v>
      </c>
      <c r="F12" t="n">
        <v>188.7</v>
      </c>
      <c r="G12" t="n">
        <v>195.9</v>
      </c>
      <c r="H12" t="n">
        <v>198</v>
      </c>
      <c r="I12" t="n">
        <v>205.8</v>
      </c>
      <c r="J12" t="n">
        <v>211</v>
      </c>
      <c r="K12" t="n">
        <v>221</v>
      </c>
      <c r="L12" t="n">
        <v>235.8</v>
      </c>
      <c r="M12" t="n">
        <v>245.5</v>
      </c>
      <c r="N12" t="n">
        <v>257.5</v>
      </c>
      <c r="O12" t="n">
        <v>259.9</v>
      </c>
      <c r="P12" t="n">
        <v>274.1</v>
      </c>
      <c r="Q12" t="n">
        <v>275.7</v>
      </c>
      <c r="R12" t="n">
        <v>284.2</v>
      </c>
      <c r="S12" t="n">
        <v>315.5</v>
      </c>
      <c r="T12" t="n">
        <v>323.7</v>
      </c>
      <c r="U12" t="n">
        <v>343.8</v>
      </c>
      <c r="V12" t="n">
        <v>303.9</v>
      </c>
      <c r="W12" t="n">
        <v>336.1</v>
      </c>
      <c r="X12" t="n">
        <v>320</v>
      </c>
      <c r="Y12" t="n">
        <v>342.2</v>
      </c>
      <c r="Z12" t="n">
        <v>529.1</v>
      </c>
      <c r="AA12" t="n">
        <v>636.3</v>
      </c>
      <c r="AB12" t="n">
        <v>719.2</v>
      </c>
      <c r="AC12" t="n">
        <v>691.9</v>
      </c>
      <c r="AD12" t="n">
        <v>670</v>
      </c>
      <c r="AE12" t="n">
        <v>611.3</v>
      </c>
      <c r="AF12" t="n">
        <v>625.5</v>
      </c>
    </row>
    <row r="13">
      <c r="A13" t="s">
        <v>19</v>
      </c>
      <c r="B13" t="s">
        <v>296</v>
      </c>
      <c r="C13" t="s">
        <v>246</v>
      </c>
      <c r="D13" t="s">
        <v>297</v>
      </c>
      <c r="E13" t="s">
        <v>247</v>
      </c>
      <c r="F13" t="n">
        <v>228.4</v>
      </c>
      <c r="G13" t="n">
        <v>237.1</v>
      </c>
      <c r="H13" t="n">
        <v>239.6</v>
      </c>
      <c r="I13" t="n">
        <v>249</v>
      </c>
      <c r="J13" t="n">
        <v>255.3</v>
      </c>
      <c r="K13" t="n">
        <v>267.5</v>
      </c>
      <c r="L13" t="n">
        <v>285.4</v>
      </c>
      <c r="M13" t="n">
        <v>297.2</v>
      </c>
      <c r="N13" t="n">
        <v>311.6</v>
      </c>
      <c r="O13" t="n">
        <v>314.6</v>
      </c>
      <c r="P13" t="n">
        <v>331.7</v>
      </c>
      <c r="Q13" t="n">
        <v>333.7</v>
      </c>
      <c r="R13" t="n">
        <v>344</v>
      </c>
      <c r="S13" t="n">
        <v>381.9</v>
      </c>
      <c r="T13" t="n">
        <v>404.7</v>
      </c>
      <c r="U13" t="n">
        <v>417.6</v>
      </c>
      <c r="V13" t="n">
        <v>436.9</v>
      </c>
      <c r="W13" t="n">
        <v>417.1</v>
      </c>
      <c r="X13" t="n">
        <v>428.9</v>
      </c>
      <c r="Y13" t="n">
        <v>399.8</v>
      </c>
      <c r="Z13" t="n">
        <v>452.6</v>
      </c>
      <c r="AA13" t="n">
        <v>616.5</v>
      </c>
      <c r="AB13" t="n">
        <v>704.6</v>
      </c>
      <c r="AC13" t="n">
        <v>767.9</v>
      </c>
      <c r="AD13" t="n">
        <v>758.6</v>
      </c>
      <c r="AE13" t="n">
        <v>593.5</v>
      </c>
      <c r="AF13" t="n">
        <v>568.3</v>
      </c>
    </row>
    <row r="14">
      <c r="A14" t="s">
        <v>19</v>
      </c>
      <c r="B14" t="s">
        <v>298</v>
      </c>
      <c r="C14" t="s">
        <v>246</v>
      </c>
      <c r="D14" t="s">
        <v>299</v>
      </c>
      <c r="E14" t="s">
        <v>247</v>
      </c>
      <c r="F14" t="n">
        <v>640.9</v>
      </c>
      <c r="G14" t="n">
        <v>665.5</v>
      </c>
      <c r="H14" t="n">
        <v>672.5</v>
      </c>
      <c r="I14" t="n">
        <v>698.9</v>
      </c>
      <c r="J14" t="n">
        <v>716.6</v>
      </c>
      <c r="K14" t="n">
        <v>750.7</v>
      </c>
      <c r="L14" t="n">
        <v>801</v>
      </c>
      <c r="M14" t="n">
        <v>834</v>
      </c>
      <c r="N14" t="n">
        <v>874.5</v>
      </c>
      <c r="O14" t="n">
        <v>883</v>
      </c>
      <c r="P14" t="n">
        <v>930.9</v>
      </c>
      <c r="Q14" t="n">
        <v>936.6</v>
      </c>
      <c r="R14" t="n">
        <v>965.5</v>
      </c>
      <c r="S14" t="n">
        <v>1071.7</v>
      </c>
      <c r="T14" t="n">
        <v>1168.3</v>
      </c>
      <c r="U14" t="n">
        <v>1309.3</v>
      </c>
      <c r="V14" t="n">
        <v>1309.9</v>
      </c>
      <c r="W14" t="n">
        <v>1169.7</v>
      </c>
      <c r="X14" t="n">
        <v>1059.7</v>
      </c>
      <c r="Y14" t="n">
        <v>1404.9</v>
      </c>
      <c r="Z14" t="n">
        <v>1560.9</v>
      </c>
      <c r="AA14" t="n">
        <v>1141.6</v>
      </c>
      <c r="AB14" t="n">
        <v>1301.6</v>
      </c>
      <c r="AC14" t="n">
        <v>1296.2</v>
      </c>
      <c r="AD14" t="n">
        <v>1344.1</v>
      </c>
      <c r="AE14" t="n">
        <v>1729.3</v>
      </c>
      <c r="AF14" t="n">
        <v>1565.5</v>
      </c>
    </row>
    <row r="15">
      <c r="A15" t="s">
        <v>19</v>
      </c>
      <c r="B15" t="s">
        <v>300</v>
      </c>
      <c r="C15" t="s">
        <v>246</v>
      </c>
      <c r="D15" t="s">
        <v>301</v>
      </c>
      <c r="E15" t="s">
        <v>247</v>
      </c>
      <c r="F15" t="n">
        <v>929.4</v>
      </c>
      <c r="G15" t="n">
        <v>965</v>
      </c>
      <c r="H15" t="n">
        <v>975.2</v>
      </c>
      <c r="I15" t="n">
        <v>1013.5</v>
      </c>
      <c r="J15" t="n">
        <v>1039.1</v>
      </c>
      <c r="K15" t="n">
        <v>1088.6</v>
      </c>
      <c r="L15" t="n">
        <v>1161.5</v>
      </c>
      <c r="M15" t="n">
        <v>1209.4</v>
      </c>
      <c r="N15" t="n">
        <v>1268.1</v>
      </c>
      <c r="O15" t="n">
        <v>1280.4</v>
      </c>
      <c r="P15" t="n">
        <v>1349.9</v>
      </c>
      <c r="Q15" t="n">
        <v>1358.1</v>
      </c>
      <c r="R15" t="n">
        <v>1400</v>
      </c>
      <c r="S15" t="n">
        <v>1554.1</v>
      </c>
      <c r="T15" t="n">
        <v>1778.5</v>
      </c>
      <c r="U15" t="n">
        <v>1887</v>
      </c>
      <c r="V15" t="n">
        <v>1956.6</v>
      </c>
      <c r="W15" t="n">
        <v>1755.4</v>
      </c>
      <c r="X15" t="n">
        <v>1545.6</v>
      </c>
      <c r="Y15" t="n">
        <v>1870</v>
      </c>
      <c r="Z15" t="n">
        <v>2135.4</v>
      </c>
      <c r="AA15" t="n">
        <v>1872.4</v>
      </c>
      <c r="AB15" t="n">
        <v>2060</v>
      </c>
      <c r="AC15" t="n">
        <v>2120.7</v>
      </c>
      <c r="AD15" t="n">
        <v>2232.6</v>
      </c>
      <c r="AE15" t="n">
        <v>2511.7</v>
      </c>
      <c r="AF15" t="n">
        <v>2262.1</v>
      </c>
    </row>
    <row r="16">
      <c r="A16" t="s">
        <v>19</v>
      </c>
      <c r="B16" t="s">
        <v>302</v>
      </c>
      <c r="C16" t="s">
        <v>246</v>
      </c>
      <c r="D16" t="s">
        <v>303</v>
      </c>
      <c r="E16" t="s">
        <v>247</v>
      </c>
      <c r="F16" t="n">
        <v>288.5</v>
      </c>
      <c r="G16" t="n">
        <v>299.5</v>
      </c>
      <c r="H16" t="n">
        <v>302.7</v>
      </c>
      <c r="I16" t="n">
        <v>314.6</v>
      </c>
      <c r="J16" t="n">
        <v>322.5</v>
      </c>
      <c r="K16" t="n">
        <v>337.9</v>
      </c>
      <c r="L16" t="n">
        <v>360.5</v>
      </c>
      <c r="M16" t="n">
        <v>375.4</v>
      </c>
      <c r="N16" t="n">
        <v>393.6</v>
      </c>
      <c r="O16" t="n">
        <v>397.4</v>
      </c>
      <c r="P16" t="n">
        <v>419</v>
      </c>
      <c r="Q16" t="n">
        <v>421.5</v>
      </c>
      <c r="R16" t="n">
        <v>434.5</v>
      </c>
      <c r="S16" t="n">
        <v>482.4</v>
      </c>
      <c r="T16" t="n">
        <v>610.2</v>
      </c>
      <c r="U16" t="n">
        <v>577.7</v>
      </c>
      <c r="V16" t="n">
        <v>646.7</v>
      </c>
      <c r="W16" t="n">
        <v>585.7</v>
      </c>
      <c r="X16" t="n">
        <v>485.9</v>
      </c>
      <c r="Y16" t="n">
        <v>465.1</v>
      </c>
      <c r="Z16" t="n">
        <v>574.5</v>
      </c>
      <c r="AA16" t="n">
        <v>730.8</v>
      </c>
      <c r="AB16" t="n">
        <v>758.4</v>
      </c>
      <c r="AC16" t="n">
        <v>824.5</v>
      </c>
      <c r="AD16" t="n">
        <v>888.5</v>
      </c>
      <c r="AE16" t="n">
        <v>782.4</v>
      </c>
      <c r="AF16" t="n">
        <v>696.6</v>
      </c>
    </row>
    <row r="17">
      <c r="A17" t="s">
        <v>19</v>
      </c>
      <c r="B17" t="s">
        <v>304</v>
      </c>
      <c r="C17" t="s">
        <v>246</v>
      </c>
      <c r="D17" t="s">
        <v>305</v>
      </c>
      <c r="E17" t="s">
        <v>247</v>
      </c>
      <c r="F17" t="n">
        <v>772.6</v>
      </c>
      <c r="G17" t="n">
        <v>802.2</v>
      </c>
      <c r="H17" t="n">
        <v>810.6</v>
      </c>
      <c r="I17" t="n">
        <v>842.5</v>
      </c>
      <c r="J17" t="n">
        <v>863.8</v>
      </c>
      <c r="K17" t="n">
        <v>904.9</v>
      </c>
      <c r="L17" t="n">
        <v>965.5</v>
      </c>
      <c r="M17" t="n">
        <v>1005.3</v>
      </c>
      <c r="N17" t="n">
        <v>1054.1</v>
      </c>
      <c r="O17" t="n">
        <v>1064.3</v>
      </c>
      <c r="P17" t="n">
        <v>1122.1</v>
      </c>
      <c r="Q17" t="n">
        <v>1129</v>
      </c>
      <c r="R17" t="n">
        <v>1163.8</v>
      </c>
      <c r="S17" t="n">
        <v>1291.9</v>
      </c>
      <c r="T17" t="n">
        <v>1350.1</v>
      </c>
      <c r="U17" t="n">
        <v>1438.9</v>
      </c>
      <c r="V17" t="n">
        <v>1573</v>
      </c>
      <c r="W17" t="n">
        <v>1488.8</v>
      </c>
      <c r="X17" t="n">
        <v>1541.1</v>
      </c>
      <c r="Y17" t="n">
        <v>1608.1</v>
      </c>
      <c r="Z17" t="n">
        <v>1676.8</v>
      </c>
      <c r="AA17" t="n">
        <v>1936.1</v>
      </c>
      <c r="AB17" t="n">
        <v>2152.3</v>
      </c>
      <c r="AC17" t="n">
        <v>2383.5</v>
      </c>
      <c r="AD17" t="n">
        <v>2374.9</v>
      </c>
      <c r="AE17" t="n">
        <v>2410.1</v>
      </c>
      <c r="AF17" t="n">
        <v>2214.7</v>
      </c>
    </row>
    <row r="18">
      <c r="A18" t="s">
        <v>19</v>
      </c>
      <c r="B18" t="s">
        <v>306</v>
      </c>
      <c r="C18" t="s">
        <v>246</v>
      </c>
      <c r="D18" t="s">
        <v>307</v>
      </c>
      <c r="E18" t="s">
        <v>247</v>
      </c>
      <c r="F18" t="n">
        <v>1453.4</v>
      </c>
      <c r="G18" t="n">
        <v>1509.1</v>
      </c>
      <c r="H18" t="n">
        <v>1525.1</v>
      </c>
      <c r="I18" t="n">
        <v>1585</v>
      </c>
      <c r="J18" t="n">
        <v>1625</v>
      </c>
      <c r="K18" t="n">
        <v>1702.4</v>
      </c>
      <c r="L18" t="n">
        <v>1816.4</v>
      </c>
      <c r="M18" t="n">
        <v>1891.4</v>
      </c>
      <c r="N18" t="n">
        <v>1983.1</v>
      </c>
      <c r="O18" t="n">
        <v>2002.3</v>
      </c>
      <c r="P18" t="n">
        <v>2111.1</v>
      </c>
      <c r="Q18" t="n">
        <v>2123.9</v>
      </c>
      <c r="R18" t="n">
        <v>2189.5</v>
      </c>
      <c r="S18" t="n">
        <v>2430.4</v>
      </c>
      <c r="T18" t="n">
        <v>2360.7</v>
      </c>
      <c r="U18" t="n">
        <v>2599.6</v>
      </c>
      <c r="V18" t="n">
        <v>3050.8</v>
      </c>
      <c r="W18" t="n">
        <v>2775.7</v>
      </c>
      <c r="X18" t="n">
        <v>2811.8</v>
      </c>
      <c r="Y18" t="n">
        <v>2935.2</v>
      </c>
      <c r="Z18" t="n">
        <v>3587.1</v>
      </c>
      <c r="AA18" t="n">
        <v>3955.7</v>
      </c>
      <c r="AB18" t="n">
        <v>3835.5</v>
      </c>
      <c r="AC18" t="n">
        <v>3841.9</v>
      </c>
      <c r="AD18" t="n">
        <v>4195.6</v>
      </c>
      <c r="AE18" t="n">
        <v>3638.3</v>
      </c>
      <c r="AF18" t="n">
        <v>4293.5</v>
      </c>
    </row>
    <row r="19">
      <c r="A19" t="s">
        <v>19</v>
      </c>
      <c r="B19" t="s">
        <v>308</v>
      </c>
      <c r="C19" t="s">
        <v>246</v>
      </c>
      <c r="D19" t="s">
        <v>309</v>
      </c>
      <c r="E19" t="s">
        <v>247</v>
      </c>
      <c r="F19" t="n">
        <v>167.6</v>
      </c>
      <c r="G19" t="n">
        <v>174</v>
      </c>
      <c r="H19" t="n">
        <v>175.9</v>
      </c>
      <c r="I19" t="n">
        <v>182.8</v>
      </c>
      <c r="J19" t="n">
        <v>187.4</v>
      </c>
      <c r="K19" t="n">
        <v>196.3</v>
      </c>
      <c r="L19" t="n">
        <v>209.5</v>
      </c>
      <c r="M19" t="n">
        <v>218.1</v>
      </c>
      <c r="N19" t="n">
        <v>228.7</v>
      </c>
      <c r="O19" t="n">
        <v>230.9</v>
      </c>
      <c r="P19" t="n">
        <v>243.4</v>
      </c>
      <c r="Q19" t="n">
        <v>244.9</v>
      </c>
      <c r="R19" t="n">
        <v>252.5</v>
      </c>
      <c r="S19" t="n">
        <v>280.3</v>
      </c>
      <c r="T19" t="n">
        <v>286.9</v>
      </c>
      <c r="U19" t="n">
        <v>302.1</v>
      </c>
      <c r="V19" t="n">
        <v>271</v>
      </c>
      <c r="W19" t="n">
        <v>257.6</v>
      </c>
      <c r="X19" t="n">
        <v>252</v>
      </c>
      <c r="Y19" t="n">
        <v>278.5</v>
      </c>
      <c r="Z19" t="n">
        <v>296.5</v>
      </c>
      <c r="AA19" t="n">
        <v>503.6</v>
      </c>
      <c r="AB19" t="n">
        <v>477.5</v>
      </c>
      <c r="AC19" t="n">
        <v>534.6</v>
      </c>
      <c r="AD19" t="n">
        <v>539.2</v>
      </c>
      <c r="AE19" t="n">
        <v>458.3</v>
      </c>
      <c r="AF19" t="n">
        <v>461</v>
      </c>
    </row>
    <row r="20">
      <c r="A20" t="s">
        <v>19</v>
      </c>
      <c r="B20" t="s">
        <v>310</v>
      </c>
      <c r="C20" t="s">
        <v>246</v>
      </c>
      <c r="D20" t="s">
        <v>311</v>
      </c>
      <c r="E20" t="s">
        <v>247</v>
      </c>
      <c r="F20" t="n">
        <v>32.5</v>
      </c>
      <c r="G20" t="n">
        <v>33.7</v>
      </c>
      <c r="H20" t="n">
        <v>34.1</v>
      </c>
      <c r="I20" t="n">
        <v>35.4</v>
      </c>
      <c r="J20" t="n">
        <v>36.3</v>
      </c>
      <c r="K20" t="n">
        <v>38</v>
      </c>
      <c r="L20" t="n">
        <v>40.6</v>
      </c>
      <c r="M20" t="n">
        <v>42.2</v>
      </c>
      <c r="N20" t="n">
        <v>44.3</v>
      </c>
      <c r="O20" t="n">
        <v>44.7</v>
      </c>
      <c r="P20" t="n">
        <v>47.2</v>
      </c>
      <c r="Q20" t="n">
        <v>47.4</v>
      </c>
      <c r="R20" t="n">
        <v>48.9</v>
      </c>
      <c r="S20" t="n">
        <v>54.3</v>
      </c>
      <c r="T20" t="n">
        <v>9</v>
      </c>
      <c r="U20" t="n">
        <v>19.9</v>
      </c>
      <c r="V20" t="n">
        <v>23.7</v>
      </c>
      <c r="W20" t="n">
        <v>32.1</v>
      </c>
      <c r="X20" t="n">
        <v>35.8</v>
      </c>
      <c r="Y20" t="n">
        <v>14.6</v>
      </c>
      <c r="Z20" t="n">
        <v>24.3</v>
      </c>
      <c r="AA20" t="n">
        <v>38.3</v>
      </c>
      <c r="AB20" t="n">
        <v>61.6</v>
      </c>
      <c r="AC20" t="n">
        <v>61.9</v>
      </c>
      <c r="AD20" t="n">
        <v>59.1</v>
      </c>
      <c r="AE20" t="n">
        <v>60.4</v>
      </c>
      <c r="AF20" t="n">
        <v>35.8</v>
      </c>
    </row>
    <row r="21">
      <c r="A21" t="s">
        <v>19</v>
      </c>
      <c r="B21" t="s">
        <v>312</v>
      </c>
      <c r="C21" t="s">
        <v>246</v>
      </c>
      <c r="D21" t="s">
        <v>313</v>
      </c>
      <c r="E21" t="s">
        <v>247</v>
      </c>
      <c r="F21" t="n">
        <v>39.9</v>
      </c>
      <c r="G21" t="n">
        <v>41.4</v>
      </c>
      <c r="H21" t="n">
        <v>41.9</v>
      </c>
      <c r="I21" t="n">
        <v>43.5</v>
      </c>
      <c r="J21" t="n">
        <v>44.6</v>
      </c>
      <c r="K21" t="n">
        <v>46.7</v>
      </c>
      <c r="L21" t="n">
        <v>49.8</v>
      </c>
      <c r="M21" t="n">
        <v>51.8</v>
      </c>
      <c r="N21" t="n">
        <v>54.4</v>
      </c>
      <c r="O21" t="n">
        <v>54.9</v>
      </c>
      <c r="P21" t="n">
        <v>57.9</v>
      </c>
      <c r="Q21" t="n">
        <v>58.2</v>
      </c>
      <c r="R21" t="n">
        <v>60</v>
      </c>
      <c r="S21" t="n">
        <v>66.7</v>
      </c>
      <c r="T21" t="n">
        <v>29</v>
      </c>
      <c r="U21" t="n">
        <v>29.8</v>
      </c>
      <c r="V21" t="n">
        <v>33.4</v>
      </c>
      <c r="W21" t="n">
        <v>43.3</v>
      </c>
      <c r="X21" t="n">
        <v>46.1</v>
      </c>
      <c r="Y21" t="n">
        <v>28.3</v>
      </c>
      <c r="Z21" t="n">
        <v>44.5</v>
      </c>
      <c r="AA21" t="n">
        <v>72.4</v>
      </c>
      <c r="AB21" t="n">
        <v>103.6</v>
      </c>
      <c r="AC21" t="n">
        <v>121.7</v>
      </c>
      <c r="AD21" t="n">
        <v>121.6</v>
      </c>
      <c r="AE21" t="n">
        <v>113.7</v>
      </c>
      <c r="AF21" t="n">
        <v>100.7</v>
      </c>
    </row>
    <row r="22">
      <c r="A22" t="s">
        <v>19</v>
      </c>
      <c r="B22" t="s">
        <v>314</v>
      </c>
      <c r="C22" t="s">
        <v>246</v>
      </c>
      <c r="D22" t="s">
        <v>315</v>
      </c>
      <c r="E22" t="s">
        <v>247</v>
      </c>
      <c r="F22" t="n">
        <v>7.4</v>
      </c>
      <c r="G22" t="n">
        <v>7.7</v>
      </c>
      <c r="H22" t="n">
        <v>7.8</v>
      </c>
      <c r="I22" t="n">
        <v>8.1</v>
      </c>
      <c r="J22" t="n">
        <v>8.3</v>
      </c>
      <c r="K22" t="n">
        <v>8.7</v>
      </c>
      <c r="L22" t="n">
        <v>9.2</v>
      </c>
      <c r="M22" t="n">
        <v>9.6</v>
      </c>
      <c r="N22" t="n">
        <v>10.1</v>
      </c>
      <c r="O22" t="n">
        <v>10.2</v>
      </c>
      <c r="P22" t="n">
        <v>10.7</v>
      </c>
      <c r="Q22" t="n">
        <v>10.8</v>
      </c>
      <c r="R22" t="n">
        <v>11.1</v>
      </c>
      <c r="S22" t="n">
        <v>12.4</v>
      </c>
      <c r="T22" t="n">
        <v>20</v>
      </c>
      <c r="U22" t="n">
        <v>9.9</v>
      </c>
      <c r="V22" t="n">
        <v>9.7</v>
      </c>
      <c r="W22" t="n">
        <v>11.2</v>
      </c>
      <c r="X22" t="n">
        <v>10.3</v>
      </c>
      <c r="Y22" t="n">
        <v>13.7</v>
      </c>
      <c r="Z22" t="n">
        <v>20.2</v>
      </c>
      <c r="AA22" t="n">
        <v>34.1</v>
      </c>
      <c r="AB22" t="n">
        <v>42</v>
      </c>
      <c r="AC22" t="n">
        <v>59.8</v>
      </c>
      <c r="AD22" t="n">
        <v>62.5</v>
      </c>
      <c r="AE22" t="n">
        <v>53.3</v>
      </c>
      <c r="AF22" t="n">
        <v>64.9</v>
      </c>
    </row>
    <row r="23">
      <c r="A23" t="s">
        <v>19</v>
      </c>
      <c r="B23" t="s">
        <v>316</v>
      </c>
      <c r="C23" t="s">
        <v>246</v>
      </c>
      <c r="D23" t="s">
        <v>317</v>
      </c>
      <c r="E23" t="s">
        <v>247</v>
      </c>
      <c r="F23" t="n">
        <v>37.2</v>
      </c>
      <c r="G23" t="n">
        <v>38.6</v>
      </c>
      <c r="H23" t="n">
        <v>39</v>
      </c>
      <c r="I23" t="n">
        <v>40.6</v>
      </c>
      <c r="J23" t="n">
        <v>41.6</v>
      </c>
      <c r="K23" t="n">
        <v>43.6</v>
      </c>
      <c r="L23" t="n">
        <v>46.5</v>
      </c>
      <c r="M23" t="n">
        <v>48.4</v>
      </c>
      <c r="N23" t="n">
        <v>50.8</v>
      </c>
      <c r="O23" t="n">
        <v>51.2</v>
      </c>
      <c r="P23" t="n">
        <v>54</v>
      </c>
      <c r="Q23" t="n">
        <v>54.4</v>
      </c>
      <c r="R23" t="n">
        <v>56</v>
      </c>
      <c r="S23" t="n">
        <v>62.2</v>
      </c>
      <c r="T23" t="n">
        <v>100.4</v>
      </c>
      <c r="U23" t="n">
        <v>63.7</v>
      </c>
      <c r="V23" t="n">
        <v>51.5</v>
      </c>
      <c r="W23" t="n">
        <v>53.1</v>
      </c>
      <c r="X23" t="n">
        <v>284.8</v>
      </c>
      <c r="Y23" t="n">
        <v>43.9</v>
      </c>
      <c r="Z23" t="n">
        <v>101.9</v>
      </c>
      <c r="AA23" t="n">
        <v>124.1</v>
      </c>
      <c r="AB23" t="n">
        <v>185.7</v>
      </c>
      <c r="AC23" t="n">
        <v>162</v>
      </c>
      <c r="AD23" t="n">
        <v>202.6</v>
      </c>
      <c r="AE23" t="n">
        <v>168.6</v>
      </c>
      <c r="AF23" t="n">
        <v>202.2</v>
      </c>
    </row>
    <row r="24">
      <c r="A24" t="s">
        <v>19</v>
      </c>
      <c r="B24" t="s">
        <v>318</v>
      </c>
      <c r="C24" t="s">
        <v>246</v>
      </c>
      <c r="D24" t="s">
        <v>319</v>
      </c>
      <c r="E24" t="s">
        <v>247</v>
      </c>
      <c r="F24" t="n">
        <v>228.2</v>
      </c>
      <c r="G24" t="n">
        <v>236.9</v>
      </c>
      <c r="H24" t="n">
        <v>239.4</v>
      </c>
      <c r="I24" t="n">
        <v>248.8</v>
      </c>
      <c r="J24" t="n">
        <v>255.1</v>
      </c>
      <c r="K24" t="n">
        <v>267.3</v>
      </c>
      <c r="L24" t="n">
        <v>285.2</v>
      </c>
      <c r="M24" t="n">
        <v>296.9</v>
      </c>
      <c r="N24" t="n">
        <v>311.3</v>
      </c>
      <c r="O24" t="n">
        <v>314.3</v>
      </c>
      <c r="P24" t="n">
        <v>331.4</v>
      </c>
      <c r="Q24" t="n">
        <v>333.4</v>
      </c>
      <c r="R24" t="n">
        <v>343.7</v>
      </c>
      <c r="S24" t="n">
        <v>381.6</v>
      </c>
      <c r="T24" t="n">
        <v>225.5</v>
      </c>
      <c r="U24" t="n">
        <v>254.7</v>
      </c>
      <c r="V24" t="n">
        <v>495.9</v>
      </c>
      <c r="W24" t="n">
        <v>255.1</v>
      </c>
      <c r="X24" t="n">
        <v>256.7</v>
      </c>
      <c r="Y24" t="n">
        <v>293.3</v>
      </c>
      <c r="Z24" t="n">
        <v>387.5</v>
      </c>
      <c r="AA24" t="n">
        <v>675.7</v>
      </c>
      <c r="AB24" t="n">
        <v>701.5</v>
      </c>
      <c r="AC24" t="n">
        <v>611.6</v>
      </c>
      <c r="AD24" t="n">
        <v>858.3</v>
      </c>
      <c r="AE24" t="n">
        <v>612.9</v>
      </c>
      <c r="AF24" t="n">
        <v>827.8</v>
      </c>
    </row>
    <row r="25">
      <c r="A25" t="s">
        <v>19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19</v>
      </c>
      <c r="B28" t="s">
        <v>326</v>
      </c>
      <c r="C28" t="s">
        <v>246</v>
      </c>
      <c r="D28" t="s">
        <v>327</v>
      </c>
      <c r="E28" t="s">
        <v>247</v>
      </c>
      <c r="F28" t="n">
        <v>52</v>
      </c>
      <c r="G28" t="n">
        <v>53.9</v>
      </c>
      <c r="H28" t="n">
        <v>54.5</v>
      </c>
      <c r="I28" t="n">
        <v>56.7</v>
      </c>
      <c r="J28" t="n">
        <v>58.1</v>
      </c>
      <c r="K28" t="n">
        <v>60.9</v>
      </c>
      <c r="L28" t="n">
        <v>63.2</v>
      </c>
      <c r="M28" t="n">
        <v>65.6</v>
      </c>
      <c r="N28" t="n">
        <v>67.6</v>
      </c>
      <c r="O28" t="n">
        <v>69.9</v>
      </c>
      <c r="P28" t="n">
        <v>72.7</v>
      </c>
      <c r="Q28" t="n">
        <v>75.1</v>
      </c>
      <c r="R28" t="n">
        <v>77</v>
      </c>
      <c r="S28" t="n">
        <v>84.1</v>
      </c>
      <c r="T28" t="n">
        <v>69.7</v>
      </c>
      <c r="U28" t="n">
        <v>56</v>
      </c>
      <c r="V28" t="n">
        <v>30.6</v>
      </c>
      <c r="W28" t="n">
        <v>15.8</v>
      </c>
      <c r="X28" t="n">
        <v>36.6</v>
      </c>
      <c r="Y28" t="n">
        <v>21.4</v>
      </c>
      <c r="Z28" t="n">
        <v>93.2</v>
      </c>
      <c r="AA28" t="n">
        <v>113.3</v>
      </c>
      <c r="AB28" t="n">
        <v>141.2</v>
      </c>
      <c r="AC28" t="n">
        <v>186.8</v>
      </c>
      <c r="AD28" t="n">
        <v>191.6</v>
      </c>
      <c r="AE28" t="n">
        <v>178</v>
      </c>
      <c r="AF28" t="n">
        <v>86.8</v>
      </c>
    </row>
    <row r="29">
      <c r="A29" t="s">
        <v>19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19</v>
      </c>
      <c r="B34" t="s">
        <v>338</v>
      </c>
      <c r="C34" t="s">
        <v>246</v>
      </c>
      <c r="D34" t="s">
        <v>339</v>
      </c>
      <c r="E34" t="s">
        <v>247</v>
      </c>
      <c r="F34" t="n">
        <v>1.7</v>
      </c>
      <c r="G34" t="n">
        <v>1.8</v>
      </c>
      <c r="H34" t="n">
        <v>1.8</v>
      </c>
      <c r="I34" t="n">
        <v>1.9</v>
      </c>
      <c r="J34" t="n">
        <v>1.9</v>
      </c>
      <c r="K34" t="n">
        <v>2</v>
      </c>
      <c r="L34" t="n">
        <v>2.1</v>
      </c>
      <c r="M34" t="n">
        <v>2.2</v>
      </c>
      <c r="N34" t="n">
        <v>2.3</v>
      </c>
      <c r="O34" t="n">
        <v>2.3</v>
      </c>
      <c r="P34" t="n">
        <v>2.5</v>
      </c>
      <c r="Q34" t="n">
        <v>2.5</v>
      </c>
      <c r="R34" t="n">
        <v>2.6</v>
      </c>
      <c r="S34" t="n">
        <v>2.8</v>
      </c>
      <c r="T34" t="n">
        <v>4.1</v>
      </c>
      <c r="U34" t="n">
        <v>5</v>
      </c>
      <c r="V34" t="n">
        <v>3.5</v>
      </c>
      <c r="W34" t="n">
        <v>4.7</v>
      </c>
      <c r="X34" t="n">
        <v>3.6</v>
      </c>
      <c r="Y34" t="n">
        <v>4.1</v>
      </c>
      <c r="Z34" t="n">
        <v>4.1</v>
      </c>
      <c r="AA34" t="n">
        <v>6.7</v>
      </c>
      <c r="AB34" t="n">
        <v>12.4</v>
      </c>
      <c r="AC34" t="n">
        <v>18.2</v>
      </c>
      <c r="AD34" t="n">
        <v>21.1</v>
      </c>
      <c r="AE34" t="n">
        <v>11.6</v>
      </c>
      <c r="AF34" t="n">
        <v>7.4</v>
      </c>
    </row>
    <row r="35">
      <c r="A35" t="s">
        <v>19</v>
      </c>
      <c r="B35" t="s">
        <v>340</v>
      </c>
      <c r="C35" t="s">
        <v>246</v>
      </c>
      <c r="D35" t="s">
        <v>341</v>
      </c>
      <c r="E35" t="s">
        <v>247</v>
      </c>
      <c r="F35" t="n">
        <v>693.6</v>
      </c>
      <c r="G35" t="n">
        <v>720.1</v>
      </c>
      <c r="H35" t="n">
        <v>727.8</v>
      </c>
      <c r="I35" t="n">
        <v>756.4</v>
      </c>
      <c r="J35" t="n">
        <v>775.5</v>
      </c>
      <c r="K35" t="n">
        <v>812.4</v>
      </c>
      <c r="L35" t="n">
        <v>866.7</v>
      </c>
      <c r="M35" t="n">
        <v>902.5</v>
      </c>
      <c r="N35" t="n">
        <v>946.4</v>
      </c>
      <c r="O35" t="n">
        <v>955.5</v>
      </c>
      <c r="P35" t="n">
        <v>1008.4</v>
      </c>
      <c r="Q35" t="n">
        <v>1014.5</v>
      </c>
      <c r="R35" t="n">
        <v>1045.8</v>
      </c>
      <c r="S35" t="n">
        <v>1160.8</v>
      </c>
      <c r="T35" t="n">
        <v>1508</v>
      </c>
      <c r="U35" t="n">
        <v>1338.4</v>
      </c>
      <c r="V35" t="n">
        <v>1249.4</v>
      </c>
      <c r="W35" t="n">
        <v>1225</v>
      </c>
      <c r="X35" t="n">
        <v>1403.6</v>
      </c>
      <c r="Y35" t="n">
        <v>1124.7</v>
      </c>
      <c r="Z35" t="n">
        <v>1334.9</v>
      </c>
      <c r="AA35" t="n">
        <v>1436.7</v>
      </c>
      <c r="AB35" t="n">
        <v>1606.1</v>
      </c>
      <c r="AC35" t="n">
        <v>1685.4</v>
      </c>
      <c r="AD35" t="n">
        <v>1909.1</v>
      </c>
      <c r="AE35" t="n">
        <v>1768.7</v>
      </c>
      <c r="AF35" t="n">
        <v>1652.4</v>
      </c>
    </row>
    <row r="36">
      <c r="A36" t="s">
        <v>19</v>
      </c>
      <c r="B36" t="s">
        <v>342</v>
      </c>
      <c r="C36" t="s">
        <v>246</v>
      </c>
      <c r="D36" t="s">
        <v>343</v>
      </c>
      <c r="E36" t="s">
        <v>247</v>
      </c>
      <c r="F36" t="n">
        <v>9.8</v>
      </c>
      <c r="G36" t="n">
        <v>10.2</v>
      </c>
      <c r="H36" t="n">
        <v>10.3</v>
      </c>
      <c r="I36" t="n">
        <v>10.7</v>
      </c>
      <c r="J36" t="n">
        <v>10.9</v>
      </c>
      <c r="K36" t="n">
        <v>11.5</v>
      </c>
      <c r="L36" t="n">
        <v>12.2</v>
      </c>
      <c r="M36" t="n">
        <v>12.7</v>
      </c>
      <c r="N36" t="n">
        <v>13.4</v>
      </c>
      <c r="O36" t="n">
        <v>13.5</v>
      </c>
      <c r="P36" t="n">
        <v>14.2</v>
      </c>
      <c r="Q36" t="n">
        <v>14.3</v>
      </c>
      <c r="R36" t="n">
        <v>14.7</v>
      </c>
      <c r="S36" t="n">
        <v>16.4</v>
      </c>
      <c r="T36" t="n">
        <v>18</v>
      </c>
      <c r="U36" t="n">
        <v>15.2</v>
      </c>
      <c r="V36" t="n">
        <v>14.5</v>
      </c>
      <c r="W36" t="n">
        <v>8.6</v>
      </c>
      <c r="X36" t="n">
        <v>15.6</v>
      </c>
      <c r="Y36" t="n">
        <v>19</v>
      </c>
      <c r="Z36" t="n">
        <v>28.6</v>
      </c>
      <c r="AA36" t="n">
        <v>36.5</v>
      </c>
      <c r="AB36" t="n">
        <v>41.7</v>
      </c>
      <c r="AC36" t="n">
        <v>56.9</v>
      </c>
      <c r="AD36" t="n">
        <v>64.7</v>
      </c>
      <c r="AE36" t="n">
        <v>114.6</v>
      </c>
      <c r="AF36" t="n">
        <v>42</v>
      </c>
    </row>
    <row r="37">
      <c r="A37" t="s">
        <v>19</v>
      </c>
      <c r="B37" t="s">
        <v>344</v>
      </c>
      <c r="C37" t="s">
        <v>246</v>
      </c>
      <c r="D37" t="s">
        <v>345</v>
      </c>
      <c r="E37" t="s">
        <v>247</v>
      </c>
      <c r="F37" t="n">
        <v>525.4</v>
      </c>
      <c r="G37" t="n">
        <v>545.5</v>
      </c>
      <c r="H37" t="n">
        <v>551.3</v>
      </c>
      <c r="I37" t="n">
        <v>573</v>
      </c>
      <c r="J37" t="n">
        <v>587.5</v>
      </c>
      <c r="K37" t="n">
        <v>615.4</v>
      </c>
      <c r="L37" t="n">
        <v>656.6</v>
      </c>
      <c r="M37" t="n">
        <v>683.7</v>
      </c>
      <c r="N37" t="n">
        <v>716.9</v>
      </c>
      <c r="O37" t="n">
        <v>723.8</v>
      </c>
      <c r="P37" t="n">
        <v>763.2</v>
      </c>
      <c r="Q37" t="n">
        <v>767.8</v>
      </c>
      <c r="R37" t="n">
        <v>791.5</v>
      </c>
      <c r="S37" t="n">
        <v>878.6</v>
      </c>
      <c r="T37" t="n">
        <v>1157.1</v>
      </c>
      <c r="U37" t="n">
        <v>966.1</v>
      </c>
      <c r="V37" t="n">
        <v>901.3</v>
      </c>
      <c r="W37" t="n">
        <v>832.5</v>
      </c>
      <c r="X37" t="n">
        <v>631.9</v>
      </c>
      <c r="Y37" t="n">
        <v>685.9</v>
      </c>
      <c r="Z37" t="n">
        <v>754</v>
      </c>
      <c r="AA37" t="n">
        <v>509.7</v>
      </c>
      <c r="AB37" t="n">
        <v>470.8</v>
      </c>
      <c r="AC37" t="n">
        <v>390.6</v>
      </c>
      <c r="AD37" t="n">
        <v>382</v>
      </c>
      <c r="AE37" t="n">
        <v>360.2</v>
      </c>
      <c r="AF37" t="n">
        <v>336.7</v>
      </c>
    </row>
    <row r="38">
      <c r="A38" t="s">
        <v>19</v>
      </c>
      <c r="B38" t="s">
        <v>346</v>
      </c>
      <c r="C38" t="s">
        <v>246</v>
      </c>
      <c r="D38" t="s">
        <v>347</v>
      </c>
      <c r="E38" t="s">
        <v>247</v>
      </c>
      <c r="F38" t="n">
        <v>158.4</v>
      </c>
      <c r="G38" t="n">
        <v>164.4</v>
      </c>
      <c r="H38" t="n">
        <v>166.2</v>
      </c>
      <c r="I38" t="n">
        <v>172.7</v>
      </c>
      <c r="J38" t="n">
        <v>177.1</v>
      </c>
      <c r="K38" t="n">
        <v>185.5</v>
      </c>
      <c r="L38" t="n">
        <v>197.9</v>
      </c>
      <c r="M38" t="n">
        <v>206.1</v>
      </c>
      <c r="N38" t="n">
        <v>216.1</v>
      </c>
      <c r="O38" t="n">
        <v>218.2</v>
      </c>
      <c r="P38" t="n">
        <v>231</v>
      </c>
      <c r="Q38" t="n">
        <v>232.4</v>
      </c>
      <c r="R38" t="n">
        <v>239.6</v>
      </c>
      <c r="S38" t="n">
        <v>265.8</v>
      </c>
      <c r="T38" t="n">
        <v>332.9</v>
      </c>
      <c r="U38" t="n">
        <v>357.1</v>
      </c>
      <c r="V38" t="n">
        <v>333.6</v>
      </c>
      <c r="W38" t="n">
        <v>383.9</v>
      </c>
      <c r="X38" t="n">
        <v>756.1</v>
      </c>
      <c r="Y38" t="n">
        <v>419.8</v>
      </c>
      <c r="Z38" t="n">
        <v>552.3</v>
      </c>
      <c r="AA38" t="n">
        <v>890.5</v>
      </c>
      <c r="AB38" t="n">
        <v>1093.6</v>
      </c>
      <c r="AC38" t="n">
        <v>1237.9</v>
      </c>
      <c r="AD38" t="n">
        <v>1462.4</v>
      </c>
      <c r="AE38" t="n">
        <v>1293.9</v>
      </c>
      <c r="AF38" t="n">
        <v>1273.7</v>
      </c>
    </row>
    <row r="39">
      <c r="A39" t="s">
        <v>19</v>
      </c>
      <c r="B39" t="s">
        <v>348</v>
      </c>
      <c r="C39" t="s">
        <v>246</v>
      </c>
      <c r="D39" t="s">
        <v>349</v>
      </c>
      <c r="E39" t="s">
        <v>247</v>
      </c>
      <c r="F39" t="n">
        <v>355.4</v>
      </c>
      <c r="G39" t="n">
        <v>369.1</v>
      </c>
      <c r="H39" t="n">
        <v>373</v>
      </c>
      <c r="I39" t="n">
        <v>387.6</v>
      </c>
      <c r="J39" t="n">
        <v>397.4</v>
      </c>
      <c r="K39" t="n">
        <v>416.3</v>
      </c>
      <c r="L39" t="n">
        <v>444.2</v>
      </c>
      <c r="M39" t="n">
        <v>462.5</v>
      </c>
      <c r="N39" t="n">
        <v>485</v>
      </c>
      <c r="O39" t="n">
        <v>489.7</v>
      </c>
      <c r="P39" t="n">
        <v>516.3</v>
      </c>
      <c r="Q39" t="n">
        <v>519.4</v>
      </c>
      <c r="R39" t="n">
        <v>535.4</v>
      </c>
      <c r="S39" t="n">
        <v>594.4</v>
      </c>
      <c r="T39" t="n">
        <v>539.8</v>
      </c>
      <c r="U39" t="n">
        <v>567.5</v>
      </c>
      <c r="V39" t="n">
        <v>205.5</v>
      </c>
      <c r="W39" t="n">
        <v>322.2</v>
      </c>
      <c r="X39" t="n">
        <v>258.8</v>
      </c>
      <c r="Y39" t="n">
        <v>279.1</v>
      </c>
      <c r="Z39" t="n">
        <v>351.8</v>
      </c>
      <c r="AA39" t="n">
        <v>371</v>
      </c>
      <c r="AB39" t="n">
        <v>363.7</v>
      </c>
      <c r="AC39" t="n">
        <v>322.6</v>
      </c>
      <c r="AD39" t="n">
        <v>334</v>
      </c>
      <c r="AE39" t="n">
        <v>510.6</v>
      </c>
      <c r="AF39" t="n">
        <v>413.4</v>
      </c>
    </row>
    <row r="40">
      <c r="A40" t="s">
        <v>19</v>
      </c>
      <c r="B40" t="s">
        <v>350</v>
      </c>
      <c r="C40" t="s">
        <v>246</v>
      </c>
      <c r="D40" t="s">
        <v>351</v>
      </c>
      <c r="E40" t="s">
        <v>247</v>
      </c>
      <c r="F40" t="n">
        <v>7.6</v>
      </c>
      <c r="G40" t="n">
        <v>7.9</v>
      </c>
      <c r="H40" t="n">
        <v>8</v>
      </c>
      <c r="I40" t="n">
        <v>8.3</v>
      </c>
      <c r="J40" t="n">
        <v>8.5</v>
      </c>
      <c r="K40" t="n">
        <v>8.9</v>
      </c>
      <c r="L40" t="n">
        <v>9.5</v>
      </c>
      <c r="M40" t="n">
        <v>9.9</v>
      </c>
      <c r="N40" t="n">
        <v>10.4</v>
      </c>
      <c r="O40" t="n">
        <v>10.5</v>
      </c>
      <c r="P40" t="n">
        <v>11.1</v>
      </c>
      <c r="Q40" t="n">
        <v>11.1</v>
      </c>
      <c r="R40" t="n">
        <v>11.5</v>
      </c>
      <c r="S40" t="n">
        <v>12.7</v>
      </c>
      <c r="T40" t="n">
        <v>4.5</v>
      </c>
      <c r="U40" t="n">
        <v>9.2</v>
      </c>
      <c r="V40" t="n">
        <v>6</v>
      </c>
      <c r="W40" t="n">
        <v>9.1</v>
      </c>
      <c r="X40" t="n">
        <v>0.7</v>
      </c>
      <c r="Y40" t="n">
        <v>4.7</v>
      </c>
      <c r="Z40" t="n">
        <v>2.9</v>
      </c>
      <c r="AA40" t="n">
        <v>18.7</v>
      </c>
      <c r="AB40" t="n">
        <v>4.7</v>
      </c>
      <c r="AC40" t="n">
        <v>10.5</v>
      </c>
      <c r="AD40" t="n">
        <v>8</v>
      </c>
      <c r="AE40" t="n">
        <v>8.6</v>
      </c>
      <c r="AF40" t="n">
        <v>20.1</v>
      </c>
    </row>
    <row r="41">
      <c r="A41" t="s">
        <v>19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19</v>
      </c>
      <c r="B42" t="s">
        <v>354</v>
      </c>
      <c r="C42" t="s">
        <v>246</v>
      </c>
      <c r="D42" t="s">
        <v>355</v>
      </c>
      <c r="E42" t="s">
        <v>247</v>
      </c>
      <c r="F42" t="n">
        <v>3697.7</v>
      </c>
      <c r="G42" t="n">
        <v>3714.6</v>
      </c>
      <c r="H42" t="n">
        <v>3900.4</v>
      </c>
      <c r="I42" t="n">
        <v>4173.2</v>
      </c>
      <c r="J42" t="n">
        <v>4394.1</v>
      </c>
      <c r="K42" t="n">
        <v>4892.5</v>
      </c>
      <c r="L42" t="n">
        <v>5305.4</v>
      </c>
      <c r="M42" t="n">
        <v>5697.1</v>
      </c>
      <c r="N42" t="n">
        <v>5624.8</v>
      </c>
      <c r="O42" t="n">
        <v>5642.8</v>
      </c>
      <c r="P42" t="n">
        <v>6090.6</v>
      </c>
      <c r="Q42" t="n">
        <v>6395.1</v>
      </c>
      <c r="R42" t="n">
        <v>6717.6</v>
      </c>
      <c r="S42" t="n">
        <v>6833.8</v>
      </c>
      <c r="T42" t="n">
        <v>6891.4</v>
      </c>
      <c r="U42" t="n">
        <v>7015.6</v>
      </c>
      <c r="V42" t="n">
        <v>6856.2</v>
      </c>
      <c r="W42" t="n">
        <v>6775</v>
      </c>
      <c r="X42" t="n">
        <v>6892.8</v>
      </c>
      <c r="Y42" t="n">
        <v>6567.8</v>
      </c>
      <c r="Z42" t="n">
        <v>6856.6</v>
      </c>
      <c r="AA42" t="n">
        <v>6825.2</v>
      </c>
      <c r="AB42" t="n">
        <v>6725.1</v>
      </c>
      <c r="AC42" t="n">
        <v>7281.8</v>
      </c>
      <c r="AD42" t="n">
        <v>7534.9</v>
      </c>
      <c r="AE42" t="n">
        <v>7461.1</v>
      </c>
      <c r="AF42" t="n">
        <v>7974.9</v>
      </c>
    </row>
    <row r="43">
      <c r="A43" t="s">
        <v>19</v>
      </c>
      <c r="B43" t="s">
        <v>356</v>
      </c>
      <c r="C43" t="s">
        <v>246</v>
      </c>
      <c r="D43" t="s">
        <v>357</v>
      </c>
      <c r="E43" t="s">
        <v>247</v>
      </c>
      <c r="F43" t="n">
        <v>3709.7</v>
      </c>
      <c r="G43" t="n">
        <v>3727</v>
      </c>
      <c r="H43" t="n">
        <v>3913</v>
      </c>
      <c r="I43" t="n">
        <v>4186.3</v>
      </c>
      <c r="J43" t="n">
        <v>4407.5</v>
      </c>
      <c r="K43" t="n">
        <v>4906.5</v>
      </c>
      <c r="L43" t="n">
        <v>5320.4</v>
      </c>
      <c r="M43" t="n">
        <v>5713.7</v>
      </c>
      <c r="N43" t="n">
        <v>5643.1</v>
      </c>
      <c r="O43" t="n">
        <v>5666.3</v>
      </c>
      <c r="P43" t="n">
        <v>6150</v>
      </c>
      <c r="Q43" t="n">
        <v>6454.6</v>
      </c>
      <c r="R43" t="n">
        <v>6778.6</v>
      </c>
      <c r="S43" t="n">
        <v>6896.8</v>
      </c>
      <c r="T43" t="n">
        <v>6933.9</v>
      </c>
      <c r="U43" t="n">
        <v>7047.3</v>
      </c>
      <c r="V43" t="n">
        <v>6889.9</v>
      </c>
      <c r="W43" t="n">
        <v>6806.3</v>
      </c>
      <c r="X43" t="n">
        <v>6926.3</v>
      </c>
      <c r="Y43" t="n">
        <v>6623.1</v>
      </c>
      <c r="Z43" t="n">
        <v>6949</v>
      </c>
      <c r="AA43" t="n">
        <v>6960.7</v>
      </c>
      <c r="AB43" t="n">
        <v>6873.3</v>
      </c>
      <c r="AC43" t="n">
        <v>7468</v>
      </c>
      <c r="AD43" t="n">
        <v>7744.2</v>
      </c>
      <c r="AE43" t="n">
        <v>7605.6</v>
      </c>
      <c r="AF43" t="n">
        <v>8121.3</v>
      </c>
    </row>
    <row r="44">
      <c r="A44" t="s">
        <v>19</v>
      </c>
      <c r="B44" t="s">
        <v>358</v>
      </c>
      <c r="C44" t="s">
        <v>246</v>
      </c>
      <c r="D44" t="s">
        <v>359</v>
      </c>
      <c r="E44" t="s">
        <v>247</v>
      </c>
      <c r="F44" t="n">
        <v>10166.8</v>
      </c>
      <c r="G44" t="n">
        <v>10432.1</v>
      </c>
      <c r="H44" t="n">
        <v>10689.5</v>
      </c>
      <c r="I44" t="n">
        <v>11229</v>
      </c>
      <c r="J44" t="n">
        <v>11633.9</v>
      </c>
      <c r="K44" t="n">
        <v>12481.6</v>
      </c>
      <c r="L44" t="n">
        <v>13400.5</v>
      </c>
      <c r="M44" t="n">
        <v>14127.4</v>
      </c>
      <c r="N44" t="n">
        <v>14464.4</v>
      </c>
      <c r="O44" t="n">
        <v>14576</v>
      </c>
      <c r="P44" t="n">
        <v>15552.4</v>
      </c>
      <c r="Q44" t="n">
        <v>15931.4</v>
      </c>
      <c r="R44" t="n">
        <v>16549.3</v>
      </c>
      <c r="S44" t="n">
        <v>17739.3</v>
      </c>
      <c r="T44" t="n">
        <v>18380.6</v>
      </c>
      <c r="U44" t="n">
        <v>18979.7</v>
      </c>
      <c r="V44" t="n">
        <v>19085.1</v>
      </c>
      <c r="W44" t="n">
        <v>18183.4</v>
      </c>
      <c r="X44" t="n">
        <v>18434.5</v>
      </c>
      <c r="Y44" t="n">
        <v>18066.4</v>
      </c>
      <c r="Z44" t="n">
        <v>20492.4</v>
      </c>
      <c r="AA44" t="n">
        <v>22341.3</v>
      </c>
      <c r="AB44" t="n">
        <v>22999.6</v>
      </c>
      <c r="AC44" t="n">
        <v>24145.3</v>
      </c>
      <c r="AD44" t="n">
        <v>25490</v>
      </c>
      <c r="AE44" t="n">
        <v>24624.8</v>
      </c>
      <c r="AF44" t="n">
        <v>25441.4</v>
      </c>
    </row>
    <row r="45">
      <c r="A45" t="s">
        <v>19</v>
      </c>
      <c r="B45" t="s">
        <v>360</v>
      </c>
      <c r="C45" t="s">
        <v>246</v>
      </c>
      <c r="D45" t="s">
        <v>361</v>
      </c>
      <c r="E45" t="s">
        <v>247</v>
      </c>
      <c r="F45" t="n">
        <v>10165.3</v>
      </c>
      <c r="G45" t="n">
        <v>10430.6</v>
      </c>
      <c r="H45" t="n">
        <v>10687.9</v>
      </c>
      <c r="I45" t="n">
        <v>11227.4</v>
      </c>
      <c r="J45" t="n">
        <v>11632.2</v>
      </c>
      <c r="K45" t="n">
        <v>12479.9</v>
      </c>
      <c r="L45" t="n">
        <v>13398.7</v>
      </c>
      <c r="M45" t="n">
        <v>14125.5</v>
      </c>
      <c r="N45" t="n">
        <v>14462.4</v>
      </c>
      <c r="O45" t="n">
        <v>14574</v>
      </c>
      <c r="P45" t="n">
        <v>15550.3</v>
      </c>
      <c r="Q45" t="n">
        <v>15929.2</v>
      </c>
      <c r="R45" t="n">
        <v>16547.1</v>
      </c>
      <c r="S45" t="n">
        <v>17736.8</v>
      </c>
      <c r="T45" t="n">
        <v>18377</v>
      </c>
      <c r="U45" t="n">
        <v>18972.1</v>
      </c>
      <c r="V45" t="n">
        <v>19077.3</v>
      </c>
      <c r="W45" t="n">
        <v>18176.1</v>
      </c>
      <c r="X45" t="n">
        <v>18426.5</v>
      </c>
      <c r="Y45" t="n">
        <v>18054.7</v>
      </c>
      <c r="Z45" t="n">
        <v>20479.5</v>
      </c>
      <c r="AA45" t="n">
        <v>22321.8</v>
      </c>
      <c r="AB45" t="n">
        <v>22988.8</v>
      </c>
      <c r="AC45" t="n">
        <v>24132.7</v>
      </c>
      <c r="AD45" t="n">
        <v>25463.7</v>
      </c>
      <c r="AE45" t="n">
        <v>24591.1</v>
      </c>
      <c r="AF45" t="n">
        <v>25401.4</v>
      </c>
    </row>
    <row r="46">
      <c r="A46" t="s">
        <v>19</v>
      </c>
      <c r="B46" t="s">
        <v>362</v>
      </c>
      <c r="C46" t="s">
        <v>246</v>
      </c>
      <c r="D46" t="s">
        <v>363</v>
      </c>
      <c r="E46" t="s">
        <v>247</v>
      </c>
      <c r="F46" t="n">
        <v>12</v>
      </c>
      <c r="G46" t="n">
        <v>12.4</v>
      </c>
      <c r="H46" t="n">
        <v>12.6</v>
      </c>
      <c r="I46" t="n">
        <v>13.1</v>
      </c>
      <c r="J46" t="n">
        <v>13.4</v>
      </c>
      <c r="K46" t="n">
        <v>14</v>
      </c>
      <c r="L46" t="n">
        <v>15</v>
      </c>
      <c r="M46" t="n">
        <v>16.6</v>
      </c>
      <c r="N46" t="n">
        <v>18.3</v>
      </c>
      <c r="O46" t="n">
        <v>23.5</v>
      </c>
      <c r="P46" t="n">
        <v>59.4</v>
      </c>
      <c r="Q46" t="n">
        <v>59.5</v>
      </c>
      <c r="R46" t="n">
        <v>61</v>
      </c>
      <c r="S46" t="n">
        <v>63</v>
      </c>
      <c r="T46" t="n">
        <v>42.5</v>
      </c>
      <c r="U46" t="n">
        <v>31.7</v>
      </c>
      <c r="V46" t="n">
        <v>33.7</v>
      </c>
      <c r="W46" t="n">
        <v>31.3</v>
      </c>
      <c r="X46" t="n">
        <v>33.5</v>
      </c>
      <c r="Y46" t="n">
        <v>55.3</v>
      </c>
      <c r="Z46" t="n">
        <v>92.4</v>
      </c>
      <c r="AA46" t="n">
        <v>135.5</v>
      </c>
      <c r="AB46" t="n">
        <v>148.2</v>
      </c>
      <c r="AC46" t="n">
        <v>186.2</v>
      </c>
      <c r="AD46" t="n">
        <v>209.3</v>
      </c>
      <c r="AE46" t="n">
        <v>144.5</v>
      </c>
      <c r="AF46" t="n">
        <v>146.4</v>
      </c>
    </row>
    <row r="47">
      <c r="A47" t="s">
        <v>19</v>
      </c>
      <c r="B47" t="s">
        <v>364</v>
      </c>
      <c r="C47" t="s">
        <v>246</v>
      </c>
      <c r="D47" t="s">
        <v>365</v>
      </c>
      <c r="E47" t="s">
        <v>247</v>
      </c>
      <c r="F47" t="n">
        <v>229</v>
      </c>
      <c r="G47" t="n">
        <v>187</v>
      </c>
      <c r="H47" t="n">
        <v>195</v>
      </c>
      <c r="I47" t="n">
        <v>193</v>
      </c>
      <c r="J47" t="n">
        <v>191</v>
      </c>
      <c r="K47" t="n">
        <v>207</v>
      </c>
      <c r="L47" t="n">
        <v>284</v>
      </c>
      <c r="M47" t="n">
        <v>288</v>
      </c>
      <c r="N47" t="n">
        <v>283</v>
      </c>
      <c r="O47" t="n">
        <v>295</v>
      </c>
      <c r="P47" t="n">
        <v>308</v>
      </c>
      <c r="Q47" t="n">
        <v>272</v>
      </c>
      <c r="R47" t="n">
        <v>269</v>
      </c>
      <c r="S47" t="n">
        <v>271</v>
      </c>
      <c r="T47" t="n">
        <v>268</v>
      </c>
      <c r="U47" t="n">
        <v>307</v>
      </c>
      <c r="V47" t="n">
        <v>324</v>
      </c>
      <c r="W47" t="n">
        <v>213</v>
      </c>
      <c r="X47" t="n">
        <v>246</v>
      </c>
      <c r="Y47" t="n">
        <v>252</v>
      </c>
      <c r="Z47" t="n">
        <v>257</v>
      </c>
      <c r="AA47" t="n">
        <v>295</v>
      </c>
      <c r="AB47" t="n">
        <v>309</v>
      </c>
      <c r="AC47" t="n">
        <v>333</v>
      </c>
      <c r="AD47" t="n">
        <v>371</v>
      </c>
      <c r="AE47" t="n">
        <v>371</v>
      </c>
      <c r="AF47" t="n">
        <v>408</v>
      </c>
    </row>
    <row r="48">
      <c r="A48" t="s">
        <v>19</v>
      </c>
      <c r="B48" t="s">
        <v>366</v>
      </c>
      <c r="C48" t="s">
        <v>246</v>
      </c>
      <c r="D48" t="s">
        <v>367</v>
      </c>
      <c r="E48" t="s">
        <v>247</v>
      </c>
      <c r="F48" t="n">
        <v>664.4</v>
      </c>
      <c r="G48" t="n">
        <v>639.5</v>
      </c>
      <c r="H48" t="n">
        <v>664.5</v>
      </c>
      <c r="I48" t="n">
        <v>680.7</v>
      </c>
      <c r="J48" t="n">
        <v>689.6</v>
      </c>
      <c r="K48" t="n">
        <v>734.6</v>
      </c>
      <c r="L48" t="n">
        <v>849.3</v>
      </c>
      <c r="M48" t="n">
        <v>884.6</v>
      </c>
      <c r="N48" t="n">
        <v>980.6</v>
      </c>
      <c r="O48" t="n">
        <v>1062.9</v>
      </c>
      <c r="P48" t="n">
        <v>1104.1</v>
      </c>
      <c r="Q48" t="n">
        <v>1085.8</v>
      </c>
      <c r="R48" t="n">
        <v>1240.6</v>
      </c>
      <c r="S48" t="n">
        <v>1320.8</v>
      </c>
      <c r="T48" t="n">
        <v>1275.2</v>
      </c>
      <c r="U48" t="n">
        <v>1378.2</v>
      </c>
      <c r="V48" t="n">
        <v>1229.3</v>
      </c>
      <c r="W48" t="n">
        <v>1043.3</v>
      </c>
      <c r="X48" t="n">
        <v>1093.7</v>
      </c>
      <c r="Y48" t="n">
        <v>1095.7</v>
      </c>
      <c r="Z48" t="n">
        <v>1197.5</v>
      </c>
      <c r="AA48" t="n">
        <v>1130.1</v>
      </c>
      <c r="AB48" t="n">
        <v>1134.3</v>
      </c>
      <c r="AC48" t="n">
        <v>1117.9</v>
      </c>
      <c r="AD48" t="n">
        <v>1189.7</v>
      </c>
      <c r="AE48" t="n">
        <v>1286.3</v>
      </c>
      <c r="AF48" t="n">
        <v>1281.8</v>
      </c>
    </row>
    <row r="49">
      <c r="A49" t="s">
        <v>19</v>
      </c>
      <c r="B49" t="s">
        <v>368</v>
      </c>
      <c r="C49" t="s">
        <v>246</v>
      </c>
      <c r="D49" t="s">
        <v>369</v>
      </c>
      <c r="E49" t="s">
        <v>247</v>
      </c>
      <c r="F49" t="n">
        <v>9.1</v>
      </c>
      <c r="G49" t="n">
        <v>9.7</v>
      </c>
      <c r="H49" t="n">
        <v>11.4</v>
      </c>
      <c r="I49" t="n">
        <v>12.2</v>
      </c>
      <c r="J49" t="n">
        <v>12.9</v>
      </c>
      <c r="K49" t="n">
        <v>13.8</v>
      </c>
      <c r="L49" t="n">
        <v>15.9</v>
      </c>
      <c r="M49" t="n">
        <v>16.8</v>
      </c>
      <c r="N49" t="n">
        <v>18.8</v>
      </c>
      <c r="O49" t="n">
        <v>19.2</v>
      </c>
      <c r="P49" t="n">
        <v>19.8</v>
      </c>
      <c r="Q49" t="n">
        <v>18.9</v>
      </c>
      <c r="R49" t="n">
        <v>20.2</v>
      </c>
      <c r="S49" t="n">
        <v>33.6</v>
      </c>
      <c r="T49" t="n">
        <v>33.9</v>
      </c>
      <c r="U49" t="n">
        <v>37</v>
      </c>
      <c r="V49" t="n">
        <v>35.6</v>
      </c>
      <c r="W49" t="n">
        <v>30.1</v>
      </c>
      <c r="X49" t="n">
        <v>11.5</v>
      </c>
      <c r="Y49" t="n">
        <v>7.3</v>
      </c>
      <c r="Z49" t="n">
        <v>16.3</v>
      </c>
      <c r="AA49" t="n">
        <v>21.6</v>
      </c>
      <c r="AB49" t="n">
        <v>68</v>
      </c>
      <c r="AC49" t="n">
        <v>33.1</v>
      </c>
      <c r="AD49" t="n">
        <v>41.9</v>
      </c>
      <c r="AE49" t="n">
        <v>23.8</v>
      </c>
      <c r="AF49" t="n">
        <v>28.7</v>
      </c>
    </row>
    <row r="50">
      <c r="A50" t="s">
        <v>19</v>
      </c>
      <c r="B50" t="s">
        <v>370</v>
      </c>
      <c r="C50" t="s">
        <v>246</v>
      </c>
      <c r="D50" t="s">
        <v>371</v>
      </c>
      <c r="E50" t="s">
        <v>247</v>
      </c>
      <c r="F50" t="n">
        <v>426.4</v>
      </c>
      <c r="G50" t="n">
        <v>442.9</v>
      </c>
      <c r="H50" t="n">
        <v>458.1</v>
      </c>
      <c r="I50" t="n">
        <v>475.5</v>
      </c>
      <c r="J50" t="n">
        <v>485.8</v>
      </c>
      <c r="K50" t="n">
        <v>513.8</v>
      </c>
      <c r="L50" t="n">
        <v>549.3</v>
      </c>
      <c r="M50" t="n">
        <v>579.8</v>
      </c>
      <c r="N50" t="n">
        <v>678.7</v>
      </c>
      <c r="O50" t="n">
        <v>748.8</v>
      </c>
      <c r="P50" t="n">
        <v>776.2</v>
      </c>
      <c r="Q50" t="n">
        <v>794.9</v>
      </c>
      <c r="R50" t="n">
        <v>951.4</v>
      </c>
      <c r="S50" t="n">
        <v>1016.2</v>
      </c>
      <c r="T50" t="n">
        <v>973.3</v>
      </c>
      <c r="U50" t="n">
        <v>1034.2</v>
      </c>
      <c r="V50" t="n">
        <v>869.6</v>
      </c>
      <c r="W50" t="n">
        <v>800.2</v>
      </c>
      <c r="X50" t="n">
        <v>836.2</v>
      </c>
      <c r="Y50" t="n">
        <v>836.4</v>
      </c>
      <c r="Z50" t="n">
        <v>924.3</v>
      </c>
      <c r="AA50" t="n">
        <v>813.5</v>
      </c>
      <c r="AB50" t="n">
        <v>757.4</v>
      </c>
      <c r="AC50" t="n">
        <v>751.8</v>
      </c>
      <c r="AD50" t="n">
        <v>776.9</v>
      </c>
      <c r="AE50" t="n">
        <v>891.5</v>
      </c>
      <c r="AF50" t="n">
        <v>845.1</v>
      </c>
    </row>
    <row r="51">
      <c r="A51" t="s">
        <v>19</v>
      </c>
      <c r="B51" t="s">
        <v>372</v>
      </c>
      <c r="C51" t="s">
        <v>246</v>
      </c>
      <c r="D51" t="s">
        <v>373</v>
      </c>
      <c r="E51" t="s">
        <v>247</v>
      </c>
      <c r="F51" t="n">
        <v>426.2</v>
      </c>
      <c r="G51" t="n">
        <v>442.7</v>
      </c>
      <c r="H51" t="n">
        <v>457.9</v>
      </c>
      <c r="I51" t="n">
        <v>475.3</v>
      </c>
      <c r="J51" t="n">
        <v>485.6</v>
      </c>
      <c r="K51" t="n">
        <v>513.6</v>
      </c>
      <c r="L51" t="n">
        <v>549.1</v>
      </c>
      <c r="M51" t="n">
        <v>579.6</v>
      </c>
      <c r="N51" t="n">
        <v>678.5</v>
      </c>
      <c r="O51" t="n">
        <v>748.5</v>
      </c>
      <c r="P51" t="n">
        <v>775.9</v>
      </c>
      <c r="Q51" t="n">
        <v>794.6</v>
      </c>
      <c r="R51" t="n">
        <v>951.1</v>
      </c>
      <c r="S51" t="n">
        <v>1015.9</v>
      </c>
      <c r="T51" t="n">
        <v>972.8</v>
      </c>
      <c r="U51" t="n">
        <v>1033.7</v>
      </c>
      <c r="V51" t="n">
        <v>869.2</v>
      </c>
      <c r="W51" t="n">
        <v>798.6</v>
      </c>
      <c r="X51" t="n">
        <v>835.8</v>
      </c>
      <c r="Y51" t="n">
        <v>836.1</v>
      </c>
      <c r="Z51" t="n">
        <v>922.2</v>
      </c>
      <c r="AA51" t="n">
        <v>810.7</v>
      </c>
      <c r="AB51" t="n">
        <v>748.7</v>
      </c>
      <c r="AC51" t="n">
        <v>731</v>
      </c>
      <c r="AD51" t="n">
        <v>739.8</v>
      </c>
      <c r="AE51" t="n">
        <v>875.6</v>
      </c>
      <c r="AF51" t="n">
        <v>833.3</v>
      </c>
    </row>
    <row r="52">
      <c r="A52" t="s">
        <v>19</v>
      </c>
      <c r="B52" t="s">
        <v>374</v>
      </c>
      <c r="C52" t="s">
        <v>246</v>
      </c>
      <c r="D52" t="s">
        <v>375</v>
      </c>
      <c r="E52" t="s">
        <v>247</v>
      </c>
      <c r="F52" t="n">
        <v>0.2</v>
      </c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0.3</v>
      </c>
      <c r="P52" t="n">
        <v>0.3</v>
      </c>
      <c r="Q52" t="n">
        <v>0.3</v>
      </c>
      <c r="R52" t="n">
        <v>0.3</v>
      </c>
      <c r="S52" t="n">
        <v>0.3</v>
      </c>
      <c r="T52" t="n">
        <v>0.5</v>
      </c>
      <c r="U52" t="n">
        <v>0.5</v>
      </c>
      <c r="V52" t="n">
        <v>0.4</v>
      </c>
      <c r="W52" t="n">
        <v>1.6</v>
      </c>
      <c r="X52" t="n">
        <v>0.4</v>
      </c>
      <c r="Y52" t="n">
        <v>0.3</v>
      </c>
      <c r="Z52" t="n">
        <v>2.1</v>
      </c>
      <c r="AA52" t="n">
        <v>2.8</v>
      </c>
      <c r="AB52" t="n">
        <v>8.7</v>
      </c>
      <c r="AC52" t="n">
        <v>20.8</v>
      </c>
      <c r="AD52" t="n">
        <v>37.1</v>
      </c>
      <c r="AE52" t="n">
        <v>15.9</v>
      </c>
      <c r="AF52" t="n">
        <v>11.8</v>
      </c>
    </row>
    <row r="53">
      <c r="A53" t="s">
        <v>19</v>
      </c>
      <c r="B53" t="s">
        <v>376</v>
      </c>
      <c r="C53" t="s">
        <v>246</v>
      </c>
      <c r="D53" t="s">
        <v>377</v>
      </c>
      <c r="E53" t="s">
        <v>247</v>
      </c>
      <c r="F53" t="n">
        <v>8.2</v>
      </c>
      <c r="G53" t="n">
        <v>9.4</v>
      </c>
      <c r="H53" t="n">
        <v>9.6</v>
      </c>
      <c r="I53" t="n">
        <v>9.9</v>
      </c>
      <c r="J53" t="n">
        <v>16.1</v>
      </c>
      <c r="K53" t="n">
        <v>21.4</v>
      </c>
      <c r="L53" t="n">
        <v>22.7</v>
      </c>
      <c r="M53" t="n">
        <v>24</v>
      </c>
      <c r="N53" t="n">
        <v>25.3</v>
      </c>
      <c r="O53" t="n">
        <v>27.4</v>
      </c>
      <c r="P53" t="n">
        <v>37.3</v>
      </c>
      <c r="Q53" t="n">
        <v>49</v>
      </c>
      <c r="R53" t="n">
        <v>52.5</v>
      </c>
      <c r="S53" t="n">
        <v>55.8</v>
      </c>
      <c r="T53" t="n">
        <v>60.9</v>
      </c>
      <c r="U53" t="n">
        <v>57.8</v>
      </c>
      <c r="V53" t="n">
        <v>54.4</v>
      </c>
      <c r="W53" t="n">
        <v>50.5</v>
      </c>
      <c r="X53" t="n">
        <v>68.8</v>
      </c>
      <c r="Y53" t="n">
        <v>37.8</v>
      </c>
      <c r="Z53" t="n">
        <v>55.7</v>
      </c>
      <c r="AA53" t="n">
        <v>63.1</v>
      </c>
      <c r="AB53" t="n">
        <v>68.8</v>
      </c>
      <c r="AC53" t="n">
        <v>45.1</v>
      </c>
      <c r="AD53" t="n">
        <v>58.6</v>
      </c>
      <c r="AE53" t="n">
        <v>48.2</v>
      </c>
      <c r="AF53" t="n">
        <v>37.7</v>
      </c>
    </row>
    <row r="54">
      <c r="A54" t="s">
        <v>19</v>
      </c>
      <c r="B54" t="s">
        <v>378</v>
      </c>
      <c r="C54" t="s">
        <v>246</v>
      </c>
      <c r="D54" t="s">
        <v>379</v>
      </c>
      <c r="E54" t="s">
        <v>247</v>
      </c>
      <c r="F54" t="n">
        <v>13.6</v>
      </c>
      <c r="G54" t="n">
        <v>15</v>
      </c>
      <c r="H54" t="n">
        <v>15.3</v>
      </c>
      <c r="I54" t="n">
        <v>15.9</v>
      </c>
      <c r="J54" t="n">
        <v>22.2</v>
      </c>
      <c r="K54" t="n">
        <v>27.9</v>
      </c>
      <c r="L54" t="n">
        <v>29.6</v>
      </c>
      <c r="M54" t="n">
        <v>31.2</v>
      </c>
      <c r="N54" t="n">
        <v>32.9</v>
      </c>
      <c r="O54" t="n">
        <v>35.1</v>
      </c>
      <c r="P54" t="n">
        <v>45.3</v>
      </c>
      <c r="Q54" t="n">
        <v>61</v>
      </c>
      <c r="R54" t="n">
        <v>64.8</v>
      </c>
      <c r="S54" t="n">
        <v>69.7</v>
      </c>
      <c r="T54" t="n">
        <v>73.6</v>
      </c>
      <c r="U54" t="n">
        <v>76.4</v>
      </c>
      <c r="V54" t="n">
        <v>77.9</v>
      </c>
      <c r="W54" t="n">
        <v>82.7</v>
      </c>
      <c r="X54" t="n">
        <v>95.8</v>
      </c>
      <c r="Y54" t="n">
        <v>75.1</v>
      </c>
      <c r="Z54" t="n">
        <v>89.3</v>
      </c>
      <c r="AA54" t="n">
        <v>96.7</v>
      </c>
      <c r="AB54" t="n">
        <v>104.5</v>
      </c>
      <c r="AC54" t="n">
        <v>76.2</v>
      </c>
      <c r="AD54" t="n">
        <v>89.2</v>
      </c>
      <c r="AE54" t="n">
        <v>70</v>
      </c>
      <c r="AF54" t="n">
        <v>67</v>
      </c>
    </row>
    <row r="55">
      <c r="A55" t="s">
        <v>19</v>
      </c>
      <c r="B55" t="s">
        <v>380</v>
      </c>
      <c r="C55" t="s">
        <v>246</v>
      </c>
      <c r="D55" t="s">
        <v>381</v>
      </c>
      <c r="E55" t="s">
        <v>247</v>
      </c>
      <c r="F55" t="n">
        <v>5.4</v>
      </c>
      <c r="G55" t="n">
        <v>5.6</v>
      </c>
      <c r="H55" t="n">
        <v>5.7</v>
      </c>
      <c r="I55" t="n">
        <v>6</v>
      </c>
      <c r="J55" t="n">
        <v>6.1</v>
      </c>
      <c r="K55" t="n">
        <v>6.5</v>
      </c>
      <c r="L55" t="n">
        <v>6.9</v>
      </c>
      <c r="M55" t="n">
        <v>7.2</v>
      </c>
      <c r="N55" t="n">
        <v>7.6</v>
      </c>
      <c r="O55" t="n">
        <v>7.7</v>
      </c>
      <c r="P55" t="n">
        <v>8</v>
      </c>
      <c r="Q55" t="n">
        <v>12</v>
      </c>
      <c r="R55" t="n">
        <v>12.3</v>
      </c>
      <c r="S55" t="n">
        <v>13.9</v>
      </c>
      <c r="T55" t="n">
        <v>12.7</v>
      </c>
      <c r="U55" t="n">
        <v>18.6</v>
      </c>
      <c r="V55" t="n">
        <v>23.5</v>
      </c>
      <c r="W55" t="n">
        <v>32.2</v>
      </c>
      <c r="X55" t="n">
        <v>27</v>
      </c>
      <c r="Y55" t="n">
        <v>37.3</v>
      </c>
      <c r="Z55" t="n">
        <v>33.6</v>
      </c>
      <c r="AA55" t="n">
        <v>33.6</v>
      </c>
      <c r="AB55" t="n">
        <v>35.7</v>
      </c>
      <c r="AC55" t="n">
        <v>31.1</v>
      </c>
      <c r="AD55" t="n">
        <v>30.6</v>
      </c>
      <c r="AE55" t="n">
        <v>21.8</v>
      </c>
      <c r="AF55" t="n">
        <v>29.3</v>
      </c>
    </row>
    <row r="56">
      <c r="A56" t="s">
        <v>19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19</v>
      </c>
      <c r="B57" t="s">
        <v>384</v>
      </c>
      <c r="C57" t="s">
        <v>246</v>
      </c>
      <c r="D57" t="s">
        <v>385</v>
      </c>
      <c r="E57" t="s">
        <v>247</v>
      </c>
      <c r="F57" t="n">
        <v>10838.9</v>
      </c>
      <c r="G57" t="n">
        <v>11079.6</v>
      </c>
      <c r="H57" t="n">
        <v>11362</v>
      </c>
      <c r="I57" t="n">
        <v>11918</v>
      </c>
      <c r="J57" t="n">
        <v>12332.1</v>
      </c>
      <c r="K57" t="n">
        <v>13225.1</v>
      </c>
      <c r="L57" t="n">
        <v>14259.2</v>
      </c>
      <c r="M57" t="n">
        <v>15021.9</v>
      </c>
      <c r="N57" t="n">
        <v>15455.3</v>
      </c>
      <c r="O57" t="n">
        <v>15649.5</v>
      </c>
      <c r="P57" t="n">
        <v>16667.5</v>
      </c>
      <c r="Q57" t="n">
        <v>17028.3</v>
      </c>
      <c r="R57" t="n">
        <v>17801.4</v>
      </c>
      <c r="S57" t="n">
        <v>19072.8</v>
      </c>
      <c r="T57" t="n">
        <v>19660.3</v>
      </c>
      <c r="U57" t="n">
        <v>20367.1</v>
      </c>
      <c r="V57" t="n">
        <v>20320.3</v>
      </c>
      <c r="W57" t="n">
        <v>19235.8</v>
      </c>
      <c r="X57" t="n">
        <v>19528.9</v>
      </c>
      <c r="Y57" t="n">
        <v>19166.8</v>
      </c>
      <c r="Z57" t="n">
        <v>21692.9</v>
      </c>
      <c r="AA57" t="n">
        <v>23490.1</v>
      </c>
      <c r="AB57" t="n">
        <v>24138.7</v>
      </c>
      <c r="AC57" t="n">
        <v>25273.7</v>
      </c>
      <c r="AD57" t="n">
        <v>26687.8</v>
      </c>
      <c r="AE57" t="n">
        <v>25919.7</v>
      </c>
      <c r="AF57" t="n">
        <v>26743.3</v>
      </c>
    </row>
    <row r="58">
      <c r="A58" t="s">
        <v>19</v>
      </c>
      <c r="B58" t="s">
        <v>386</v>
      </c>
      <c r="C58" t="s">
        <v>246</v>
      </c>
      <c r="D58" t="s">
        <v>387</v>
      </c>
      <c r="E58" t="s">
        <v>247</v>
      </c>
      <c r="F58" t="n">
        <v>10838.9</v>
      </c>
      <c r="G58" t="n">
        <v>11079.6</v>
      </c>
      <c r="H58" t="n">
        <v>11362</v>
      </c>
      <c r="I58" t="n">
        <v>11918</v>
      </c>
      <c r="J58" t="n">
        <v>12332.1</v>
      </c>
      <c r="K58" t="n">
        <v>13225.1</v>
      </c>
      <c r="L58" t="n">
        <v>14259.2</v>
      </c>
      <c r="M58" t="n">
        <v>15021.9</v>
      </c>
      <c r="N58" t="n">
        <v>15455.3</v>
      </c>
      <c r="O58" t="n">
        <v>15649.5</v>
      </c>
      <c r="P58" t="n">
        <v>16667.5</v>
      </c>
      <c r="Q58" t="n">
        <v>17028.3</v>
      </c>
      <c r="R58" t="n">
        <v>17801.4</v>
      </c>
      <c r="S58" t="n">
        <v>19072.8</v>
      </c>
      <c r="T58" t="n">
        <v>19660.3</v>
      </c>
      <c r="U58" t="n">
        <v>20367.1</v>
      </c>
      <c r="V58" t="n">
        <v>20320.3</v>
      </c>
      <c r="W58" t="n">
        <v>19235.8</v>
      </c>
      <c r="X58" t="n">
        <v>19528.9</v>
      </c>
      <c r="Y58" t="n">
        <v>19166.8</v>
      </c>
      <c r="Z58" t="n">
        <v>21692.9</v>
      </c>
      <c r="AA58" t="n">
        <v>23490.1</v>
      </c>
      <c r="AB58" t="n">
        <v>24138.7</v>
      </c>
      <c r="AC58" t="n">
        <v>25273.7</v>
      </c>
      <c r="AD58" t="n">
        <v>26687.8</v>
      </c>
      <c r="AE58" t="n">
        <v>25919.7</v>
      </c>
      <c r="AF58" t="n">
        <v>26743.3</v>
      </c>
    </row>
    <row r="59">
      <c r="A59" t="s">
        <v>19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21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21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21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21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21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21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21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21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21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21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21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21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21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21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21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21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21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21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21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21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21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21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21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21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21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21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21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21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21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21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21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21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21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21</v>
      </c>
      <c r="B35" t="s">
        <v>340</v>
      </c>
      <c r="C35" t="s">
        <v>246</v>
      </c>
      <c r="D35" t="s">
        <v>341</v>
      </c>
      <c r="E35" t="s">
        <v>247</v>
      </c>
      <c r="F35" t="n">
        <v>701.8</v>
      </c>
      <c r="G35" t="n">
        <v>719.5</v>
      </c>
      <c r="H35" t="n">
        <v>854.6</v>
      </c>
      <c r="I35" t="n">
        <v>951.5</v>
      </c>
      <c r="J35" t="n">
        <v>976.8</v>
      </c>
      <c r="K35" t="n">
        <v>1048.4</v>
      </c>
      <c r="L35" t="n">
        <v>927.4</v>
      </c>
      <c r="M35" t="n">
        <v>965.2</v>
      </c>
      <c r="N35" t="n">
        <v>1046.7</v>
      </c>
      <c r="O35" t="n">
        <v>1108.6</v>
      </c>
      <c r="P35" t="n">
        <v>1080.3</v>
      </c>
      <c r="Q35" t="n">
        <v>1113.6</v>
      </c>
      <c r="R35" t="n">
        <v>1326.3</v>
      </c>
      <c r="S35" t="n">
        <v>1371.5</v>
      </c>
      <c r="T35" t="n">
        <v>1146.2</v>
      </c>
      <c r="U35" t="n">
        <v>1390.9</v>
      </c>
      <c r="V35" t="n">
        <v>1350.6</v>
      </c>
      <c r="W35" t="n">
        <v>1301.8</v>
      </c>
      <c r="X35" t="n">
        <v>1012.2</v>
      </c>
      <c r="Y35" t="n">
        <v>956.2</v>
      </c>
      <c r="Z35" t="n">
        <v>1099.3</v>
      </c>
      <c r="AA35" t="n">
        <v>1173</v>
      </c>
      <c r="AB35" t="n">
        <v>1015</v>
      </c>
      <c r="AC35" t="n">
        <v>1131</v>
      </c>
      <c r="AD35" t="n">
        <v>980.3</v>
      </c>
      <c r="AE35" t="n">
        <v>983.5</v>
      </c>
      <c r="AF35" t="n">
        <v>1048.7</v>
      </c>
    </row>
    <row r="36">
      <c r="A36" t="s">
        <v>21</v>
      </c>
      <c r="B36" t="s">
        <v>342</v>
      </c>
      <c r="C36" t="s">
        <v>246</v>
      </c>
      <c r="D36" t="s">
        <v>343</v>
      </c>
      <c r="E36" t="s">
        <v>247</v>
      </c>
      <c r="F36" t="n">
        <v>701.9</v>
      </c>
      <c r="G36" t="n">
        <v>719.4</v>
      </c>
      <c r="H36" t="n">
        <v>854.6</v>
      </c>
      <c r="I36" t="n">
        <v>951.5</v>
      </c>
      <c r="J36" t="n">
        <v>976.9</v>
      </c>
      <c r="K36" t="n">
        <v>1048.4</v>
      </c>
      <c r="L36" t="n">
        <v>927.4</v>
      </c>
      <c r="M36" t="n">
        <v>965.2</v>
      </c>
      <c r="N36" t="n">
        <v>1046.7</v>
      </c>
      <c r="O36" t="n">
        <v>1108.5</v>
      </c>
      <c r="P36" t="n">
        <v>1080.2</v>
      </c>
      <c r="Q36" t="n">
        <v>1113.6</v>
      </c>
      <c r="R36" t="n">
        <v>1326.4</v>
      </c>
      <c r="S36" t="n">
        <v>1371.5</v>
      </c>
      <c r="T36" t="n">
        <v>1146.2</v>
      </c>
      <c r="U36" t="n">
        <v>1390.9</v>
      </c>
      <c r="V36" t="n">
        <v>1350.6</v>
      </c>
      <c r="W36" t="n">
        <v>1301.8</v>
      </c>
      <c r="X36" t="n">
        <v>1012.2</v>
      </c>
      <c r="Y36" t="n">
        <v>956.2</v>
      </c>
      <c r="Z36" t="n">
        <v>1099.2</v>
      </c>
      <c r="AA36" t="n">
        <v>1173</v>
      </c>
      <c r="AB36" t="n">
        <v>1015</v>
      </c>
      <c r="AC36" t="n">
        <v>1131</v>
      </c>
      <c r="AD36" t="n">
        <v>980.3</v>
      </c>
      <c r="AE36" t="n">
        <v>983.5</v>
      </c>
      <c r="AF36" t="n">
        <v>1048.7</v>
      </c>
    </row>
    <row r="37">
      <c r="A37" t="s">
        <v>21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21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21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21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21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21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21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21</v>
      </c>
      <c r="B44" t="s">
        <v>358</v>
      </c>
      <c r="C44" t="s">
        <v>246</v>
      </c>
      <c r="D44" t="s">
        <v>359</v>
      </c>
      <c r="E44" t="s">
        <v>247</v>
      </c>
      <c r="F44" t="n">
        <v>1090.2</v>
      </c>
      <c r="G44" t="n">
        <v>1162.4</v>
      </c>
      <c r="H44" t="n">
        <v>1360.3</v>
      </c>
      <c r="I44" t="n">
        <v>1456.8</v>
      </c>
      <c r="J44" t="n">
        <v>1494.4</v>
      </c>
      <c r="K44" t="n">
        <v>1570.1</v>
      </c>
      <c r="L44" t="n">
        <v>1413.9</v>
      </c>
      <c r="M44" t="n">
        <v>1453.3</v>
      </c>
      <c r="N44" t="n">
        <v>1545.9</v>
      </c>
      <c r="O44" t="n">
        <v>1584</v>
      </c>
      <c r="P44" t="n">
        <v>1612.3</v>
      </c>
      <c r="Q44" t="n">
        <v>1788.5</v>
      </c>
      <c r="R44" t="n">
        <v>1984.5</v>
      </c>
      <c r="S44" t="n">
        <v>2065.7</v>
      </c>
      <c r="T44" t="n">
        <v>1911.8</v>
      </c>
      <c r="U44" t="n">
        <v>1905</v>
      </c>
      <c r="V44" t="n">
        <v>1985.1</v>
      </c>
      <c r="W44" t="n">
        <v>1918.6</v>
      </c>
      <c r="X44" t="n">
        <v>1623.2</v>
      </c>
      <c r="Y44" t="n">
        <v>1643.3</v>
      </c>
      <c r="Z44" t="n">
        <v>1866.2</v>
      </c>
      <c r="AA44" t="n">
        <v>1900.9</v>
      </c>
      <c r="AB44" t="n">
        <v>1817.1</v>
      </c>
      <c r="AC44" t="n">
        <v>1798.7</v>
      </c>
      <c r="AD44" t="n">
        <v>1601.3</v>
      </c>
      <c r="AE44" t="n">
        <v>1672.4</v>
      </c>
      <c r="AF44" t="n">
        <v>1674.1</v>
      </c>
    </row>
    <row r="45">
      <c r="A45" t="s">
        <v>21</v>
      </c>
      <c r="B45" t="s">
        <v>360</v>
      </c>
      <c r="C45" t="s">
        <v>246</v>
      </c>
      <c r="D45" t="s">
        <v>361</v>
      </c>
      <c r="E45" t="s">
        <v>247</v>
      </c>
      <c r="F45" t="n">
        <v>1090.2</v>
      </c>
      <c r="G45" t="n">
        <v>1162.3</v>
      </c>
      <c r="H45" t="n">
        <v>1360.4</v>
      </c>
      <c r="I45" t="n">
        <v>1456.8</v>
      </c>
      <c r="J45" t="n">
        <v>1494.5</v>
      </c>
      <c r="K45" t="n">
        <v>1570</v>
      </c>
      <c r="L45" t="n">
        <v>1413.9</v>
      </c>
      <c r="M45" t="n">
        <v>1453.3</v>
      </c>
      <c r="N45" t="n">
        <v>1545.9</v>
      </c>
      <c r="O45" t="n">
        <v>1583.9</v>
      </c>
      <c r="P45" t="n">
        <v>1612.3</v>
      </c>
      <c r="Q45" t="n">
        <v>1788.5</v>
      </c>
      <c r="R45" t="n">
        <v>1984.5</v>
      </c>
      <c r="S45" t="n">
        <v>2065.7</v>
      </c>
      <c r="T45" t="n">
        <v>1911.8</v>
      </c>
      <c r="U45" t="n">
        <v>1905</v>
      </c>
      <c r="V45" t="n">
        <v>1985.1</v>
      </c>
      <c r="W45" t="n">
        <v>1918.6</v>
      </c>
      <c r="X45" t="n">
        <v>1623.2</v>
      </c>
      <c r="Y45" t="n">
        <v>1643.3</v>
      </c>
      <c r="Z45" t="n">
        <v>1866.1</v>
      </c>
      <c r="AA45" t="n">
        <v>1900.9</v>
      </c>
      <c r="AB45" t="n">
        <v>1817.1</v>
      </c>
      <c r="AC45" t="n">
        <v>1798.7</v>
      </c>
      <c r="AD45" t="n">
        <v>1601.3</v>
      </c>
      <c r="AE45" t="n">
        <v>1672.4</v>
      </c>
      <c r="AF45" t="n">
        <v>1674.1</v>
      </c>
    </row>
    <row r="46">
      <c r="A46" t="s">
        <v>21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21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21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21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21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21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21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21</v>
      </c>
      <c r="B53" t="s">
        <v>376</v>
      </c>
      <c r="C53" t="s">
        <v>246</v>
      </c>
      <c r="D53" t="s">
        <v>377</v>
      </c>
      <c r="E53" t="s">
        <v>247</v>
      </c>
      <c r="F53" t="n">
        <v>295.3</v>
      </c>
      <c r="G53" t="n">
        <v>302.7</v>
      </c>
      <c r="H53" t="n">
        <v>359.7</v>
      </c>
      <c r="I53" t="n">
        <v>400.3</v>
      </c>
      <c r="J53" t="n">
        <v>411</v>
      </c>
      <c r="K53" t="n">
        <v>386</v>
      </c>
      <c r="L53" t="n">
        <v>406.3</v>
      </c>
      <c r="M53" t="n">
        <v>427.1</v>
      </c>
      <c r="N53" t="n">
        <v>444.8</v>
      </c>
      <c r="O53" t="n">
        <v>426.1</v>
      </c>
      <c r="P53" t="n">
        <v>498.7</v>
      </c>
      <c r="Q53" t="n">
        <v>572.1</v>
      </c>
      <c r="R53" t="n">
        <v>576.5</v>
      </c>
      <c r="S53" t="n">
        <v>596.3</v>
      </c>
      <c r="T53" t="n">
        <v>676.5</v>
      </c>
      <c r="U53" t="n">
        <v>451.7</v>
      </c>
      <c r="V53" t="n">
        <v>568.3</v>
      </c>
      <c r="W53" t="n">
        <v>532</v>
      </c>
      <c r="X53" t="n">
        <v>510.8</v>
      </c>
      <c r="Y53" t="n">
        <v>511.1</v>
      </c>
      <c r="Z53" t="n">
        <v>519.5</v>
      </c>
      <c r="AA53" t="n">
        <v>545.5</v>
      </c>
      <c r="AB53" t="n">
        <v>648.4</v>
      </c>
      <c r="AC53" t="n">
        <v>543.9</v>
      </c>
      <c r="AD53" t="n">
        <v>473.1</v>
      </c>
      <c r="AE53" t="n">
        <v>582.1</v>
      </c>
      <c r="AF53" t="n">
        <v>510.2</v>
      </c>
    </row>
    <row r="54">
      <c r="A54" t="s">
        <v>21</v>
      </c>
      <c r="B54" t="s">
        <v>378</v>
      </c>
      <c r="C54" t="s">
        <v>246</v>
      </c>
      <c r="D54" t="s">
        <v>379</v>
      </c>
      <c r="E54" t="s">
        <v>247</v>
      </c>
      <c r="F54" t="n">
        <v>295.3</v>
      </c>
      <c r="G54" t="n">
        <v>302.7</v>
      </c>
      <c r="H54" t="n">
        <v>359.7</v>
      </c>
      <c r="I54" t="n">
        <v>400.3</v>
      </c>
      <c r="J54" t="n">
        <v>411</v>
      </c>
      <c r="K54" t="n">
        <v>386</v>
      </c>
      <c r="L54" t="n">
        <v>406.3</v>
      </c>
      <c r="M54" t="n">
        <v>427.1</v>
      </c>
      <c r="N54" t="n">
        <v>444.7</v>
      </c>
      <c r="O54" t="n">
        <v>426.1</v>
      </c>
      <c r="P54" t="n">
        <v>498.7</v>
      </c>
      <c r="Q54" t="n">
        <v>572.1</v>
      </c>
      <c r="R54" t="n">
        <v>576.5</v>
      </c>
      <c r="S54" t="n">
        <v>596.3</v>
      </c>
      <c r="T54" t="n">
        <v>676.6</v>
      </c>
      <c r="U54" t="n">
        <v>451.7</v>
      </c>
      <c r="V54" t="n">
        <v>568.3</v>
      </c>
      <c r="W54" t="n">
        <v>532.1</v>
      </c>
      <c r="X54" t="n">
        <v>510.8</v>
      </c>
      <c r="Y54" t="n">
        <v>511</v>
      </c>
      <c r="Z54" t="n">
        <v>519.4</v>
      </c>
      <c r="AA54" t="n">
        <v>545.4</v>
      </c>
      <c r="AB54" t="n">
        <v>648.4</v>
      </c>
      <c r="AC54" t="n">
        <v>543.9</v>
      </c>
      <c r="AD54" t="n">
        <v>473.1</v>
      </c>
      <c r="AE54" t="n">
        <v>582.1</v>
      </c>
      <c r="AF54" t="n">
        <v>510.2</v>
      </c>
    </row>
    <row r="55">
      <c r="A55" t="s">
        <v>21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21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21</v>
      </c>
      <c r="B57" t="s">
        <v>384</v>
      </c>
      <c r="C57" t="s">
        <v>246</v>
      </c>
      <c r="D57" t="s">
        <v>385</v>
      </c>
      <c r="E57" t="s">
        <v>247</v>
      </c>
      <c r="F57" t="n">
        <v>1090.2</v>
      </c>
      <c r="G57" t="n">
        <v>1162.2</v>
      </c>
      <c r="H57" t="n">
        <v>1360.4</v>
      </c>
      <c r="I57" t="n">
        <v>1456.8</v>
      </c>
      <c r="J57" t="n">
        <v>1494.3</v>
      </c>
      <c r="K57" t="n">
        <v>1570.1</v>
      </c>
      <c r="L57" t="n">
        <v>1414</v>
      </c>
      <c r="M57" t="n">
        <v>1453.3</v>
      </c>
      <c r="N57" t="n">
        <v>1546</v>
      </c>
      <c r="O57" t="n">
        <v>1584</v>
      </c>
      <c r="P57" t="n">
        <v>1612.2</v>
      </c>
      <c r="Q57" t="n">
        <v>1788.4</v>
      </c>
      <c r="R57" t="n">
        <v>1984.5</v>
      </c>
      <c r="S57" t="n">
        <v>2065.8</v>
      </c>
      <c r="T57" t="n">
        <v>1911.8</v>
      </c>
      <c r="U57" t="n">
        <v>1905</v>
      </c>
      <c r="V57" t="n">
        <v>1985.1</v>
      </c>
      <c r="W57" t="n">
        <v>1918.5</v>
      </c>
      <c r="X57" t="n">
        <v>1623.3</v>
      </c>
      <c r="Y57" t="n">
        <v>1643.3</v>
      </c>
      <c r="Z57" t="n">
        <v>1866</v>
      </c>
      <c r="AA57" t="n">
        <v>1900.7</v>
      </c>
      <c r="AB57" t="n">
        <v>1817.1</v>
      </c>
      <c r="AC57" t="n">
        <v>1798.6</v>
      </c>
      <c r="AD57" t="n">
        <v>1601.2</v>
      </c>
      <c r="AE57" t="n">
        <v>1672.5</v>
      </c>
      <c r="AF57" t="n">
        <v>1674.2</v>
      </c>
    </row>
    <row r="58">
      <c r="A58" t="s">
        <v>21</v>
      </c>
      <c r="B58" t="s">
        <v>386</v>
      </c>
      <c r="C58" t="s">
        <v>246</v>
      </c>
      <c r="D58" t="s">
        <v>387</v>
      </c>
      <c r="E58" t="s">
        <v>247</v>
      </c>
      <c r="F58" t="n">
        <v>1090.2</v>
      </c>
      <c r="G58" t="n">
        <v>1162.2</v>
      </c>
      <c r="H58" t="n">
        <v>1360.4</v>
      </c>
      <c r="I58" t="n">
        <v>1456.8</v>
      </c>
      <c r="J58" t="n">
        <v>1494.3</v>
      </c>
      <c r="K58" t="n">
        <v>1570.1</v>
      </c>
      <c r="L58" t="n">
        <v>1414</v>
      </c>
      <c r="M58" t="n">
        <v>1453.3</v>
      </c>
      <c r="N58" t="n">
        <v>1546</v>
      </c>
      <c r="O58" t="n">
        <v>1584</v>
      </c>
      <c r="P58" t="n">
        <v>1612.2</v>
      </c>
      <c r="Q58" t="n">
        <v>1788.4</v>
      </c>
      <c r="R58" t="n">
        <v>1984.5</v>
      </c>
      <c r="S58" t="n">
        <v>2065.8</v>
      </c>
      <c r="T58" t="n">
        <v>1911.8</v>
      </c>
      <c r="U58" t="n">
        <v>1905</v>
      </c>
      <c r="V58" t="n">
        <v>1985.1</v>
      </c>
      <c r="W58" t="n">
        <v>1918.5</v>
      </c>
      <c r="X58" t="n">
        <v>1623.3</v>
      </c>
      <c r="Y58" t="n">
        <v>1643.3</v>
      </c>
      <c r="Z58" t="n">
        <v>1866</v>
      </c>
      <c r="AA58" t="n">
        <v>1900.7</v>
      </c>
      <c r="AB58" t="n">
        <v>1817.1</v>
      </c>
      <c r="AC58" t="n">
        <v>1798.6</v>
      </c>
      <c r="AD58" t="n">
        <v>1601.2</v>
      </c>
      <c r="AE58" t="n">
        <v>1672.5</v>
      </c>
      <c r="AF58" t="n">
        <v>1674.2</v>
      </c>
    </row>
    <row r="59">
      <c r="A59" t="s">
        <v>21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23</v>
      </c>
      <c r="B2" t="s">
        <v>197</v>
      </c>
      <c r="C2" t="s">
        <v>246</v>
      </c>
      <c r="D2" t="s">
        <v>199</v>
      </c>
      <c r="E2" t="s">
        <v>247</v>
      </c>
      <c r="F2" t="n">
        <v>5141.9</v>
      </c>
      <c r="G2" t="n">
        <v>5201.6</v>
      </c>
      <c r="H2" t="n">
        <v>5629.3</v>
      </c>
      <c r="I2" t="n">
        <v>5964.6</v>
      </c>
      <c r="J2" t="n">
        <v>6440.4</v>
      </c>
      <c r="K2" t="n">
        <v>7358.2</v>
      </c>
      <c r="L2" t="n">
        <v>7059.7</v>
      </c>
      <c r="M2" t="n">
        <v>7395</v>
      </c>
      <c r="N2" t="n">
        <v>7447.7</v>
      </c>
      <c r="O2" t="n">
        <v>8106.7</v>
      </c>
      <c r="P2" t="n">
        <v>8364.4</v>
      </c>
      <c r="Q2" t="n">
        <v>9141.6</v>
      </c>
      <c r="R2" t="n">
        <v>8771</v>
      </c>
      <c r="S2" t="n">
        <v>8102.8</v>
      </c>
      <c r="T2" t="n">
        <v>7066.7</v>
      </c>
      <c r="U2" t="n">
        <v>7569.8</v>
      </c>
      <c r="V2" t="n">
        <v>8333.4</v>
      </c>
      <c r="W2" t="n">
        <v>7840.2</v>
      </c>
      <c r="X2" t="n">
        <v>6586.6</v>
      </c>
      <c r="Y2" t="n">
        <v>6749</v>
      </c>
      <c r="Z2" t="n">
        <v>6799.3</v>
      </c>
      <c r="AA2" t="n">
        <v>7278.4</v>
      </c>
      <c r="AB2" t="n">
        <v>8432.9</v>
      </c>
      <c r="AC2" t="n">
        <v>9513.9</v>
      </c>
      <c r="AD2" t="n">
        <v>9803.8</v>
      </c>
      <c r="AE2" t="n">
        <v>8710.7</v>
      </c>
      <c r="AF2" t="n">
        <v>10496.9</v>
      </c>
    </row>
    <row r="3">
      <c r="A3" t="s">
        <v>23</v>
      </c>
      <c r="B3" t="s">
        <v>276</v>
      </c>
      <c r="C3" t="s">
        <v>246</v>
      </c>
      <c r="D3" t="s">
        <v>277</v>
      </c>
      <c r="E3" t="s">
        <v>247</v>
      </c>
      <c r="F3" t="n">
        <v>1525.9</v>
      </c>
      <c r="G3" t="n">
        <v>1556.5</v>
      </c>
      <c r="H3" t="n">
        <v>1730.9</v>
      </c>
      <c r="I3" t="n">
        <v>1483.3</v>
      </c>
      <c r="J3" t="n">
        <v>1510.1</v>
      </c>
      <c r="K3" t="n">
        <v>1875.2</v>
      </c>
      <c r="L3" t="n">
        <v>1924.5</v>
      </c>
      <c r="M3" t="n">
        <v>1771.1</v>
      </c>
      <c r="N3" t="n">
        <v>1801.4</v>
      </c>
      <c r="O3" t="n">
        <v>2114.6</v>
      </c>
      <c r="P3" t="n">
        <v>2256.5</v>
      </c>
      <c r="Q3" t="n">
        <v>2105.4</v>
      </c>
      <c r="R3" t="n">
        <v>2324.1</v>
      </c>
      <c r="S3" t="n">
        <v>1954.6</v>
      </c>
      <c r="T3" t="n">
        <v>1790.8</v>
      </c>
      <c r="U3" t="n">
        <v>2203.3</v>
      </c>
      <c r="V3" t="n">
        <v>2274.9</v>
      </c>
      <c r="W3" t="n">
        <v>1980</v>
      </c>
      <c r="X3" t="n">
        <v>1822.7</v>
      </c>
      <c r="Y3" t="n">
        <v>2842.2</v>
      </c>
      <c r="Z3" t="n">
        <v>2452.2</v>
      </c>
      <c r="AA3" t="n">
        <v>1582.8</v>
      </c>
      <c r="AB3" t="n">
        <v>1256.4</v>
      </c>
      <c r="AC3" t="n">
        <v>3122.1</v>
      </c>
      <c r="AD3" t="n">
        <v>3053.8</v>
      </c>
      <c r="AE3" t="n">
        <v>1959.1</v>
      </c>
      <c r="AF3" t="n">
        <v>2305.4</v>
      </c>
    </row>
    <row r="4">
      <c r="A4" t="s">
        <v>23</v>
      </c>
      <c r="B4" t="s">
        <v>278</v>
      </c>
      <c r="C4" t="s">
        <v>246</v>
      </c>
      <c r="D4" t="s">
        <v>279</v>
      </c>
      <c r="E4" t="s">
        <v>247</v>
      </c>
      <c r="F4" t="n">
        <v>35360.5</v>
      </c>
      <c r="G4" t="n">
        <v>34702.7</v>
      </c>
      <c r="H4" t="n">
        <v>35440.3</v>
      </c>
      <c r="I4" t="n">
        <v>39143.4</v>
      </c>
      <c r="J4" t="n">
        <v>41787.3</v>
      </c>
      <c r="K4" t="n">
        <v>46307.8</v>
      </c>
      <c r="L4" t="n">
        <v>48387.6</v>
      </c>
      <c r="M4" t="n">
        <v>50709.7</v>
      </c>
      <c r="N4" t="n">
        <v>49146.2</v>
      </c>
      <c r="O4" t="n">
        <v>50468</v>
      </c>
      <c r="P4" t="n">
        <v>50435.1</v>
      </c>
      <c r="Q4" t="n">
        <v>54980.2</v>
      </c>
      <c r="R4" t="n">
        <v>56548.1</v>
      </c>
      <c r="S4" t="n">
        <v>57307.2</v>
      </c>
      <c r="T4" t="n">
        <v>48841.3</v>
      </c>
      <c r="U4" t="n">
        <v>53772.7</v>
      </c>
      <c r="V4" t="n">
        <v>54902</v>
      </c>
      <c r="W4" t="n">
        <v>53484.5</v>
      </c>
      <c r="X4" t="n">
        <v>49719.1</v>
      </c>
      <c r="Y4" t="n">
        <v>53054.1</v>
      </c>
      <c r="Z4" t="n">
        <v>57325.5</v>
      </c>
      <c r="AA4" t="n">
        <v>61979.6</v>
      </c>
      <c r="AB4" t="n">
        <v>64251.4</v>
      </c>
      <c r="AC4" t="n">
        <v>69805.1</v>
      </c>
      <c r="AD4" t="n">
        <v>67345.1</v>
      </c>
      <c r="AE4" t="n">
        <v>60904.6</v>
      </c>
      <c r="AF4" t="n">
        <v>71370</v>
      </c>
    </row>
    <row r="5">
      <c r="A5" t="s">
        <v>23</v>
      </c>
      <c r="B5" t="s">
        <v>280</v>
      </c>
      <c r="C5" t="s">
        <v>246</v>
      </c>
      <c r="D5" t="s">
        <v>281</v>
      </c>
      <c r="E5" t="s">
        <v>247</v>
      </c>
      <c r="F5" t="n">
        <v>4779.1</v>
      </c>
      <c r="G5" t="n">
        <v>4494.4</v>
      </c>
      <c r="H5" t="n">
        <v>4684.3</v>
      </c>
      <c r="I5" t="n">
        <v>4475.3</v>
      </c>
      <c r="J5" t="n">
        <v>6026.5</v>
      </c>
      <c r="K5" t="n">
        <v>6102.8</v>
      </c>
      <c r="L5" t="n">
        <v>6213.6</v>
      </c>
      <c r="M5" t="n">
        <v>6568.6</v>
      </c>
      <c r="N5" t="n">
        <v>5825.3</v>
      </c>
      <c r="O5" t="n">
        <v>7072.9</v>
      </c>
      <c r="P5" t="n">
        <v>6245.6</v>
      </c>
      <c r="Q5" t="n">
        <v>7606.4</v>
      </c>
      <c r="R5" t="n">
        <v>7246.5</v>
      </c>
      <c r="S5" t="n">
        <v>7206.3</v>
      </c>
      <c r="T5" t="n">
        <v>5523.9</v>
      </c>
      <c r="U5" t="n">
        <v>6842.3</v>
      </c>
      <c r="V5" t="n">
        <v>6901.1</v>
      </c>
      <c r="W5" t="n">
        <v>7235.9</v>
      </c>
      <c r="X5" t="n">
        <v>6295.3</v>
      </c>
      <c r="Y5" t="n">
        <v>6808.4</v>
      </c>
      <c r="Z5" t="n">
        <v>6770.1</v>
      </c>
      <c r="AA5" t="n">
        <v>7576.2</v>
      </c>
      <c r="AB5" t="n">
        <v>7813</v>
      </c>
      <c r="AC5" t="n">
        <v>9436.9</v>
      </c>
      <c r="AD5" t="n">
        <v>8393.4</v>
      </c>
      <c r="AE5" t="n">
        <v>6755.9</v>
      </c>
      <c r="AF5" t="n">
        <v>8730.3</v>
      </c>
    </row>
    <row r="6">
      <c r="A6" t="s">
        <v>23</v>
      </c>
      <c r="B6" t="s">
        <v>282</v>
      </c>
      <c r="C6" t="s">
        <v>246</v>
      </c>
      <c r="D6" t="s">
        <v>283</v>
      </c>
      <c r="E6" t="s">
        <v>247</v>
      </c>
      <c r="F6" t="n">
        <v>2579.3</v>
      </c>
      <c r="G6" t="n">
        <v>2490.9</v>
      </c>
      <c r="H6" t="n">
        <v>2295.7</v>
      </c>
      <c r="I6" t="n">
        <v>3194.4</v>
      </c>
      <c r="J6" t="n">
        <v>2744.7</v>
      </c>
      <c r="K6" t="n">
        <v>3130.3</v>
      </c>
      <c r="L6" t="n">
        <v>3351.5</v>
      </c>
      <c r="M6" t="n">
        <v>3650.8</v>
      </c>
      <c r="N6" t="n">
        <v>3760.9</v>
      </c>
      <c r="O6" t="n">
        <v>3615.4</v>
      </c>
      <c r="P6" t="n">
        <v>3688.8</v>
      </c>
      <c r="Q6" t="n">
        <v>3686.7</v>
      </c>
      <c r="R6" t="n">
        <v>3843.7</v>
      </c>
      <c r="S6" t="n">
        <v>4056.6</v>
      </c>
      <c r="T6" t="n">
        <v>3424.7</v>
      </c>
      <c r="U6" t="n">
        <v>3783</v>
      </c>
      <c r="V6" t="n">
        <v>3793.2</v>
      </c>
      <c r="W6" t="n">
        <v>3850.7</v>
      </c>
      <c r="X6" t="n">
        <v>3435.7</v>
      </c>
      <c r="Y6" t="n">
        <v>3804.4</v>
      </c>
      <c r="Z6" t="n">
        <v>3728.9</v>
      </c>
      <c r="AA6" t="n">
        <v>4078</v>
      </c>
      <c r="AB6" t="n">
        <v>4696.9</v>
      </c>
      <c r="AC6" t="n">
        <v>5290</v>
      </c>
      <c r="AD6" t="n">
        <v>4685.3</v>
      </c>
      <c r="AE6" t="n">
        <v>3684.2</v>
      </c>
      <c r="AF6" t="n">
        <v>4200.9</v>
      </c>
    </row>
    <row r="7">
      <c r="A7" t="s">
        <v>23</v>
      </c>
      <c r="B7" t="s">
        <v>284</v>
      </c>
      <c r="C7" t="s">
        <v>246</v>
      </c>
      <c r="D7" t="s">
        <v>285</v>
      </c>
      <c r="E7" t="s">
        <v>247</v>
      </c>
      <c r="F7" t="n">
        <v>3788.1</v>
      </c>
      <c r="G7" t="n">
        <v>2272.1</v>
      </c>
      <c r="H7" t="n">
        <v>1931.4</v>
      </c>
      <c r="I7" t="n">
        <v>2652.1</v>
      </c>
      <c r="J7" t="n">
        <v>2720.9</v>
      </c>
      <c r="K7" t="n">
        <v>3058.2</v>
      </c>
      <c r="L7" t="n">
        <v>3247.2</v>
      </c>
      <c r="M7" t="n">
        <v>3274.8</v>
      </c>
      <c r="N7" t="n">
        <v>3166</v>
      </c>
      <c r="O7" t="n">
        <v>3229.4</v>
      </c>
      <c r="P7" t="n">
        <v>3411.3</v>
      </c>
      <c r="Q7" t="n">
        <v>3589.6</v>
      </c>
      <c r="R7" t="n">
        <v>3647.9</v>
      </c>
      <c r="S7" t="n">
        <v>3544.6</v>
      </c>
      <c r="T7" t="n">
        <v>2819.2</v>
      </c>
      <c r="U7" t="n">
        <v>3327.8</v>
      </c>
      <c r="V7" t="n">
        <v>3373.1</v>
      </c>
      <c r="W7" t="n">
        <v>3164.1</v>
      </c>
      <c r="X7" t="n">
        <v>2800</v>
      </c>
      <c r="Y7" t="n">
        <v>2832.7</v>
      </c>
      <c r="Z7" t="n">
        <v>3478.4</v>
      </c>
      <c r="AA7" t="n">
        <v>3741.9</v>
      </c>
      <c r="AB7" t="n">
        <v>3971.9</v>
      </c>
      <c r="AC7" t="n">
        <v>4489.6</v>
      </c>
      <c r="AD7" t="n">
        <v>3876.6</v>
      </c>
      <c r="AE7" t="n">
        <v>3262.4</v>
      </c>
      <c r="AF7" t="n">
        <v>3789.5</v>
      </c>
    </row>
    <row r="8">
      <c r="A8" t="s">
        <v>23</v>
      </c>
      <c r="B8" t="s">
        <v>286</v>
      </c>
      <c r="C8" t="s">
        <v>246</v>
      </c>
      <c r="D8" t="s">
        <v>287</v>
      </c>
      <c r="E8" t="s">
        <v>247</v>
      </c>
      <c r="F8" t="n">
        <v>889.4</v>
      </c>
      <c r="G8" t="n">
        <v>1068</v>
      </c>
      <c r="H8" t="n">
        <v>892.2</v>
      </c>
      <c r="I8" t="n">
        <v>1430.5</v>
      </c>
      <c r="J8" t="n">
        <v>1023.6</v>
      </c>
      <c r="K8" t="n">
        <v>1580.7</v>
      </c>
      <c r="L8" t="n">
        <v>1764.9</v>
      </c>
      <c r="M8" t="n">
        <v>1517.3</v>
      </c>
      <c r="N8" t="n">
        <v>1387.4</v>
      </c>
      <c r="O8" t="n">
        <v>1308.1</v>
      </c>
      <c r="P8" t="n">
        <v>1373.2</v>
      </c>
      <c r="Q8" t="n">
        <v>1496</v>
      </c>
      <c r="R8" t="n">
        <v>1744.6</v>
      </c>
      <c r="S8" t="n">
        <v>1769.2</v>
      </c>
      <c r="T8" t="n">
        <v>1617.9</v>
      </c>
      <c r="U8" t="n">
        <v>1564.3</v>
      </c>
      <c r="V8" t="n">
        <v>1610.8</v>
      </c>
      <c r="W8" t="n">
        <v>1696.9</v>
      </c>
      <c r="X8" t="n">
        <v>1418.6</v>
      </c>
      <c r="Y8" t="n">
        <v>1372.9</v>
      </c>
      <c r="Z8" t="n">
        <v>1039.7</v>
      </c>
      <c r="AA8" t="n">
        <v>1223.3</v>
      </c>
      <c r="AB8" t="n">
        <v>1336.1</v>
      </c>
      <c r="AC8" t="n">
        <v>1139.3</v>
      </c>
      <c r="AD8" t="n">
        <v>1467.7</v>
      </c>
      <c r="AE8" t="n">
        <v>1004.1</v>
      </c>
      <c r="AF8" t="n">
        <v>952.2</v>
      </c>
    </row>
    <row r="9">
      <c r="A9" t="s">
        <v>23</v>
      </c>
      <c r="B9" t="s">
        <v>288</v>
      </c>
      <c r="C9" t="s">
        <v>246</v>
      </c>
      <c r="D9" t="s">
        <v>289</v>
      </c>
      <c r="E9" t="s">
        <v>247</v>
      </c>
      <c r="F9" t="n">
        <v>1485.3</v>
      </c>
      <c r="G9" t="n">
        <v>1798.5</v>
      </c>
      <c r="H9" t="n">
        <v>2346.8</v>
      </c>
      <c r="I9" t="n">
        <v>2551.4</v>
      </c>
      <c r="J9" t="n">
        <v>2760.8</v>
      </c>
      <c r="K9" t="n">
        <v>2940.6</v>
      </c>
      <c r="L9" t="n">
        <v>3061.8</v>
      </c>
      <c r="M9" t="n">
        <v>3102.6</v>
      </c>
      <c r="N9" t="n">
        <v>3601.7</v>
      </c>
      <c r="O9" t="n">
        <v>3074.2</v>
      </c>
      <c r="P9" t="n">
        <v>3030.3</v>
      </c>
      <c r="Q9" t="n">
        <v>3668.2</v>
      </c>
      <c r="R9" t="n">
        <v>3673.2</v>
      </c>
      <c r="S9" t="n">
        <v>3391</v>
      </c>
      <c r="T9" t="n">
        <v>3242.5</v>
      </c>
      <c r="U9" t="n">
        <v>3416.4</v>
      </c>
      <c r="V9" t="n">
        <v>3426.2</v>
      </c>
      <c r="W9" t="n">
        <v>2976.4</v>
      </c>
      <c r="X9" t="n">
        <v>3031.4</v>
      </c>
      <c r="Y9" t="n">
        <v>3383.3</v>
      </c>
      <c r="Z9" t="n">
        <v>3362.5</v>
      </c>
      <c r="AA9" t="n">
        <v>3618</v>
      </c>
      <c r="AB9" t="n">
        <v>2965.5</v>
      </c>
      <c r="AC9" t="n">
        <v>3234.3</v>
      </c>
      <c r="AD9" t="n">
        <v>3110.9</v>
      </c>
      <c r="AE9" t="n">
        <v>3182.9</v>
      </c>
      <c r="AF9" t="n">
        <v>3614.5</v>
      </c>
    </row>
    <row r="10">
      <c r="A10" t="s">
        <v>23</v>
      </c>
      <c r="B10" t="s">
        <v>290</v>
      </c>
      <c r="C10" t="s">
        <v>246</v>
      </c>
      <c r="D10" t="s">
        <v>291</v>
      </c>
      <c r="E10" t="s">
        <v>247</v>
      </c>
      <c r="F10" t="n">
        <v>2693.5</v>
      </c>
      <c r="G10" t="n">
        <v>3110.9</v>
      </c>
      <c r="H10" t="n">
        <v>3808.3</v>
      </c>
      <c r="I10" t="n">
        <v>4477.1</v>
      </c>
      <c r="J10" t="n">
        <v>4618.1</v>
      </c>
      <c r="K10" t="n">
        <v>4754.4</v>
      </c>
      <c r="L10" t="n">
        <v>4839.2</v>
      </c>
      <c r="M10" t="n">
        <v>5130.7</v>
      </c>
      <c r="N10" t="n">
        <v>5720.9</v>
      </c>
      <c r="O10" t="n">
        <v>5014.7</v>
      </c>
      <c r="P10" t="n">
        <v>5073.5</v>
      </c>
      <c r="Q10" t="n">
        <v>5793.6</v>
      </c>
      <c r="R10" t="n">
        <v>5825.3</v>
      </c>
      <c r="S10" t="n">
        <v>5393.8</v>
      </c>
      <c r="T10" t="n">
        <v>5461.3</v>
      </c>
      <c r="U10" t="n">
        <v>5755.3</v>
      </c>
      <c r="V10" t="n">
        <v>5718.9</v>
      </c>
      <c r="W10" t="n">
        <v>5325.5</v>
      </c>
      <c r="X10" t="n">
        <v>5324.9</v>
      </c>
      <c r="Y10" t="n">
        <v>5947.2</v>
      </c>
      <c r="Z10" t="n">
        <v>6058.4</v>
      </c>
      <c r="AA10" t="n">
        <v>6666.7</v>
      </c>
      <c r="AB10" t="n">
        <v>6274.7</v>
      </c>
      <c r="AC10" t="n">
        <v>6210.7</v>
      </c>
      <c r="AD10" t="n">
        <v>5804.8</v>
      </c>
      <c r="AE10" t="n">
        <v>6398.5</v>
      </c>
      <c r="AF10" t="n">
        <v>6936.9</v>
      </c>
    </row>
    <row r="11">
      <c r="A11" t="s">
        <v>23</v>
      </c>
      <c r="B11" t="s">
        <v>292</v>
      </c>
      <c r="C11" t="s">
        <v>246</v>
      </c>
      <c r="D11" t="s">
        <v>293</v>
      </c>
      <c r="E11" t="s">
        <v>247</v>
      </c>
      <c r="F11" t="n">
        <v>1208.2</v>
      </c>
      <c r="G11" t="n">
        <v>1312.4</v>
      </c>
      <c r="H11" t="n">
        <v>1461.5</v>
      </c>
      <c r="I11" t="n">
        <v>1925.7</v>
      </c>
      <c r="J11" t="n">
        <v>1857.3</v>
      </c>
      <c r="K11" t="n">
        <v>1813.8</v>
      </c>
      <c r="L11" t="n">
        <v>1777.4</v>
      </c>
      <c r="M11" t="n">
        <v>2028.1</v>
      </c>
      <c r="N11" t="n">
        <v>2119.2</v>
      </c>
      <c r="O11" t="n">
        <v>1940.5</v>
      </c>
      <c r="P11" t="n">
        <v>2043.2</v>
      </c>
      <c r="Q11" t="n">
        <v>2125.4</v>
      </c>
      <c r="R11" t="n">
        <v>2152.1</v>
      </c>
      <c r="S11" t="n">
        <v>2002.8</v>
      </c>
      <c r="T11" t="n">
        <v>2218.8</v>
      </c>
      <c r="U11" t="n">
        <v>2338.9</v>
      </c>
      <c r="V11" t="n">
        <v>2292.7</v>
      </c>
      <c r="W11" t="n">
        <v>2349.1</v>
      </c>
      <c r="X11" t="n">
        <v>2293.5</v>
      </c>
      <c r="Y11" t="n">
        <v>2563.9</v>
      </c>
      <c r="Z11" t="n">
        <v>2695.9</v>
      </c>
      <c r="AA11" t="n">
        <v>3048.7</v>
      </c>
      <c r="AB11" t="n">
        <v>3309.2</v>
      </c>
      <c r="AC11" t="n">
        <v>2976.4</v>
      </c>
      <c r="AD11" t="n">
        <v>2693.9</v>
      </c>
      <c r="AE11" t="n">
        <v>3215.6</v>
      </c>
      <c r="AF11" t="n">
        <v>3322.4</v>
      </c>
    </row>
    <row r="12">
      <c r="A12" t="s">
        <v>23</v>
      </c>
      <c r="B12" t="s">
        <v>294</v>
      </c>
      <c r="C12" t="s">
        <v>246</v>
      </c>
      <c r="D12" t="s">
        <v>295</v>
      </c>
      <c r="E12" t="s">
        <v>247</v>
      </c>
      <c r="F12" t="n">
        <v>3326.3</v>
      </c>
      <c r="G12" t="n">
        <v>2732.1</v>
      </c>
      <c r="H12" t="n">
        <v>3123.1</v>
      </c>
      <c r="I12" t="n">
        <v>2850.7</v>
      </c>
      <c r="J12" t="n">
        <v>3652.5</v>
      </c>
      <c r="K12" t="n">
        <v>4129.8</v>
      </c>
      <c r="L12" t="n">
        <v>4119.1</v>
      </c>
      <c r="M12" t="n">
        <v>4386.8</v>
      </c>
      <c r="N12" t="n">
        <v>4798.1</v>
      </c>
      <c r="O12" t="n">
        <v>4947.6</v>
      </c>
      <c r="P12" t="n">
        <v>4478.9</v>
      </c>
      <c r="Q12" t="n">
        <v>5352.2</v>
      </c>
      <c r="R12" t="n">
        <v>5157.9</v>
      </c>
      <c r="S12" t="n">
        <v>5689.3</v>
      </c>
      <c r="T12" t="n">
        <v>3940.4</v>
      </c>
      <c r="U12" t="n">
        <v>4835.7</v>
      </c>
      <c r="V12" t="n">
        <v>4865.4</v>
      </c>
      <c r="W12" t="n">
        <v>4531.8</v>
      </c>
      <c r="X12" t="n">
        <v>4147.4</v>
      </c>
      <c r="Y12" t="n">
        <v>4190.8</v>
      </c>
      <c r="Z12" t="n">
        <v>4715.3</v>
      </c>
      <c r="AA12" t="n">
        <v>5162.8</v>
      </c>
      <c r="AB12" t="n">
        <v>5825.9</v>
      </c>
      <c r="AC12" t="n">
        <v>6216.1</v>
      </c>
      <c r="AD12" t="n">
        <v>5948.4</v>
      </c>
      <c r="AE12" t="n">
        <v>5127</v>
      </c>
      <c r="AF12" t="n">
        <v>6136</v>
      </c>
    </row>
    <row r="13">
      <c r="A13" t="s">
        <v>23</v>
      </c>
      <c r="B13" t="s">
        <v>296</v>
      </c>
      <c r="C13" t="s">
        <v>246</v>
      </c>
      <c r="D13" t="s">
        <v>297</v>
      </c>
      <c r="E13" t="s">
        <v>247</v>
      </c>
      <c r="F13" t="n">
        <v>4738.9</v>
      </c>
      <c r="G13" t="n">
        <v>5032.4</v>
      </c>
      <c r="H13" t="n">
        <v>4671.6</v>
      </c>
      <c r="I13" t="n">
        <v>5553.8</v>
      </c>
      <c r="J13" t="n">
        <v>5400.8</v>
      </c>
      <c r="K13" t="n">
        <v>6097</v>
      </c>
      <c r="L13" t="n">
        <v>6640.7</v>
      </c>
      <c r="M13" t="n">
        <v>7377.5</v>
      </c>
      <c r="N13" t="n">
        <v>6836.8</v>
      </c>
      <c r="O13" t="n">
        <v>7012.8</v>
      </c>
      <c r="P13" t="n">
        <v>6424</v>
      </c>
      <c r="Q13" t="n">
        <v>6676.3</v>
      </c>
      <c r="R13" t="n">
        <v>8010.8</v>
      </c>
      <c r="S13" t="n">
        <v>7837.3</v>
      </c>
      <c r="T13" t="n">
        <v>6585.1</v>
      </c>
      <c r="U13" t="n">
        <v>7158.5</v>
      </c>
      <c r="V13" t="n">
        <v>7245.7</v>
      </c>
      <c r="W13" t="n">
        <v>7039.3</v>
      </c>
      <c r="X13" t="n">
        <v>5845.8</v>
      </c>
      <c r="Y13" t="n">
        <v>6520.3</v>
      </c>
      <c r="Z13" t="n">
        <v>7226.5</v>
      </c>
      <c r="AA13" t="n">
        <v>6985.6</v>
      </c>
      <c r="AB13" t="n">
        <v>7566.7</v>
      </c>
      <c r="AC13" t="n">
        <v>8573.7</v>
      </c>
      <c r="AD13" t="n">
        <v>9240.5</v>
      </c>
      <c r="AE13" t="n">
        <v>7583.1</v>
      </c>
      <c r="AF13" t="n">
        <v>9612.5</v>
      </c>
    </row>
    <row r="14">
      <c r="A14" t="s">
        <v>23</v>
      </c>
      <c r="B14" t="s">
        <v>298</v>
      </c>
      <c r="C14" t="s">
        <v>246</v>
      </c>
      <c r="D14" t="s">
        <v>299</v>
      </c>
      <c r="E14" t="s">
        <v>247</v>
      </c>
      <c r="F14" t="n">
        <v>2395.7</v>
      </c>
      <c r="G14" t="n">
        <v>2013.3</v>
      </c>
      <c r="H14" t="n">
        <v>1609.3</v>
      </c>
      <c r="I14" t="n">
        <v>2596.9</v>
      </c>
      <c r="J14" t="n">
        <v>2307.5</v>
      </c>
      <c r="K14" t="n">
        <v>2218</v>
      </c>
      <c r="L14" t="n">
        <v>2909.4</v>
      </c>
      <c r="M14" t="n">
        <v>2181.1</v>
      </c>
      <c r="N14" t="n">
        <v>2406.2</v>
      </c>
      <c r="O14" t="n">
        <v>2557.4</v>
      </c>
      <c r="P14" t="n">
        <v>2747.1</v>
      </c>
      <c r="Q14" t="n">
        <v>2904.7</v>
      </c>
      <c r="R14" t="n">
        <v>3059</v>
      </c>
      <c r="S14" t="n">
        <v>2589.2</v>
      </c>
      <c r="T14" t="n">
        <v>2985</v>
      </c>
      <c r="U14" t="n">
        <v>3035.7</v>
      </c>
      <c r="V14" t="n">
        <v>3056.7</v>
      </c>
      <c r="W14" t="n">
        <v>2879.6</v>
      </c>
      <c r="X14" t="n">
        <v>2175.6</v>
      </c>
      <c r="Y14" t="n">
        <v>2673.7</v>
      </c>
      <c r="Z14" t="n">
        <v>2810.8</v>
      </c>
      <c r="AA14" t="n">
        <v>2830.8</v>
      </c>
      <c r="AB14" t="n">
        <v>3389.1</v>
      </c>
      <c r="AC14" t="n">
        <v>3215.4</v>
      </c>
      <c r="AD14" t="n">
        <v>3241</v>
      </c>
      <c r="AE14" t="n">
        <v>3839.9</v>
      </c>
      <c r="AF14" t="n">
        <v>3880.7</v>
      </c>
    </row>
    <row r="15">
      <c r="A15" t="s">
        <v>23</v>
      </c>
      <c r="B15" t="s">
        <v>300</v>
      </c>
      <c r="C15" t="s">
        <v>246</v>
      </c>
      <c r="D15" t="s">
        <v>301</v>
      </c>
      <c r="E15" t="s">
        <v>247</v>
      </c>
      <c r="F15" t="n">
        <v>3316.3</v>
      </c>
      <c r="G15" t="n">
        <v>3901.7</v>
      </c>
      <c r="H15" t="n">
        <v>3326.3</v>
      </c>
      <c r="I15" t="n">
        <v>4316.5</v>
      </c>
      <c r="J15" t="n">
        <v>4215.2</v>
      </c>
      <c r="K15" t="n">
        <v>4351.7</v>
      </c>
      <c r="L15" t="n">
        <v>5269.1</v>
      </c>
      <c r="M15" t="n">
        <v>4426.9</v>
      </c>
      <c r="N15" t="n">
        <v>4578.2</v>
      </c>
      <c r="O15" t="n">
        <v>4939.3</v>
      </c>
      <c r="P15" t="n">
        <v>5088.2</v>
      </c>
      <c r="Q15" t="n">
        <v>5393.9</v>
      </c>
      <c r="R15" t="n">
        <v>5778.5</v>
      </c>
      <c r="S15" t="n">
        <v>5187.1</v>
      </c>
      <c r="T15" t="n">
        <v>5236.6</v>
      </c>
      <c r="U15" t="n">
        <v>5565.7</v>
      </c>
      <c r="V15" t="n">
        <v>5689.9</v>
      </c>
      <c r="W15" t="n">
        <v>4968.9</v>
      </c>
      <c r="X15" t="n">
        <v>4005.4</v>
      </c>
      <c r="Y15" t="n">
        <v>4557.3</v>
      </c>
      <c r="Z15" t="n">
        <v>4839.2</v>
      </c>
      <c r="AA15" t="n">
        <v>5129</v>
      </c>
      <c r="AB15" t="n">
        <v>6052.8</v>
      </c>
      <c r="AC15" t="n">
        <v>5903.8</v>
      </c>
      <c r="AD15" t="n">
        <v>5991.4</v>
      </c>
      <c r="AE15" t="n">
        <v>6224.9</v>
      </c>
      <c r="AF15" t="n">
        <v>6533.9</v>
      </c>
    </row>
    <row r="16">
      <c r="A16" t="s">
        <v>23</v>
      </c>
      <c r="B16" t="s">
        <v>302</v>
      </c>
      <c r="C16" t="s">
        <v>246</v>
      </c>
      <c r="D16" t="s">
        <v>303</v>
      </c>
      <c r="E16" t="s">
        <v>247</v>
      </c>
      <c r="F16" t="n">
        <v>920.6</v>
      </c>
      <c r="G16" t="n">
        <v>1888.4</v>
      </c>
      <c r="H16" t="n">
        <v>1717</v>
      </c>
      <c r="I16" t="n">
        <v>1719.6</v>
      </c>
      <c r="J16" t="n">
        <v>1907.7</v>
      </c>
      <c r="K16" t="n">
        <v>2133.7</v>
      </c>
      <c r="L16" t="n">
        <v>2359.7</v>
      </c>
      <c r="M16" t="n">
        <v>2245.8</v>
      </c>
      <c r="N16" t="n">
        <v>2172</v>
      </c>
      <c r="O16" t="n">
        <v>2381.9</v>
      </c>
      <c r="P16" t="n">
        <v>2341.1</v>
      </c>
      <c r="Q16" t="n">
        <v>2489.2</v>
      </c>
      <c r="R16" t="n">
        <v>2719.5</v>
      </c>
      <c r="S16" t="n">
        <v>2597.9</v>
      </c>
      <c r="T16" t="n">
        <v>2251.6</v>
      </c>
      <c r="U16" t="n">
        <v>2530</v>
      </c>
      <c r="V16" t="n">
        <v>2633.2</v>
      </c>
      <c r="W16" t="n">
        <v>2089.3</v>
      </c>
      <c r="X16" t="n">
        <v>1829.8</v>
      </c>
      <c r="Y16" t="n">
        <v>1883.6</v>
      </c>
      <c r="Z16" t="n">
        <v>2028.4</v>
      </c>
      <c r="AA16" t="n">
        <v>2298.2</v>
      </c>
      <c r="AB16" t="n">
        <v>2663.7</v>
      </c>
      <c r="AC16" t="n">
        <v>2688.4</v>
      </c>
      <c r="AD16" t="n">
        <v>2750.4</v>
      </c>
      <c r="AE16" t="n">
        <v>2385</v>
      </c>
      <c r="AF16" t="n">
        <v>2653.2</v>
      </c>
    </row>
    <row r="17">
      <c r="A17" t="s">
        <v>23</v>
      </c>
      <c r="B17" t="s">
        <v>304</v>
      </c>
      <c r="C17" t="s">
        <v>246</v>
      </c>
      <c r="D17" t="s">
        <v>305</v>
      </c>
      <c r="E17" t="s">
        <v>247</v>
      </c>
      <c r="F17" t="n">
        <v>2796.6</v>
      </c>
      <c r="G17" t="n">
        <v>3136.9</v>
      </c>
      <c r="H17" t="n">
        <v>3577.4</v>
      </c>
      <c r="I17" t="n">
        <v>3164.4</v>
      </c>
      <c r="J17" t="n">
        <v>3888.4</v>
      </c>
      <c r="K17" t="n">
        <v>4370.5</v>
      </c>
      <c r="L17" t="n">
        <v>4206.6</v>
      </c>
      <c r="M17" t="n">
        <v>4662.5</v>
      </c>
      <c r="N17" t="n">
        <v>4156.1</v>
      </c>
      <c r="O17" t="n">
        <v>4443.5</v>
      </c>
      <c r="P17" t="n">
        <v>4739.5</v>
      </c>
      <c r="Q17" t="n">
        <v>4768.9</v>
      </c>
      <c r="R17" t="n">
        <v>5053.9</v>
      </c>
      <c r="S17" t="n">
        <v>5498.5</v>
      </c>
      <c r="T17" t="n">
        <v>4261.6</v>
      </c>
      <c r="U17" t="n">
        <v>4920.7</v>
      </c>
      <c r="V17" t="n">
        <v>5129.3</v>
      </c>
      <c r="W17" t="n">
        <v>4881</v>
      </c>
      <c r="X17" t="n">
        <v>4962.8</v>
      </c>
      <c r="Y17" t="n">
        <v>5387.8</v>
      </c>
      <c r="Z17" t="n">
        <v>5889.7</v>
      </c>
      <c r="AA17" t="n">
        <v>6362.6</v>
      </c>
      <c r="AB17" t="n">
        <v>6939.4</v>
      </c>
      <c r="AC17" t="n">
        <v>8153.1</v>
      </c>
      <c r="AD17" t="n">
        <v>6958.7</v>
      </c>
      <c r="AE17" t="n">
        <v>6707.2</v>
      </c>
      <c r="AF17" t="n">
        <v>7415.7</v>
      </c>
    </row>
    <row r="18">
      <c r="A18" t="s">
        <v>23</v>
      </c>
      <c r="B18" t="s">
        <v>306</v>
      </c>
      <c r="C18" t="s">
        <v>246</v>
      </c>
      <c r="D18" t="s">
        <v>307</v>
      </c>
      <c r="E18" t="s">
        <v>247</v>
      </c>
      <c r="F18" t="n">
        <v>4510.1</v>
      </c>
      <c r="G18" t="n">
        <v>4685.8</v>
      </c>
      <c r="H18" t="n">
        <v>5156.4</v>
      </c>
      <c r="I18" t="n">
        <v>4859.8</v>
      </c>
      <c r="J18" t="n">
        <v>5450.4</v>
      </c>
      <c r="K18" t="n">
        <v>6170.9</v>
      </c>
      <c r="L18" t="n">
        <v>6161.8</v>
      </c>
      <c r="M18" t="n">
        <v>6801.1</v>
      </c>
      <c r="N18" t="n">
        <v>6201.4</v>
      </c>
      <c r="O18" t="n">
        <v>6215.9</v>
      </c>
      <c r="P18" t="n">
        <v>7299.4</v>
      </c>
      <c r="Q18" t="n">
        <v>7705.4</v>
      </c>
      <c r="R18" t="n">
        <v>7155.7</v>
      </c>
      <c r="S18" t="n">
        <v>8362.1</v>
      </c>
      <c r="T18" t="n">
        <v>7268.7</v>
      </c>
      <c r="U18" t="n">
        <v>7327.2</v>
      </c>
      <c r="V18" t="n">
        <v>7839.3</v>
      </c>
      <c r="W18" t="n">
        <v>8649.2</v>
      </c>
      <c r="X18" t="n">
        <v>9443.4</v>
      </c>
      <c r="Y18" t="n">
        <v>9464.2</v>
      </c>
      <c r="Z18" t="n">
        <v>11258</v>
      </c>
      <c r="AA18" t="n">
        <v>12267.7</v>
      </c>
      <c r="AB18" t="n">
        <v>10866.4</v>
      </c>
      <c r="AC18" t="n">
        <v>11304</v>
      </c>
      <c r="AD18" t="n">
        <v>11613.7</v>
      </c>
      <c r="AE18" t="n">
        <v>10997.7</v>
      </c>
      <c r="AF18" t="n">
        <v>13553.9</v>
      </c>
    </row>
    <row r="19">
      <c r="A19" t="s">
        <v>23</v>
      </c>
      <c r="B19" t="s">
        <v>308</v>
      </c>
      <c r="C19" t="s">
        <v>246</v>
      </c>
      <c r="D19" t="s">
        <v>309</v>
      </c>
      <c r="E19" t="s">
        <v>247</v>
      </c>
      <c r="F19" t="n">
        <v>1942.9</v>
      </c>
      <c r="G19" t="n">
        <v>1777.5</v>
      </c>
      <c r="H19" t="n">
        <v>1973.6</v>
      </c>
      <c r="I19" t="n">
        <v>2168.8</v>
      </c>
      <c r="J19" t="n">
        <v>2046.2</v>
      </c>
      <c r="K19" t="n">
        <v>2561.5</v>
      </c>
      <c r="L19" t="n">
        <v>2573.9</v>
      </c>
      <c r="M19" t="n">
        <v>2912.7</v>
      </c>
      <c r="N19" t="n">
        <v>2715.1</v>
      </c>
      <c r="O19" t="n">
        <v>2668.4</v>
      </c>
      <c r="P19" t="n">
        <v>2612.7</v>
      </c>
      <c r="Q19" t="n">
        <v>2911.2</v>
      </c>
      <c r="R19" t="n">
        <v>3083.3</v>
      </c>
      <c r="S19" t="n">
        <v>2762.4</v>
      </c>
      <c r="T19" t="n">
        <v>2701.9</v>
      </c>
      <c r="U19" t="n">
        <v>2692.2</v>
      </c>
      <c r="V19" t="n">
        <v>2735.3</v>
      </c>
      <c r="W19" t="n">
        <v>2141.2</v>
      </c>
      <c r="X19" t="n">
        <v>2039.8</v>
      </c>
      <c r="Y19" t="n">
        <v>2168.1</v>
      </c>
      <c r="Z19" t="n">
        <v>2321.3</v>
      </c>
      <c r="AA19" t="n">
        <v>2785.8</v>
      </c>
      <c r="AB19" t="n">
        <v>2907.6</v>
      </c>
      <c r="AC19" t="n">
        <v>3087.9</v>
      </c>
      <c r="AD19" t="n">
        <v>3364.6</v>
      </c>
      <c r="AE19" t="n">
        <v>3159.6</v>
      </c>
      <c r="AF19" t="n">
        <v>3508.2</v>
      </c>
    </row>
    <row r="20">
      <c r="A20" t="s">
        <v>23</v>
      </c>
      <c r="B20" t="s">
        <v>310</v>
      </c>
      <c r="C20" t="s">
        <v>246</v>
      </c>
      <c r="D20" t="s">
        <v>311</v>
      </c>
      <c r="E20" t="s">
        <v>247</v>
      </c>
      <c r="F20" t="n">
        <v>10680.1</v>
      </c>
      <c r="G20" t="n">
        <v>11875.5</v>
      </c>
      <c r="H20" t="n">
        <v>12090.7</v>
      </c>
      <c r="I20" t="n">
        <v>13638.4</v>
      </c>
      <c r="J20" t="n">
        <v>13778.6</v>
      </c>
      <c r="K20" t="n">
        <v>14443.9</v>
      </c>
      <c r="L20" t="n">
        <v>15027</v>
      </c>
      <c r="M20" t="n">
        <v>16654</v>
      </c>
      <c r="N20" t="n">
        <v>19215</v>
      </c>
      <c r="O20" t="n">
        <v>17355.6</v>
      </c>
      <c r="P20" t="n">
        <v>17069.3</v>
      </c>
      <c r="Q20" t="n">
        <v>17702</v>
      </c>
      <c r="R20" t="n">
        <v>19912.4</v>
      </c>
      <c r="S20" t="n">
        <v>21930.4</v>
      </c>
      <c r="T20" t="n">
        <v>17131.1</v>
      </c>
      <c r="U20" t="n">
        <v>13016.6</v>
      </c>
      <c r="V20" t="n">
        <v>17033.9</v>
      </c>
      <c r="W20" t="n">
        <v>13206.1</v>
      </c>
      <c r="X20" t="n">
        <v>15026.2</v>
      </c>
      <c r="Y20" t="n">
        <v>12150.2</v>
      </c>
      <c r="Z20" t="n">
        <v>9519.5</v>
      </c>
      <c r="AA20" t="n">
        <v>11661.2</v>
      </c>
      <c r="AB20" t="n">
        <v>9765.9</v>
      </c>
      <c r="AC20" t="n">
        <v>10601.3</v>
      </c>
      <c r="AD20" t="n">
        <v>12009.9</v>
      </c>
      <c r="AE20" t="n">
        <v>11227.6</v>
      </c>
      <c r="AF20" t="n">
        <v>13573.4</v>
      </c>
    </row>
    <row r="21">
      <c r="A21" t="s">
        <v>23</v>
      </c>
      <c r="B21" t="s">
        <v>312</v>
      </c>
      <c r="C21" t="s">
        <v>246</v>
      </c>
      <c r="D21" t="s">
        <v>313</v>
      </c>
      <c r="E21" t="s">
        <v>247</v>
      </c>
      <c r="F21" t="n">
        <v>13038.7</v>
      </c>
      <c r="G21" t="n">
        <v>14264.4</v>
      </c>
      <c r="H21" t="n">
        <v>14795.5</v>
      </c>
      <c r="I21" t="n">
        <v>16663.6</v>
      </c>
      <c r="J21" t="n">
        <v>16976.8</v>
      </c>
      <c r="K21" t="n">
        <v>17758.6</v>
      </c>
      <c r="L21" t="n">
        <v>18779</v>
      </c>
      <c r="M21" t="n">
        <v>20511.2</v>
      </c>
      <c r="N21" t="n">
        <v>23431.2</v>
      </c>
      <c r="O21" t="n">
        <v>21685.5</v>
      </c>
      <c r="P21" t="n">
        <v>20943.2</v>
      </c>
      <c r="Q21" t="n">
        <v>22376.3</v>
      </c>
      <c r="R21" t="n">
        <v>24468.1</v>
      </c>
      <c r="S21" t="n">
        <v>26098.4</v>
      </c>
      <c r="T21" t="n">
        <v>21057.8</v>
      </c>
      <c r="U21" t="n">
        <v>17310.9</v>
      </c>
      <c r="V21" t="n">
        <v>21476.5</v>
      </c>
      <c r="W21" t="n">
        <v>18009.4</v>
      </c>
      <c r="X21" t="n">
        <v>18812.8</v>
      </c>
      <c r="Y21" t="n">
        <v>15840.1</v>
      </c>
      <c r="Z21" t="n">
        <v>13997.1</v>
      </c>
      <c r="AA21" t="n">
        <v>16450.3</v>
      </c>
      <c r="AB21" t="n">
        <v>15335.1</v>
      </c>
      <c r="AC21" t="n">
        <v>16240.4</v>
      </c>
      <c r="AD21" t="n">
        <v>18081.7</v>
      </c>
      <c r="AE21" t="n">
        <v>16675.9</v>
      </c>
      <c r="AF21" t="n">
        <v>20739.4</v>
      </c>
    </row>
    <row r="22">
      <c r="A22" t="s">
        <v>23</v>
      </c>
      <c r="B22" t="s">
        <v>314</v>
      </c>
      <c r="C22" t="s">
        <v>246</v>
      </c>
      <c r="D22" t="s">
        <v>315</v>
      </c>
      <c r="E22" t="s">
        <v>247</v>
      </c>
      <c r="F22" t="n">
        <v>2358.6</v>
      </c>
      <c r="G22" t="n">
        <v>2388.9</v>
      </c>
      <c r="H22" t="n">
        <v>2704.8</v>
      </c>
      <c r="I22" t="n">
        <v>3025.2</v>
      </c>
      <c r="J22" t="n">
        <v>3198.2</v>
      </c>
      <c r="K22" t="n">
        <v>3314.7</v>
      </c>
      <c r="L22" t="n">
        <v>3752</v>
      </c>
      <c r="M22" t="n">
        <v>3857.2</v>
      </c>
      <c r="N22" t="n">
        <v>4216.2</v>
      </c>
      <c r="O22" t="n">
        <v>4329.9</v>
      </c>
      <c r="P22" t="n">
        <v>3873.9</v>
      </c>
      <c r="Q22" t="n">
        <v>4674.3</v>
      </c>
      <c r="R22" t="n">
        <v>4555.7</v>
      </c>
      <c r="S22" t="n">
        <v>4168</v>
      </c>
      <c r="T22" t="n">
        <v>3926.7</v>
      </c>
      <c r="U22" t="n">
        <v>4294.3</v>
      </c>
      <c r="V22" t="n">
        <v>4442.6</v>
      </c>
      <c r="W22" t="n">
        <v>4803.3</v>
      </c>
      <c r="X22" t="n">
        <v>3786.6</v>
      </c>
      <c r="Y22" t="n">
        <v>3689.9</v>
      </c>
      <c r="Z22" t="n">
        <v>4477.6</v>
      </c>
      <c r="AA22" t="n">
        <v>4789.1</v>
      </c>
      <c r="AB22" t="n">
        <v>5569.2</v>
      </c>
      <c r="AC22" t="n">
        <v>5639.1</v>
      </c>
      <c r="AD22" t="n">
        <v>6071.8</v>
      </c>
      <c r="AE22" t="n">
        <v>5448.3</v>
      </c>
      <c r="AF22" t="n">
        <v>7166</v>
      </c>
    </row>
    <row r="23">
      <c r="A23" t="s">
        <v>23</v>
      </c>
      <c r="B23" t="s">
        <v>316</v>
      </c>
      <c r="C23" t="s">
        <v>246</v>
      </c>
      <c r="D23" t="s">
        <v>317</v>
      </c>
      <c r="E23" t="s">
        <v>247</v>
      </c>
      <c r="F23" t="n">
        <v>5140</v>
      </c>
      <c r="G23" t="n">
        <v>4782.3</v>
      </c>
      <c r="H23" t="n">
        <v>5231.2</v>
      </c>
      <c r="I23" t="n">
        <v>7041</v>
      </c>
      <c r="J23" t="n">
        <v>5578.7</v>
      </c>
      <c r="K23" t="n">
        <v>6870.7</v>
      </c>
      <c r="L23" t="n">
        <v>7824.5</v>
      </c>
      <c r="M23" t="n">
        <v>8063.3</v>
      </c>
      <c r="N23" t="n">
        <v>8749.5</v>
      </c>
      <c r="O23" t="n">
        <v>7550.4</v>
      </c>
      <c r="P23" t="n">
        <v>8167.1</v>
      </c>
      <c r="Q23" t="n">
        <v>9067.8</v>
      </c>
      <c r="R23" t="n">
        <v>9697.7</v>
      </c>
      <c r="S23" t="n">
        <v>9011</v>
      </c>
      <c r="T23" t="n">
        <v>6718.5</v>
      </c>
      <c r="U23" t="n">
        <v>8274.5</v>
      </c>
      <c r="V23" t="n">
        <v>8318.5</v>
      </c>
      <c r="W23" t="n">
        <v>5955.9</v>
      </c>
      <c r="X23" t="n">
        <v>5132.5</v>
      </c>
      <c r="Y23" t="n">
        <v>5337.2</v>
      </c>
      <c r="Z23" t="n">
        <v>5658.6</v>
      </c>
      <c r="AA23" t="n">
        <v>6291.5</v>
      </c>
      <c r="AB23" t="n">
        <v>8188.4</v>
      </c>
      <c r="AC23" t="n">
        <v>6800.8</v>
      </c>
      <c r="AD23" t="n">
        <v>7315.9</v>
      </c>
      <c r="AE23" t="n">
        <v>6954.8</v>
      </c>
      <c r="AF23" t="n">
        <v>8498.8</v>
      </c>
    </row>
    <row r="24">
      <c r="A24" t="s">
        <v>23</v>
      </c>
      <c r="B24" t="s">
        <v>318</v>
      </c>
      <c r="C24" t="s">
        <v>246</v>
      </c>
      <c r="D24" t="s">
        <v>319</v>
      </c>
      <c r="E24" t="s">
        <v>247</v>
      </c>
      <c r="F24" t="n">
        <v>10805.3</v>
      </c>
      <c r="G24" t="n">
        <v>11928.6</v>
      </c>
      <c r="H24" t="n">
        <v>13428.9</v>
      </c>
      <c r="I24" t="n">
        <v>13308.3</v>
      </c>
      <c r="J24" t="n">
        <v>15322.7</v>
      </c>
      <c r="K24" t="n">
        <v>16664.7</v>
      </c>
      <c r="L24" t="n">
        <v>16901.1</v>
      </c>
      <c r="M24" t="n">
        <v>18681</v>
      </c>
      <c r="N24" t="n">
        <v>17310.5</v>
      </c>
      <c r="O24" t="n">
        <v>18803.6</v>
      </c>
      <c r="P24" t="n">
        <v>18997.9</v>
      </c>
      <c r="Q24" t="n">
        <v>20397.2</v>
      </c>
      <c r="R24" t="n">
        <v>21197</v>
      </c>
      <c r="S24" t="n">
        <v>18391</v>
      </c>
      <c r="T24" t="n">
        <v>16658.6</v>
      </c>
      <c r="U24" t="n">
        <v>17894.5</v>
      </c>
      <c r="V24" t="n">
        <v>18921.4</v>
      </c>
      <c r="W24" t="n">
        <v>15028.3</v>
      </c>
      <c r="X24" t="n">
        <v>15134.9</v>
      </c>
      <c r="Y24" t="n">
        <v>14261.6</v>
      </c>
      <c r="Z24" t="n">
        <v>15665.1</v>
      </c>
      <c r="AA24" t="n">
        <v>18547.1</v>
      </c>
      <c r="AB24" t="n">
        <v>19860.8</v>
      </c>
      <c r="AC24" t="n">
        <v>20874.2</v>
      </c>
      <c r="AD24" t="n">
        <v>20051.6</v>
      </c>
      <c r="AE24" t="n">
        <v>17317.7</v>
      </c>
      <c r="AF24" t="n">
        <v>19328.5</v>
      </c>
    </row>
    <row r="25">
      <c r="A25" t="s">
        <v>23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23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23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23</v>
      </c>
      <c r="B28" t="s">
        <v>326</v>
      </c>
      <c r="C28" t="s">
        <v>246</v>
      </c>
      <c r="D28" t="s">
        <v>327</v>
      </c>
      <c r="E28" t="s">
        <v>247</v>
      </c>
      <c r="F28" t="n">
        <v>14065.8</v>
      </c>
      <c r="G28" t="n">
        <v>14165.4</v>
      </c>
      <c r="H28" t="n">
        <v>15666.7</v>
      </c>
      <c r="I28" t="n">
        <v>15826.4</v>
      </c>
      <c r="J28" t="n">
        <v>17593.8</v>
      </c>
      <c r="K28" t="n">
        <v>19353.3</v>
      </c>
      <c r="L28" t="n">
        <v>20100.8</v>
      </c>
      <c r="M28" t="n">
        <v>23303.1</v>
      </c>
      <c r="N28" t="n">
        <v>21945.6</v>
      </c>
      <c r="O28" t="n">
        <v>25096.4</v>
      </c>
      <c r="P28" t="n">
        <v>26949</v>
      </c>
      <c r="Q28" t="n">
        <v>28042.6</v>
      </c>
      <c r="R28" t="n">
        <v>28112.2</v>
      </c>
      <c r="S28" t="n">
        <v>27904</v>
      </c>
      <c r="T28" t="n">
        <v>26207.7</v>
      </c>
      <c r="U28" t="n">
        <v>26776.2</v>
      </c>
      <c r="V28" t="n">
        <v>27342.4</v>
      </c>
      <c r="W28" t="n">
        <v>22840.8</v>
      </c>
      <c r="X28" t="n">
        <v>19123.1</v>
      </c>
      <c r="Y28" t="n">
        <v>19185.3</v>
      </c>
      <c r="Z28" t="n">
        <v>22564.4</v>
      </c>
      <c r="AA28" t="n">
        <v>22193.5</v>
      </c>
      <c r="AB28" t="n">
        <v>19622.9</v>
      </c>
      <c r="AC28" t="n">
        <v>22327.4</v>
      </c>
      <c r="AD28" t="n">
        <v>23380</v>
      </c>
      <c r="AE28" t="n">
        <v>21970.6</v>
      </c>
      <c r="AF28" t="n">
        <v>28493.6</v>
      </c>
    </row>
    <row r="29">
      <c r="A29" t="s">
        <v>23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23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23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23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23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23</v>
      </c>
      <c r="B34" t="s">
        <v>338</v>
      </c>
      <c r="C34" t="s">
        <v>246</v>
      </c>
      <c r="D34" t="s">
        <v>339</v>
      </c>
      <c r="E34" t="s">
        <v>247</v>
      </c>
      <c r="F34" t="n">
        <v>5651.4</v>
      </c>
      <c r="G34" t="n">
        <v>6124.8</v>
      </c>
      <c r="H34" t="n">
        <v>4812.8</v>
      </c>
      <c r="I34" t="n">
        <v>6091</v>
      </c>
      <c r="J34" t="n">
        <v>5942.8</v>
      </c>
      <c r="K34" t="n">
        <v>7808.9</v>
      </c>
      <c r="L34" t="n">
        <v>8679.4</v>
      </c>
      <c r="M34" t="n">
        <v>7525</v>
      </c>
      <c r="N34" t="n">
        <v>8006.1</v>
      </c>
      <c r="O34" t="n">
        <v>8422.6</v>
      </c>
      <c r="P34" t="n">
        <v>8335.2</v>
      </c>
      <c r="Q34" t="n">
        <v>8995.7</v>
      </c>
      <c r="R34" t="n">
        <v>9313.8</v>
      </c>
      <c r="S34" t="n">
        <v>9669.7</v>
      </c>
      <c r="T34" t="n">
        <v>7515.5</v>
      </c>
      <c r="U34" t="n">
        <v>8153.7</v>
      </c>
      <c r="V34" t="n">
        <v>8532.5</v>
      </c>
      <c r="W34" t="n">
        <v>6006.1</v>
      </c>
      <c r="X34" t="n">
        <v>4601.3</v>
      </c>
      <c r="Y34" t="n">
        <v>4818.9</v>
      </c>
      <c r="Z34" t="n">
        <v>5612.9</v>
      </c>
      <c r="AA34" t="n">
        <v>4933.5</v>
      </c>
      <c r="AB34" t="n">
        <v>6192.7</v>
      </c>
      <c r="AC34" t="n">
        <v>5587.3</v>
      </c>
      <c r="AD34" t="n">
        <v>5403.5</v>
      </c>
      <c r="AE34" t="n">
        <v>4554.3</v>
      </c>
      <c r="AF34" t="n">
        <v>6287.7</v>
      </c>
    </row>
    <row r="35">
      <c r="A35" t="s">
        <v>23</v>
      </c>
      <c r="B35" t="s">
        <v>340</v>
      </c>
      <c r="C35" t="s">
        <v>246</v>
      </c>
      <c r="D35" t="s">
        <v>341</v>
      </c>
      <c r="E35" t="s">
        <v>247</v>
      </c>
      <c r="F35" t="n">
        <v>8641.3</v>
      </c>
      <c r="G35" t="n">
        <v>9974.9</v>
      </c>
      <c r="H35" t="n">
        <v>11131</v>
      </c>
      <c r="I35" t="n">
        <v>10749.6</v>
      </c>
      <c r="J35" t="n">
        <v>11751.6</v>
      </c>
      <c r="K35" t="n">
        <v>13208.6</v>
      </c>
      <c r="L35" t="n">
        <v>12768.2</v>
      </c>
      <c r="M35" t="n">
        <v>13685.4</v>
      </c>
      <c r="N35" t="n">
        <v>13538.1</v>
      </c>
      <c r="O35" t="n">
        <v>13397.3</v>
      </c>
      <c r="P35" t="n">
        <v>15053.6</v>
      </c>
      <c r="Q35" t="n">
        <v>13629</v>
      </c>
      <c r="R35" t="n">
        <v>14896.3</v>
      </c>
      <c r="S35" t="n">
        <v>14199.1</v>
      </c>
      <c r="T35" t="n">
        <v>12721.3</v>
      </c>
      <c r="U35" t="n">
        <v>14559.4</v>
      </c>
      <c r="V35" t="n">
        <v>14647.5</v>
      </c>
      <c r="W35" t="n">
        <v>16156.4</v>
      </c>
      <c r="X35" t="n">
        <v>15797</v>
      </c>
      <c r="Y35" t="n">
        <v>16390.3</v>
      </c>
      <c r="Z35" t="n">
        <v>18860.5</v>
      </c>
      <c r="AA35" t="n">
        <v>18704.8</v>
      </c>
      <c r="AB35" t="n">
        <v>20094</v>
      </c>
      <c r="AC35" t="n">
        <v>19396.3</v>
      </c>
      <c r="AD35" t="n">
        <v>19144.7</v>
      </c>
      <c r="AE35" t="n">
        <v>20270.5</v>
      </c>
      <c r="AF35" t="n">
        <v>19106.8</v>
      </c>
    </row>
    <row r="36">
      <c r="A36" t="s">
        <v>23</v>
      </c>
      <c r="B36" t="s">
        <v>342</v>
      </c>
      <c r="C36" t="s">
        <v>246</v>
      </c>
      <c r="D36" t="s">
        <v>343</v>
      </c>
      <c r="E36" t="s">
        <v>247</v>
      </c>
      <c r="F36" t="n">
        <v>1859.7</v>
      </c>
      <c r="G36" t="n">
        <v>1978.2</v>
      </c>
      <c r="H36" t="n">
        <v>2390.7</v>
      </c>
      <c r="I36" t="n">
        <v>2374.5</v>
      </c>
      <c r="J36" t="n">
        <v>2683.6</v>
      </c>
      <c r="K36" t="n">
        <v>2785.9</v>
      </c>
      <c r="L36" t="n">
        <v>2601.4</v>
      </c>
      <c r="M36" t="n">
        <v>3384.6</v>
      </c>
      <c r="N36" t="n">
        <v>2862.3</v>
      </c>
      <c r="O36" t="n">
        <v>2994.7</v>
      </c>
      <c r="P36" t="n">
        <v>3224</v>
      </c>
      <c r="Q36" t="n">
        <v>2887.3</v>
      </c>
      <c r="R36" t="n">
        <v>3252.6</v>
      </c>
      <c r="S36" t="n">
        <v>3518.3</v>
      </c>
      <c r="T36" t="n">
        <v>2761.3</v>
      </c>
      <c r="U36" t="n">
        <v>3428.7</v>
      </c>
      <c r="V36" t="n">
        <v>3383.8</v>
      </c>
      <c r="W36" t="n">
        <v>3918.3</v>
      </c>
      <c r="X36" t="n">
        <v>2826.7</v>
      </c>
      <c r="Y36" t="n">
        <v>2457.2</v>
      </c>
      <c r="Z36" t="n">
        <v>2478.2</v>
      </c>
      <c r="AA36" t="n">
        <v>3157.1</v>
      </c>
      <c r="AB36" t="n">
        <v>2918.9</v>
      </c>
      <c r="AC36" t="n">
        <v>3082.7</v>
      </c>
      <c r="AD36" t="n">
        <v>2677.7</v>
      </c>
      <c r="AE36" t="n">
        <v>2627.3</v>
      </c>
      <c r="AF36" t="n">
        <v>2948.4</v>
      </c>
    </row>
    <row r="37">
      <c r="A37" t="s">
        <v>23</v>
      </c>
      <c r="B37" t="s">
        <v>344</v>
      </c>
      <c r="C37" t="s">
        <v>246</v>
      </c>
      <c r="D37" t="s">
        <v>345</v>
      </c>
      <c r="E37" t="s">
        <v>247</v>
      </c>
      <c r="F37" t="n">
        <v>4515.6</v>
      </c>
      <c r="G37" t="n">
        <v>5203.9</v>
      </c>
      <c r="H37" t="n">
        <v>5774.6</v>
      </c>
      <c r="I37" t="n">
        <v>5421.2</v>
      </c>
      <c r="J37" t="n">
        <v>5683.7</v>
      </c>
      <c r="K37" t="n">
        <v>7407.3</v>
      </c>
      <c r="L37" t="n">
        <v>6597.4</v>
      </c>
      <c r="M37" t="n">
        <v>6822.9</v>
      </c>
      <c r="N37" t="n">
        <v>5909.9</v>
      </c>
      <c r="O37" t="n">
        <v>6534.2</v>
      </c>
      <c r="P37" t="n">
        <v>7743.2</v>
      </c>
      <c r="Q37" t="n">
        <v>6824</v>
      </c>
      <c r="R37" t="n">
        <v>7090.4</v>
      </c>
      <c r="S37" t="n">
        <v>7024.8</v>
      </c>
      <c r="T37" t="n">
        <v>6029.9</v>
      </c>
      <c r="U37" t="n">
        <v>7022.5</v>
      </c>
      <c r="V37" t="n">
        <v>7218.5</v>
      </c>
      <c r="W37" t="n">
        <v>8422.6</v>
      </c>
      <c r="X37" t="n">
        <v>8296.5</v>
      </c>
      <c r="Y37" t="n">
        <v>9745.6</v>
      </c>
      <c r="Z37" t="n">
        <v>10890.3</v>
      </c>
      <c r="AA37" t="n">
        <v>10179.4</v>
      </c>
      <c r="AB37" t="n">
        <v>11113.7</v>
      </c>
      <c r="AC37" t="n">
        <v>10587.4</v>
      </c>
      <c r="AD37" t="n">
        <v>10560.4</v>
      </c>
      <c r="AE37" t="n">
        <v>11112</v>
      </c>
      <c r="AF37" t="n">
        <v>9386.4</v>
      </c>
    </row>
    <row r="38">
      <c r="A38" t="s">
        <v>23</v>
      </c>
      <c r="B38" t="s">
        <v>346</v>
      </c>
      <c r="C38" t="s">
        <v>246</v>
      </c>
      <c r="D38" t="s">
        <v>347</v>
      </c>
      <c r="E38" t="s">
        <v>247</v>
      </c>
      <c r="F38" t="n">
        <v>2266</v>
      </c>
      <c r="G38" t="n">
        <v>2792.8</v>
      </c>
      <c r="H38" t="n">
        <v>2965.7</v>
      </c>
      <c r="I38" t="n">
        <v>2953.9</v>
      </c>
      <c r="J38" t="n">
        <v>3384.3</v>
      </c>
      <c r="K38" t="n">
        <v>3015.4</v>
      </c>
      <c r="L38" t="n">
        <v>3569.4</v>
      </c>
      <c r="M38" t="n">
        <v>3477.9</v>
      </c>
      <c r="N38" t="n">
        <v>4765.9</v>
      </c>
      <c r="O38" t="n">
        <v>3868.4</v>
      </c>
      <c r="P38" t="n">
        <v>4086.4</v>
      </c>
      <c r="Q38" t="n">
        <v>3917.7</v>
      </c>
      <c r="R38" t="n">
        <v>4553.3</v>
      </c>
      <c r="S38" t="n">
        <v>3656</v>
      </c>
      <c r="T38" t="n">
        <v>3930.1</v>
      </c>
      <c r="U38" t="n">
        <v>4108.2</v>
      </c>
      <c r="V38" t="n">
        <v>4045.2</v>
      </c>
      <c r="W38" t="n">
        <v>3815.5</v>
      </c>
      <c r="X38" t="n">
        <v>4673.8</v>
      </c>
      <c r="Y38" t="n">
        <v>4187.5</v>
      </c>
      <c r="Z38" t="n">
        <v>5492</v>
      </c>
      <c r="AA38" t="n">
        <v>5368.3</v>
      </c>
      <c r="AB38" t="n">
        <v>6061.4</v>
      </c>
      <c r="AC38" t="n">
        <v>5726.2</v>
      </c>
      <c r="AD38" t="n">
        <v>5906.6</v>
      </c>
      <c r="AE38" t="n">
        <v>6531.2</v>
      </c>
      <c r="AF38" t="n">
        <v>6772</v>
      </c>
    </row>
    <row r="39">
      <c r="A39" t="s">
        <v>23</v>
      </c>
      <c r="B39" t="s">
        <v>348</v>
      </c>
      <c r="C39" t="s">
        <v>246</v>
      </c>
      <c r="D39" t="s">
        <v>349</v>
      </c>
      <c r="E39" t="s">
        <v>247</v>
      </c>
      <c r="F39" t="n">
        <v>4456.5</v>
      </c>
      <c r="G39" t="n">
        <v>4837.6</v>
      </c>
      <c r="H39" t="n">
        <v>4906.9</v>
      </c>
      <c r="I39" t="n">
        <v>5612.8</v>
      </c>
      <c r="J39" t="n">
        <v>4265.4</v>
      </c>
      <c r="K39" t="n">
        <v>4987.1</v>
      </c>
      <c r="L39" t="n">
        <v>5425.9</v>
      </c>
      <c r="M39" t="n">
        <v>6004.3</v>
      </c>
      <c r="N39" t="n">
        <v>4931.1</v>
      </c>
      <c r="O39" t="n">
        <v>5588.8</v>
      </c>
      <c r="P39" t="n">
        <v>4705.3</v>
      </c>
      <c r="Q39" t="n">
        <v>5016.5</v>
      </c>
      <c r="R39" t="n">
        <v>5631</v>
      </c>
      <c r="S39" t="n">
        <v>6175.7</v>
      </c>
      <c r="T39" t="n">
        <v>4750.2</v>
      </c>
      <c r="U39" t="n">
        <v>5860.8</v>
      </c>
      <c r="V39" t="n">
        <v>4874.1</v>
      </c>
      <c r="W39" t="n">
        <v>4164.3</v>
      </c>
      <c r="X39" t="n">
        <v>4163.6</v>
      </c>
      <c r="Y39" t="n">
        <v>4497.9</v>
      </c>
      <c r="Z39" t="n">
        <v>5117.5</v>
      </c>
      <c r="AA39" t="n">
        <v>5424.6</v>
      </c>
      <c r="AB39" t="n">
        <v>6623.7</v>
      </c>
      <c r="AC39" t="n">
        <v>6671.6</v>
      </c>
      <c r="AD39" t="n">
        <v>7602.9</v>
      </c>
      <c r="AE39" t="n">
        <v>7504.5</v>
      </c>
      <c r="AF39" t="n">
        <v>8673.3</v>
      </c>
    </row>
    <row r="40">
      <c r="A40" t="s">
        <v>23</v>
      </c>
      <c r="B40" t="s">
        <v>350</v>
      </c>
      <c r="C40" t="s">
        <v>246</v>
      </c>
      <c r="D40" t="s">
        <v>351</v>
      </c>
      <c r="E40" t="s">
        <v>247</v>
      </c>
      <c r="F40" t="n">
        <v>57423.4</v>
      </c>
      <c r="G40" t="n">
        <v>59302.8</v>
      </c>
      <c r="H40" t="n">
        <v>60520.4</v>
      </c>
      <c r="I40" t="n">
        <v>61140.7</v>
      </c>
      <c r="J40" t="n">
        <v>64372.6</v>
      </c>
      <c r="K40" t="n">
        <v>69245.8</v>
      </c>
      <c r="L40" t="n">
        <v>72491.8</v>
      </c>
      <c r="M40" t="n">
        <v>77935.6</v>
      </c>
      <c r="N40" t="n">
        <v>81389.6</v>
      </c>
      <c r="O40" t="n">
        <v>85838.7</v>
      </c>
      <c r="P40" t="n">
        <v>95576</v>
      </c>
      <c r="Q40" t="n">
        <v>102503.2</v>
      </c>
      <c r="R40" t="n">
        <v>107610.4</v>
      </c>
      <c r="S40" t="n">
        <v>108070.1</v>
      </c>
      <c r="T40" t="n">
        <v>99344.2</v>
      </c>
      <c r="U40" t="n">
        <v>101197.1</v>
      </c>
      <c r="V40" t="n">
        <v>98371</v>
      </c>
      <c r="W40" t="n">
        <v>92402.1</v>
      </c>
      <c r="X40" t="n">
        <v>86760.8</v>
      </c>
      <c r="Y40" t="n">
        <v>81196.5</v>
      </c>
      <c r="Z40" t="n">
        <v>76880.3</v>
      </c>
      <c r="AA40" t="n">
        <v>78564</v>
      </c>
      <c r="AB40" t="n">
        <v>81570.9</v>
      </c>
      <c r="AC40" t="n">
        <v>84552.5</v>
      </c>
      <c r="AD40" t="n">
        <v>85440.3</v>
      </c>
      <c r="AE40" t="n">
        <v>78690.1</v>
      </c>
      <c r="AF40" t="n">
        <v>119481.2</v>
      </c>
    </row>
    <row r="41">
      <c r="A41" t="s">
        <v>23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23</v>
      </c>
      <c r="B42" t="s">
        <v>354</v>
      </c>
      <c r="C42" t="s">
        <v>246</v>
      </c>
      <c r="D42" t="s">
        <v>355</v>
      </c>
      <c r="E42" t="s">
        <v>247</v>
      </c>
      <c r="F42" t="n">
        <v>6909.4</v>
      </c>
      <c r="G42" t="n">
        <v>7441.2</v>
      </c>
      <c r="H42" t="n">
        <v>7932.9</v>
      </c>
      <c r="I42" t="n">
        <v>8266.6</v>
      </c>
      <c r="J42" t="n">
        <v>9039.9</v>
      </c>
      <c r="K42" t="n">
        <v>10393.4</v>
      </c>
      <c r="L42" t="n">
        <v>10792</v>
      </c>
      <c r="M42" t="n">
        <v>11201.8</v>
      </c>
      <c r="N42" t="n">
        <v>11068.4</v>
      </c>
      <c r="O42" t="n">
        <v>11070</v>
      </c>
      <c r="P42" t="n">
        <v>11734.4</v>
      </c>
      <c r="Q42" t="n">
        <v>12461.9</v>
      </c>
      <c r="R42" t="n">
        <v>12827.7</v>
      </c>
      <c r="S42" t="n">
        <v>12941.5</v>
      </c>
      <c r="T42" t="n">
        <v>11875.1</v>
      </c>
      <c r="U42" t="n">
        <v>12464.8</v>
      </c>
      <c r="V42" t="n">
        <v>12277.5</v>
      </c>
      <c r="W42" t="n">
        <v>12959.9</v>
      </c>
      <c r="X42" t="n">
        <v>13196.3</v>
      </c>
      <c r="Y42" t="n">
        <v>12630.2</v>
      </c>
      <c r="Z42" t="n">
        <v>12414.7</v>
      </c>
      <c r="AA42" t="n">
        <v>12101.5</v>
      </c>
      <c r="AB42" t="n">
        <v>12453.1</v>
      </c>
      <c r="AC42" t="n">
        <v>12688.6</v>
      </c>
      <c r="AD42" t="n">
        <v>12860.1</v>
      </c>
      <c r="AE42" t="n">
        <v>12837.7</v>
      </c>
      <c r="AF42" t="n">
        <v>14563</v>
      </c>
    </row>
    <row r="43">
      <c r="A43" t="s">
        <v>23</v>
      </c>
      <c r="B43" t="s">
        <v>356</v>
      </c>
      <c r="C43" t="s">
        <v>246</v>
      </c>
      <c r="D43" t="s">
        <v>357</v>
      </c>
      <c r="E43" t="s">
        <v>247</v>
      </c>
      <c r="F43" t="n">
        <v>10882.1</v>
      </c>
      <c r="G43" t="n">
        <v>11798.6</v>
      </c>
      <c r="H43" t="n">
        <v>12491.9</v>
      </c>
      <c r="I43" t="n">
        <v>12882.9</v>
      </c>
      <c r="J43" t="n">
        <v>14454.4</v>
      </c>
      <c r="K43" t="n">
        <v>17066</v>
      </c>
      <c r="L43" t="n">
        <v>17813.6</v>
      </c>
      <c r="M43" t="n">
        <v>17951.3</v>
      </c>
      <c r="N43" t="n">
        <v>16966.2</v>
      </c>
      <c r="O43" t="n">
        <v>17436.6</v>
      </c>
      <c r="P43" t="n">
        <v>18476.1</v>
      </c>
      <c r="Q43" t="n">
        <v>19115.2</v>
      </c>
      <c r="R43" t="n">
        <v>21000.8</v>
      </c>
      <c r="S43" t="n">
        <v>21097.5</v>
      </c>
      <c r="T43" t="n">
        <v>17888.6</v>
      </c>
      <c r="U43" t="n">
        <v>18471.4</v>
      </c>
      <c r="V43" t="n">
        <v>18680</v>
      </c>
      <c r="W43" t="n">
        <v>19823.2</v>
      </c>
      <c r="X43" t="n">
        <v>18202.3</v>
      </c>
      <c r="Y43" t="n">
        <v>18542.3</v>
      </c>
      <c r="Z43" t="n">
        <v>19042.2</v>
      </c>
      <c r="AA43" t="n">
        <v>19558.8</v>
      </c>
      <c r="AB43" t="n">
        <v>21671</v>
      </c>
      <c r="AC43" t="n">
        <v>21779.3</v>
      </c>
      <c r="AD43" t="n">
        <v>22745</v>
      </c>
      <c r="AE43" t="n">
        <v>20411.7</v>
      </c>
      <c r="AF43" t="n">
        <v>23173.5</v>
      </c>
    </row>
    <row r="44">
      <c r="A44" t="s">
        <v>23</v>
      </c>
      <c r="B44" t="s">
        <v>358</v>
      </c>
      <c r="C44" t="s">
        <v>246</v>
      </c>
      <c r="D44" t="s">
        <v>359</v>
      </c>
      <c r="E44" t="s">
        <v>247</v>
      </c>
      <c r="F44" t="n">
        <v>117739.7</v>
      </c>
      <c r="G44" t="n">
        <v>122643.6</v>
      </c>
      <c r="H44" t="n">
        <v>128972.2</v>
      </c>
      <c r="I44" t="n">
        <v>138912.8</v>
      </c>
      <c r="J44" t="n">
        <v>145697.4</v>
      </c>
      <c r="K44" t="n">
        <v>163643.8</v>
      </c>
      <c r="L44" t="n">
        <v>170518.7</v>
      </c>
      <c r="M44" t="n">
        <v>180988.5</v>
      </c>
      <c r="N44" t="n">
        <v>178365.8</v>
      </c>
      <c r="O44" t="n">
        <v>183790.4</v>
      </c>
      <c r="P44" t="n">
        <v>188676.4</v>
      </c>
      <c r="Q44" t="n">
        <v>198640.7</v>
      </c>
      <c r="R44" t="n">
        <v>207919.8</v>
      </c>
      <c r="S44" t="n">
        <v>205444.9</v>
      </c>
      <c r="T44" t="n">
        <v>176383.9</v>
      </c>
      <c r="U44" t="n">
        <v>186150.2</v>
      </c>
      <c r="V44" t="n">
        <v>193719</v>
      </c>
      <c r="W44" t="n">
        <v>175424.3</v>
      </c>
      <c r="X44" t="n">
        <v>163173.5</v>
      </c>
      <c r="Y44" t="n">
        <v>165696.6</v>
      </c>
      <c r="Z44" t="n">
        <v>177248.9</v>
      </c>
      <c r="AA44" t="n">
        <v>187741.9</v>
      </c>
      <c r="AB44" t="n">
        <v>196699.3</v>
      </c>
      <c r="AC44" t="n">
        <v>207003.1</v>
      </c>
      <c r="AD44" t="n">
        <v>208880.3</v>
      </c>
      <c r="AE44" t="n">
        <v>191557.7</v>
      </c>
      <c r="AF44" t="n">
        <v>224034.9</v>
      </c>
    </row>
    <row r="45">
      <c r="A45" t="s">
        <v>23</v>
      </c>
      <c r="B45" t="s">
        <v>360</v>
      </c>
      <c r="C45" t="s">
        <v>246</v>
      </c>
      <c r="D45" t="s">
        <v>361</v>
      </c>
      <c r="E45" t="s">
        <v>247</v>
      </c>
      <c r="F45" t="n">
        <v>112597.8</v>
      </c>
      <c r="G45" t="n">
        <v>117442</v>
      </c>
      <c r="H45" t="n">
        <v>123342.9</v>
      </c>
      <c r="I45" t="n">
        <v>132948.2</v>
      </c>
      <c r="J45" t="n">
        <v>139257</v>
      </c>
      <c r="K45" t="n">
        <v>156285.6</v>
      </c>
      <c r="L45" t="n">
        <v>163459</v>
      </c>
      <c r="M45" t="n">
        <v>173593.5</v>
      </c>
      <c r="N45" t="n">
        <v>170918.1</v>
      </c>
      <c r="O45" t="n">
        <v>175683.7</v>
      </c>
      <c r="P45" t="n">
        <v>180312</v>
      </c>
      <c r="Q45" t="n">
        <v>189499.1</v>
      </c>
      <c r="R45" t="n">
        <v>199148.8</v>
      </c>
      <c r="S45" t="n">
        <v>197342.1</v>
      </c>
      <c r="T45" t="n">
        <v>169317.2</v>
      </c>
      <c r="U45" t="n">
        <v>178580.4</v>
      </c>
      <c r="V45" t="n">
        <v>185385.6</v>
      </c>
      <c r="W45" t="n">
        <v>167584.1</v>
      </c>
      <c r="X45" t="n">
        <v>156586.9</v>
      </c>
      <c r="Y45" t="n">
        <v>158947.6</v>
      </c>
      <c r="Z45" t="n">
        <v>170449.6</v>
      </c>
      <c r="AA45" t="n">
        <v>180463.5</v>
      </c>
      <c r="AB45" t="n">
        <v>188266.4</v>
      </c>
      <c r="AC45" t="n">
        <v>197489.2</v>
      </c>
      <c r="AD45" t="n">
        <v>199076.5</v>
      </c>
      <c r="AE45" t="n">
        <v>182847</v>
      </c>
      <c r="AF45" t="n">
        <v>213538</v>
      </c>
    </row>
    <row r="46">
      <c r="A46" t="s">
        <v>23</v>
      </c>
      <c r="B46" t="s">
        <v>362</v>
      </c>
      <c r="C46" t="s">
        <v>246</v>
      </c>
      <c r="D46" t="s">
        <v>363</v>
      </c>
      <c r="E46" t="s">
        <v>247</v>
      </c>
      <c r="F46" t="n">
        <v>3972.7</v>
      </c>
      <c r="G46" t="n">
        <v>4357.4</v>
      </c>
      <c r="H46" t="n">
        <v>4559</v>
      </c>
      <c r="I46" t="n">
        <v>4616.3</v>
      </c>
      <c r="J46" t="n">
        <v>5414.5</v>
      </c>
      <c r="K46" t="n">
        <v>6672.6</v>
      </c>
      <c r="L46" t="n">
        <v>7021.6</v>
      </c>
      <c r="M46" t="n">
        <v>6749.5</v>
      </c>
      <c r="N46" t="n">
        <v>5897.8</v>
      </c>
      <c r="O46" t="n">
        <v>6366.6</v>
      </c>
      <c r="P46" t="n">
        <v>6741.7</v>
      </c>
      <c r="Q46" t="n">
        <v>6653.3</v>
      </c>
      <c r="R46" t="n">
        <v>8173.1</v>
      </c>
      <c r="S46" t="n">
        <v>8156</v>
      </c>
      <c r="T46" t="n">
        <v>6013.5</v>
      </c>
      <c r="U46" t="n">
        <v>6006.6</v>
      </c>
      <c r="V46" t="n">
        <v>6402.5</v>
      </c>
      <c r="W46" t="n">
        <v>6863.3</v>
      </c>
      <c r="X46" t="n">
        <v>5006</v>
      </c>
      <c r="Y46" t="n">
        <v>5912.1</v>
      </c>
      <c r="Z46" t="n">
        <v>6627.5</v>
      </c>
      <c r="AA46" t="n">
        <v>7457.3</v>
      </c>
      <c r="AB46" t="n">
        <v>9217.9</v>
      </c>
      <c r="AC46" t="n">
        <v>9090.7</v>
      </c>
      <c r="AD46" t="n">
        <v>9884.9</v>
      </c>
      <c r="AE46" t="n">
        <v>7574</v>
      </c>
      <c r="AF46" t="n">
        <v>8610.5</v>
      </c>
    </row>
    <row r="47">
      <c r="A47" t="s">
        <v>23</v>
      </c>
      <c r="B47" t="s">
        <v>364</v>
      </c>
      <c r="C47" t="s">
        <v>246</v>
      </c>
      <c r="D47" t="s">
        <v>365</v>
      </c>
      <c r="E47" t="s">
        <v>247</v>
      </c>
      <c r="F47" t="n">
        <v>16181.7</v>
      </c>
      <c r="G47" t="n">
        <v>18449.9</v>
      </c>
      <c r="H47" t="n">
        <v>19519.2</v>
      </c>
      <c r="I47" t="n">
        <v>20905.5</v>
      </c>
      <c r="J47" t="n">
        <v>22552.6</v>
      </c>
      <c r="K47" t="n">
        <v>22928.8</v>
      </c>
      <c r="L47" t="n">
        <v>25224.1</v>
      </c>
      <c r="M47" t="n">
        <v>27352.7</v>
      </c>
      <c r="N47" t="n">
        <v>28509.6</v>
      </c>
      <c r="O47" t="n">
        <v>32004.8</v>
      </c>
      <c r="P47" t="n">
        <v>30359.2</v>
      </c>
      <c r="Q47" t="n">
        <v>29419.6</v>
      </c>
      <c r="R47" t="n">
        <v>29770.4</v>
      </c>
      <c r="S47" t="n">
        <v>30576</v>
      </c>
      <c r="T47" t="n">
        <v>34803.7</v>
      </c>
      <c r="U47" t="n">
        <v>28570.4</v>
      </c>
      <c r="V47" t="n">
        <v>27308.8</v>
      </c>
      <c r="W47" t="n">
        <v>24554.4</v>
      </c>
      <c r="X47" t="n">
        <v>22204.8</v>
      </c>
      <c r="Y47" t="n">
        <v>20530.6</v>
      </c>
      <c r="Z47" t="n">
        <v>21682.7</v>
      </c>
      <c r="AA47" t="n">
        <v>20641.3</v>
      </c>
      <c r="AB47" t="n">
        <v>19836</v>
      </c>
      <c r="AC47" t="n">
        <v>19060</v>
      </c>
      <c r="AD47" t="n">
        <v>22760.1</v>
      </c>
      <c r="AE47" t="n">
        <v>23063</v>
      </c>
      <c r="AF47" t="n">
        <v>26748</v>
      </c>
    </row>
    <row r="48">
      <c r="A48" t="s">
        <v>23</v>
      </c>
      <c r="B48" t="s">
        <v>366</v>
      </c>
      <c r="C48" t="s">
        <v>246</v>
      </c>
      <c r="D48" t="s">
        <v>367</v>
      </c>
      <c r="E48" t="s">
        <v>247</v>
      </c>
      <c r="F48" t="n">
        <v>21654.5</v>
      </c>
      <c r="G48" t="n">
        <v>24124.3</v>
      </c>
      <c r="H48" t="n">
        <v>25616.2</v>
      </c>
      <c r="I48" t="n">
        <v>27786</v>
      </c>
      <c r="J48" t="n">
        <v>29814.9</v>
      </c>
      <c r="K48" t="n">
        <v>31317</v>
      </c>
      <c r="L48" t="n">
        <v>34311.3</v>
      </c>
      <c r="M48" t="n">
        <v>36743.6</v>
      </c>
      <c r="N48" t="n">
        <v>38093.2</v>
      </c>
      <c r="O48" t="n">
        <v>41659.2</v>
      </c>
      <c r="P48" t="n">
        <v>40648.5</v>
      </c>
      <c r="Q48" t="n">
        <v>40844.6</v>
      </c>
      <c r="R48" t="n">
        <v>41157.6</v>
      </c>
      <c r="S48" t="n">
        <v>40904.4</v>
      </c>
      <c r="T48" t="n">
        <v>46098.4</v>
      </c>
      <c r="U48" t="n">
        <v>40102.8</v>
      </c>
      <c r="V48" t="n">
        <v>37871.7</v>
      </c>
      <c r="W48" t="n">
        <v>33971.9</v>
      </c>
      <c r="X48" t="n">
        <v>30736.5</v>
      </c>
      <c r="Y48" t="n">
        <v>28583</v>
      </c>
      <c r="Z48" t="n">
        <v>29974</v>
      </c>
      <c r="AA48" t="n">
        <v>28522.6</v>
      </c>
      <c r="AB48" t="n">
        <v>28402.2</v>
      </c>
      <c r="AC48" t="n">
        <v>27944.1</v>
      </c>
      <c r="AD48" t="n">
        <v>32741.7</v>
      </c>
      <c r="AE48" t="n">
        <v>33724.9</v>
      </c>
      <c r="AF48" t="n">
        <v>39182.4</v>
      </c>
    </row>
    <row r="49">
      <c r="A49" t="s">
        <v>23</v>
      </c>
      <c r="B49" t="s">
        <v>368</v>
      </c>
      <c r="C49" t="s">
        <v>246</v>
      </c>
      <c r="D49" t="s">
        <v>369</v>
      </c>
      <c r="E49" t="s">
        <v>247</v>
      </c>
      <c r="F49" t="n">
        <v>1284.2</v>
      </c>
      <c r="G49" t="n">
        <v>1321.9</v>
      </c>
      <c r="H49" t="n">
        <v>1398</v>
      </c>
      <c r="I49" t="n">
        <v>1598.2</v>
      </c>
      <c r="J49" t="n">
        <v>1702.8</v>
      </c>
      <c r="K49" t="n">
        <v>2022.5</v>
      </c>
      <c r="L49" t="n">
        <v>2189.4</v>
      </c>
      <c r="M49" t="n">
        <v>2479.2</v>
      </c>
      <c r="N49" t="n">
        <v>2417.2</v>
      </c>
      <c r="O49" t="n">
        <v>2668.9</v>
      </c>
      <c r="P49" t="n">
        <v>2566.9</v>
      </c>
      <c r="Q49" t="n">
        <v>2799.7</v>
      </c>
      <c r="R49" t="n">
        <v>2580.1</v>
      </c>
      <c r="S49" t="n">
        <v>2448.6</v>
      </c>
      <c r="T49" t="n">
        <v>2395.6</v>
      </c>
      <c r="U49" t="n">
        <v>2258.1</v>
      </c>
      <c r="V49" t="n">
        <v>2362.9</v>
      </c>
      <c r="W49" t="n">
        <v>2206.1</v>
      </c>
      <c r="X49" t="n">
        <v>2087.8</v>
      </c>
      <c r="Y49" t="n">
        <v>2085.1</v>
      </c>
      <c r="Z49" t="n">
        <v>2007.6</v>
      </c>
      <c r="AA49" t="n">
        <v>1844.8</v>
      </c>
      <c r="AB49" t="n">
        <v>1581</v>
      </c>
      <c r="AC49" t="n">
        <v>1743.3</v>
      </c>
      <c r="AD49" t="n">
        <v>1616.3</v>
      </c>
      <c r="AE49" t="n">
        <v>2103.2</v>
      </c>
      <c r="AF49" t="n">
        <v>2425.4</v>
      </c>
    </row>
    <row r="50">
      <c r="A50" t="s">
        <v>23</v>
      </c>
      <c r="B50" t="s">
        <v>370</v>
      </c>
      <c r="C50" t="s">
        <v>246</v>
      </c>
      <c r="D50" t="s">
        <v>371</v>
      </c>
      <c r="E50" t="s">
        <v>247</v>
      </c>
      <c r="F50" t="n">
        <v>4188.6</v>
      </c>
      <c r="G50" t="n">
        <v>4352.7</v>
      </c>
      <c r="H50" t="n">
        <v>4699</v>
      </c>
      <c r="I50" t="n">
        <v>5282.3</v>
      </c>
      <c r="J50" t="n">
        <v>5559.5</v>
      </c>
      <c r="K50" t="n">
        <v>6365.8</v>
      </c>
      <c r="L50" t="n">
        <v>6897.8</v>
      </c>
      <c r="M50" t="n">
        <v>6911.6</v>
      </c>
      <c r="N50" t="n">
        <v>7166.4</v>
      </c>
      <c r="O50" t="n">
        <v>6985.5</v>
      </c>
      <c r="P50" t="n">
        <v>7722.5</v>
      </c>
      <c r="Q50" t="n">
        <v>8625.3</v>
      </c>
      <c r="R50" t="n">
        <v>8807</v>
      </c>
      <c r="S50" t="n">
        <v>7879.9</v>
      </c>
      <c r="T50" t="n">
        <v>8899.1</v>
      </c>
      <c r="U50" t="n">
        <v>9274.2</v>
      </c>
      <c r="V50" t="n">
        <v>8199.9</v>
      </c>
      <c r="W50" t="n">
        <v>7211.2</v>
      </c>
      <c r="X50" t="n">
        <v>6444</v>
      </c>
      <c r="Y50" t="n">
        <v>5967.3</v>
      </c>
      <c r="Z50" t="n">
        <v>6283.8</v>
      </c>
      <c r="AA50" t="n">
        <v>6036.6</v>
      </c>
      <c r="AB50" t="n">
        <v>6985.2</v>
      </c>
      <c r="AC50" t="n">
        <v>7140.8</v>
      </c>
      <c r="AD50" t="n">
        <v>8365.4</v>
      </c>
      <c r="AE50" t="n">
        <v>8558.7</v>
      </c>
      <c r="AF50" t="n">
        <v>10009</v>
      </c>
    </row>
    <row r="51">
      <c r="A51" t="s">
        <v>23</v>
      </c>
      <c r="B51" t="s">
        <v>372</v>
      </c>
      <c r="C51" t="s">
        <v>246</v>
      </c>
      <c r="D51" t="s">
        <v>373</v>
      </c>
      <c r="E51" t="s">
        <v>247</v>
      </c>
      <c r="F51" t="n">
        <v>3932.5</v>
      </c>
      <c r="G51" t="n">
        <v>4086.5</v>
      </c>
      <c r="H51" t="n">
        <v>4400.2</v>
      </c>
      <c r="I51" t="n">
        <v>4940.3</v>
      </c>
      <c r="J51" t="n">
        <v>5187.5</v>
      </c>
      <c r="K51" t="n">
        <v>5962.2</v>
      </c>
      <c r="L51" t="n">
        <v>6453.7</v>
      </c>
      <c r="M51" t="n">
        <v>6503.3</v>
      </c>
      <c r="N51" t="n">
        <v>6773.8</v>
      </c>
      <c r="O51" t="n">
        <v>6493.5</v>
      </c>
      <c r="P51" t="n">
        <v>7253.4</v>
      </c>
      <c r="Q51" t="n">
        <v>8161.5</v>
      </c>
      <c r="R51" t="n">
        <v>8271.1</v>
      </c>
      <c r="S51" t="n">
        <v>7455.1</v>
      </c>
      <c r="T51" t="n">
        <v>8519.2</v>
      </c>
      <c r="U51" t="n">
        <v>8862.7</v>
      </c>
      <c r="V51" t="n">
        <v>7736.4</v>
      </c>
      <c r="W51" t="n">
        <v>6735.4</v>
      </c>
      <c r="X51" t="n">
        <v>5934.6</v>
      </c>
      <c r="Y51" t="n">
        <v>5463.3</v>
      </c>
      <c r="Z51" t="n">
        <v>5793</v>
      </c>
      <c r="AA51" t="n">
        <v>5490.2</v>
      </c>
      <c r="AB51" t="n">
        <v>6394</v>
      </c>
      <c r="AC51" t="n">
        <v>6636</v>
      </c>
      <c r="AD51" t="n">
        <v>7733.7</v>
      </c>
      <c r="AE51" t="n">
        <v>7989.7</v>
      </c>
      <c r="AF51" t="n">
        <v>9341.9</v>
      </c>
    </row>
    <row r="52">
      <c r="A52" t="s">
        <v>23</v>
      </c>
      <c r="B52" t="s">
        <v>374</v>
      </c>
      <c r="C52" t="s">
        <v>246</v>
      </c>
      <c r="D52" t="s">
        <v>375</v>
      </c>
      <c r="E52" t="s">
        <v>247</v>
      </c>
      <c r="F52" t="n">
        <v>256.1</v>
      </c>
      <c r="G52" t="n">
        <v>266.2</v>
      </c>
      <c r="H52" t="n">
        <v>298.8</v>
      </c>
      <c r="I52" t="n">
        <v>342</v>
      </c>
      <c r="J52" t="n">
        <v>372</v>
      </c>
      <c r="K52" t="n">
        <v>403.6</v>
      </c>
      <c r="L52" t="n">
        <v>444.1</v>
      </c>
      <c r="M52" t="n">
        <v>408.3</v>
      </c>
      <c r="N52" t="n">
        <v>392.6</v>
      </c>
      <c r="O52" t="n">
        <v>492</v>
      </c>
      <c r="P52" t="n">
        <v>469.1</v>
      </c>
      <c r="Q52" t="n">
        <v>463.8</v>
      </c>
      <c r="R52" t="n">
        <v>535.9</v>
      </c>
      <c r="S52" t="n">
        <v>424.8</v>
      </c>
      <c r="T52" t="n">
        <v>379.9</v>
      </c>
      <c r="U52" t="n">
        <v>411.5</v>
      </c>
      <c r="V52" t="n">
        <v>463.5</v>
      </c>
      <c r="W52" t="n">
        <v>475.8</v>
      </c>
      <c r="X52" t="n">
        <v>509.4</v>
      </c>
      <c r="Y52" t="n">
        <v>504</v>
      </c>
      <c r="Z52" t="n">
        <v>490.8</v>
      </c>
      <c r="AA52" t="n">
        <v>546.4</v>
      </c>
      <c r="AB52" t="n">
        <v>591.2</v>
      </c>
      <c r="AC52" t="n">
        <v>504.8</v>
      </c>
      <c r="AD52" t="n">
        <v>631.7</v>
      </c>
      <c r="AE52" t="n">
        <v>569</v>
      </c>
      <c r="AF52" t="n">
        <v>667.1</v>
      </c>
    </row>
    <row r="53">
      <c r="A53" t="s">
        <v>23</v>
      </c>
      <c r="B53" t="s">
        <v>376</v>
      </c>
      <c r="C53" t="s">
        <v>246</v>
      </c>
      <c r="D53" t="s">
        <v>377</v>
      </c>
      <c r="E53" t="s">
        <v>247</v>
      </c>
      <c r="F53" t="n">
        <v>2095.5</v>
      </c>
      <c r="G53" t="n">
        <v>2262.3</v>
      </c>
      <c r="H53" t="n">
        <v>2547.5</v>
      </c>
      <c r="I53" t="n">
        <v>2820.8</v>
      </c>
      <c r="J53" t="n">
        <v>2827.8</v>
      </c>
      <c r="K53" t="n">
        <v>2998.5</v>
      </c>
      <c r="L53" t="n">
        <v>3325.5</v>
      </c>
      <c r="M53" t="n">
        <v>3742.5</v>
      </c>
      <c r="N53" t="n">
        <v>3397</v>
      </c>
      <c r="O53" t="n">
        <v>3492.1</v>
      </c>
      <c r="P53" t="n">
        <v>4140.9</v>
      </c>
      <c r="Q53" t="n">
        <v>3845.5</v>
      </c>
      <c r="R53" t="n">
        <v>4076.9</v>
      </c>
      <c r="S53" t="n">
        <v>3432.9</v>
      </c>
      <c r="T53" t="n">
        <v>3824.7</v>
      </c>
      <c r="U53" t="n">
        <v>3608.4</v>
      </c>
      <c r="V53" t="n">
        <v>3657</v>
      </c>
      <c r="W53" t="n">
        <v>2603.2</v>
      </c>
      <c r="X53" t="n">
        <v>2902.7</v>
      </c>
      <c r="Y53" t="n">
        <v>2702.4</v>
      </c>
      <c r="Z53" t="n">
        <v>2800.2</v>
      </c>
      <c r="AA53" t="n">
        <v>3216.3</v>
      </c>
      <c r="AB53" t="n">
        <v>3312.8</v>
      </c>
      <c r="AC53" t="n">
        <v>3442.9</v>
      </c>
      <c r="AD53" t="n">
        <v>3404.7</v>
      </c>
      <c r="AE53" t="n">
        <v>3124.1</v>
      </c>
      <c r="AF53" t="n">
        <v>3996.4</v>
      </c>
    </row>
    <row r="54">
      <c r="A54" t="s">
        <v>23</v>
      </c>
      <c r="B54" t="s">
        <v>378</v>
      </c>
      <c r="C54" t="s">
        <v>246</v>
      </c>
      <c r="D54" t="s">
        <v>379</v>
      </c>
      <c r="E54" t="s">
        <v>247</v>
      </c>
      <c r="F54" t="n">
        <v>3030.3</v>
      </c>
      <c r="G54" t="n">
        <v>3306.2</v>
      </c>
      <c r="H54" t="n">
        <v>3706.8</v>
      </c>
      <c r="I54" t="n">
        <v>4145.9</v>
      </c>
      <c r="J54" t="n">
        <v>4073.4</v>
      </c>
      <c r="K54" t="n">
        <v>4384.7</v>
      </c>
      <c r="L54" t="n">
        <v>4854.4</v>
      </c>
      <c r="M54" t="n">
        <v>5388.1</v>
      </c>
      <c r="N54" t="n">
        <v>5092.2</v>
      </c>
      <c r="O54" t="n">
        <v>5119.9</v>
      </c>
      <c r="P54" t="n">
        <v>5993</v>
      </c>
      <c r="Q54" t="n">
        <v>5773.2</v>
      </c>
      <c r="R54" t="n">
        <v>5959.7</v>
      </c>
      <c r="S54" t="n">
        <v>5533.9</v>
      </c>
      <c r="T54" t="n">
        <v>5166.9</v>
      </c>
      <c r="U54" t="n">
        <v>5303</v>
      </c>
      <c r="V54" t="n">
        <v>5415.8</v>
      </c>
      <c r="W54" t="n">
        <v>4135.2</v>
      </c>
      <c r="X54" t="n">
        <v>4077.6</v>
      </c>
      <c r="Y54" t="n">
        <v>4177.7</v>
      </c>
      <c r="Z54" t="n">
        <v>4153.6</v>
      </c>
      <c r="AA54" t="n">
        <v>4797</v>
      </c>
      <c r="AB54" t="n">
        <v>5170</v>
      </c>
      <c r="AC54" t="n">
        <v>4884.7</v>
      </c>
      <c r="AD54" t="n">
        <v>4952.3</v>
      </c>
      <c r="AE54" t="n">
        <v>4323.3</v>
      </c>
      <c r="AF54" t="n">
        <v>5561</v>
      </c>
    </row>
    <row r="55">
      <c r="A55" t="s">
        <v>23</v>
      </c>
      <c r="B55" t="s">
        <v>380</v>
      </c>
      <c r="C55" t="s">
        <v>246</v>
      </c>
      <c r="D55" t="s">
        <v>381</v>
      </c>
      <c r="E55" t="s">
        <v>247</v>
      </c>
      <c r="F55" t="n">
        <v>934.8</v>
      </c>
      <c r="G55" t="n">
        <v>1043.9</v>
      </c>
      <c r="H55" t="n">
        <v>1159.3</v>
      </c>
      <c r="I55" t="n">
        <v>1325.1</v>
      </c>
      <c r="J55" t="n">
        <v>1245.6</v>
      </c>
      <c r="K55" t="n">
        <v>1386.2</v>
      </c>
      <c r="L55" t="n">
        <v>1528.9</v>
      </c>
      <c r="M55" t="n">
        <v>1645.6</v>
      </c>
      <c r="N55" t="n">
        <v>1695.2</v>
      </c>
      <c r="O55" t="n">
        <v>1627.8</v>
      </c>
      <c r="P55" t="n">
        <v>1852.1</v>
      </c>
      <c r="Q55" t="n">
        <v>1927.7</v>
      </c>
      <c r="R55" t="n">
        <v>1882.8</v>
      </c>
      <c r="S55" t="n">
        <v>2101</v>
      </c>
      <c r="T55" t="n">
        <v>1342.2</v>
      </c>
      <c r="U55" t="n">
        <v>1694.6</v>
      </c>
      <c r="V55" t="n">
        <v>1758.8</v>
      </c>
      <c r="W55" t="n">
        <v>1532</v>
      </c>
      <c r="X55" t="n">
        <v>1174.9</v>
      </c>
      <c r="Y55" t="n">
        <v>1475.3</v>
      </c>
      <c r="Z55" t="n">
        <v>1353.4</v>
      </c>
      <c r="AA55" t="n">
        <v>1580.7</v>
      </c>
      <c r="AB55" t="n">
        <v>1857.2</v>
      </c>
      <c r="AC55" t="n">
        <v>1441.8</v>
      </c>
      <c r="AD55" t="n">
        <v>1547.6</v>
      </c>
      <c r="AE55" t="n">
        <v>1199.2</v>
      </c>
      <c r="AF55" t="n">
        <v>1564.6</v>
      </c>
    </row>
    <row r="56">
      <c r="A56" t="s">
        <v>23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23</v>
      </c>
      <c r="B57" t="s">
        <v>384</v>
      </c>
      <c r="C57" t="s">
        <v>246</v>
      </c>
      <c r="D57" t="s">
        <v>385</v>
      </c>
      <c r="E57" t="s">
        <v>247</v>
      </c>
      <c r="F57" t="n">
        <v>196817.6</v>
      </c>
      <c r="G57" t="n">
        <v>206070.9</v>
      </c>
      <c r="H57" t="n">
        <v>215108.8</v>
      </c>
      <c r="I57" t="n">
        <v>227839.5</v>
      </c>
      <c r="J57" t="n">
        <v>239884.9</v>
      </c>
      <c r="K57" t="n">
        <v>264206.7</v>
      </c>
      <c r="L57" t="n">
        <v>277321.8</v>
      </c>
      <c r="M57" t="n">
        <v>295667.6</v>
      </c>
      <c r="N57" t="n">
        <v>297848.6</v>
      </c>
      <c r="O57" t="n">
        <v>311288.3</v>
      </c>
      <c r="P57" t="n">
        <v>324901</v>
      </c>
      <c r="Q57" t="n">
        <v>341988.5</v>
      </c>
      <c r="R57" t="n">
        <v>356687.7</v>
      </c>
      <c r="S57" t="n">
        <v>354419.5</v>
      </c>
      <c r="T57" t="n">
        <v>321826.5</v>
      </c>
      <c r="U57" t="n">
        <v>327450</v>
      </c>
      <c r="V57" t="n">
        <v>329961.6</v>
      </c>
      <c r="W57" t="n">
        <v>301798.1</v>
      </c>
      <c r="X57" t="n">
        <v>280670.9</v>
      </c>
      <c r="Y57" t="n">
        <v>275476.1</v>
      </c>
      <c r="Z57" t="n">
        <v>284103.3</v>
      </c>
      <c r="AA57" t="n">
        <v>294828.6</v>
      </c>
      <c r="AB57" t="n">
        <v>306672.4</v>
      </c>
      <c r="AC57" t="n">
        <v>319499.7</v>
      </c>
      <c r="AD57" t="n">
        <v>327062.4</v>
      </c>
      <c r="AE57" t="n">
        <v>303972.7</v>
      </c>
      <c r="AF57" t="n">
        <v>382698.5</v>
      </c>
    </row>
    <row r="58">
      <c r="A58" t="s">
        <v>23</v>
      </c>
      <c r="B58" t="s">
        <v>386</v>
      </c>
      <c r="C58" t="s">
        <v>246</v>
      </c>
      <c r="D58" t="s">
        <v>387</v>
      </c>
      <c r="E58" t="s">
        <v>247</v>
      </c>
      <c r="F58" t="n">
        <v>196817.6</v>
      </c>
      <c r="G58" t="n">
        <v>206070.9</v>
      </c>
      <c r="H58" t="n">
        <v>215108.8</v>
      </c>
      <c r="I58" t="n">
        <v>227839.5</v>
      </c>
      <c r="J58" t="n">
        <v>239884.9</v>
      </c>
      <c r="K58" t="n">
        <v>264206.7</v>
      </c>
      <c r="L58" t="n">
        <v>277321.8</v>
      </c>
      <c r="M58" t="n">
        <v>295667.6</v>
      </c>
      <c r="N58" t="n">
        <v>297848.6</v>
      </c>
      <c r="O58" t="n">
        <v>311288.3</v>
      </c>
      <c r="P58" t="n">
        <v>324901</v>
      </c>
      <c r="Q58" t="n">
        <v>341988.5</v>
      </c>
      <c r="R58" t="n">
        <v>356687.7</v>
      </c>
      <c r="S58" t="n">
        <v>354419.5</v>
      </c>
      <c r="T58" t="n">
        <v>321826.5</v>
      </c>
      <c r="U58" t="n">
        <v>327450</v>
      </c>
      <c r="V58" t="n">
        <v>329961.6</v>
      </c>
      <c r="W58" t="n">
        <v>301798.1</v>
      </c>
      <c r="X58" t="n">
        <v>280670.9</v>
      </c>
      <c r="Y58" t="n">
        <v>275476.1</v>
      </c>
      <c r="Z58" t="n">
        <v>284103.3</v>
      </c>
      <c r="AA58" t="n">
        <v>294828.6</v>
      </c>
      <c r="AB58" t="n">
        <v>306672.4</v>
      </c>
      <c r="AC58" t="n">
        <v>319499.7</v>
      </c>
      <c r="AD58" t="n">
        <v>327062.4</v>
      </c>
      <c r="AE58" t="n">
        <v>303972.7</v>
      </c>
      <c r="AF58" t="n">
        <v>382698.5</v>
      </c>
    </row>
    <row r="59">
      <c r="A59" t="s">
        <v>23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26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22.7</v>
      </c>
      <c r="H2" t="n">
        <v>16.3</v>
      </c>
      <c r="I2" t="n">
        <v>31.9</v>
      </c>
      <c r="J2" t="n">
        <v>29.4</v>
      </c>
      <c r="K2" t="n">
        <v>32.4</v>
      </c>
      <c r="L2" t="n">
        <v>38</v>
      </c>
      <c r="M2" t="n">
        <v>33.1</v>
      </c>
      <c r="N2" t="n">
        <v>41.3</v>
      </c>
      <c r="O2" t="n">
        <v>41.5</v>
      </c>
      <c r="P2" t="n">
        <v>40.7</v>
      </c>
      <c r="Q2" t="n">
        <v>43.8</v>
      </c>
      <c r="R2" t="n">
        <v>42.8</v>
      </c>
      <c r="S2" t="n">
        <v>38.6</v>
      </c>
      <c r="T2" t="n">
        <v>46.3</v>
      </c>
      <c r="U2" t="n">
        <v>28.6</v>
      </c>
      <c r="V2" t="n">
        <v>35.2</v>
      </c>
      <c r="W2" t="n">
        <v>22.6</v>
      </c>
      <c r="X2" t="n">
        <v>22.3</v>
      </c>
      <c r="Y2" t="n">
        <v>21.4</v>
      </c>
      <c r="Z2" t="n">
        <v>24.4</v>
      </c>
      <c r="AA2" t="n">
        <v>27.6</v>
      </c>
      <c r="AB2" t="n">
        <v>30.5</v>
      </c>
      <c r="AC2" t="n">
        <v>28.8</v>
      </c>
      <c r="AD2" t="n">
        <v>33</v>
      </c>
      <c r="AE2" t="n">
        <v>29.5</v>
      </c>
      <c r="AF2" t="n">
        <v>33.8</v>
      </c>
    </row>
    <row r="3">
      <c r="A3" t="s">
        <v>26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18.5</v>
      </c>
      <c r="H3" t="n">
        <v>208.8</v>
      </c>
      <c r="I3" t="n">
        <v>5.9</v>
      </c>
      <c r="J3" t="n">
        <v>10.6</v>
      </c>
      <c r="K3" t="n">
        <v>38.1</v>
      </c>
      <c r="L3" t="n">
        <v>41.4</v>
      </c>
      <c r="M3" t="n">
        <v>25.3</v>
      </c>
      <c r="N3" t="n">
        <v>20.6</v>
      </c>
      <c r="O3" t="n">
        <v>32.3</v>
      </c>
      <c r="P3" t="n">
        <v>24.5</v>
      </c>
      <c r="Q3" t="n">
        <v>32.3</v>
      </c>
      <c r="R3" t="n">
        <v>28.8</v>
      </c>
      <c r="S3" t="n">
        <v>13.3</v>
      </c>
      <c r="T3" t="n">
        <v>16.4</v>
      </c>
      <c r="U3" t="n">
        <v>22.8</v>
      </c>
      <c r="V3" t="n">
        <v>24.3</v>
      </c>
      <c r="W3" t="n">
        <v>15.3</v>
      </c>
      <c r="X3" t="n">
        <v>7</v>
      </c>
      <c r="Y3" t="n">
        <v>92</v>
      </c>
      <c r="Z3" t="n">
        <v>9</v>
      </c>
      <c r="AA3" t="n">
        <v>6.2</v>
      </c>
      <c r="AB3" t="n">
        <v>13.5</v>
      </c>
      <c r="AC3" t="n">
        <v>12.1</v>
      </c>
      <c r="AD3" t="n">
        <v>50</v>
      </c>
      <c r="AE3" t="n">
        <v>34.4</v>
      </c>
      <c r="AF3" t="n">
        <v>22.4</v>
      </c>
    </row>
    <row r="4">
      <c r="A4" t="s">
        <v>26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638.1</v>
      </c>
      <c r="H4" t="n">
        <v>734.6</v>
      </c>
      <c r="I4" t="n">
        <v>899.4</v>
      </c>
      <c r="J4" t="n">
        <v>901.7</v>
      </c>
      <c r="K4" t="n">
        <v>1021.3</v>
      </c>
      <c r="L4" t="n">
        <v>1225.6</v>
      </c>
      <c r="M4" t="n">
        <v>1067.9</v>
      </c>
      <c r="N4" t="n">
        <v>906.6</v>
      </c>
      <c r="O4" t="n">
        <v>1115.7</v>
      </c>
      <c r="P4" t="n">
        <v>1099.9</v>
      </c>
      <c r="Q4" t="n">
        <v>1223</v>
      </c>
      <c r="R4" t="n">
        <v>1288.9</v>
      </c>
      <c r="S4" t="n">
        <v>1270.8</v>
      </c>
      <c r="T4" t="n">
        <v>860.7</v>
      </c>
      <c r="U4" t="n">
        <v>883</v>
      </c>
      <c r="V4" t="n">
        <v>943</v>
      </c>
      <c r="W4" t="n">
        <v>964.6</v>
      </c>
      <c r="X4" t="n">
        <v>939.6</v>
      </c>
      <c r="Y4" t="n">
        <v>968.4</v>
      </c>
      <c r="Z4" t="n">
        <v>1075.4</v>
      </c>
      <c r="AA4" t="n">
        <v>1035.3</v>
      </c>
      <c r="AB4" t="n">
        <v>1459.3</v>
      </c>
      <c r="AC4" t="n">
        <v>1362.2</v>
      </c>
      <c r="AD4" t="n">
        <v>1300.5</v>
      </c>
      <c r="AE4" t="n">
        <v>1162.8</v>
      </c>
      <c r="AF4" t="n">
        <v>1120.6</v>
      </c>
    </row>
    <row r="5">
      <c r="A5" t="s">
        <v>26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69.7</v>
      </c>
      <c r="H5" t="n">
        <v>94.9</v>
      </c>
      <c r="I5" t="n">
        <v>135.8</v>
      </c>
      <c r="J5" t="n">
        <v>182</v>
      </c>
      <c r="K5" t="n">
        <v>152</v>
      </c>
      <c r="L5" t="n">
        <v>189.2</v>
      </c>
      <c r="M5" t="n">
        <v>171.1</v>
      </c>
      <c r="N5" t="n">
        <v>147.6</v>
      </c>
      <c r="O5" t="n">
        <v>182.4</v>
      </c>
      <c r="P5" t="n">
        <v>181.1</v>
      </c>
      <c r="Q5" t="n">
        <v>201</v>
      </c>
      <c r="R5" t="n">
        <v>205.8</v>
      </c>
      <c r="S5" t="n">
        <v>205</v>
      </c>
      <c r="T5" t="n">
        <v>145.8</v>
      </c>
      <c r="U5" t="n">
        <v>145.3</v>
      </c>
      <c r="V5" t="n">
        <v>155.3</v>
      </c>
      <c r="W5" t="n">
        <v>162.6</v>
      </c>
      <c r="X5" t="n">
        <v>113.5</v>
      </c>
      <c r="Y5" t="n">
        <v>115.5</v>
      </c>
      <c r="Z5" t="n">
        <v>156</v>
      </c>
      <c r="AA5" t="n">
        <v>151.8</v>
      </c>
      <c r="AB5" t="n">
        <v>227.5</v>
      </c>
      <c r="AC5" t="n">
        <v>133</v>
      </c>
      <c r="AD5" t="n">
        <v>188.1</v>
      </c>
      <c r="AE5" t="n">
        <v>160.5</v>
      </c>
      <c r="AF5" t="n">
        <v>145.9</v>
      </c>
    </row>
    <row r="6">
      <c r="A6" t="s">
        <v>26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65.6</v>
      </c>
      <c r="H6" t="n">
        <v>40.4</v>
      </c>
      <c r="I6" t="n">
        <v>97.5</v>
      </c>
      <c r="J6" t="n">
        <v>84.7</v>
      </c>
      <c r="K6" t="n">
        <v>100.8</v>
      </c>
      <c r="L6" t="n">
        <v>118</v>
      </c>
      <c r="M6" t="n">
        <v>95.5</v>
      </c>
      <c r="N6" t="n">
        <v>95.4</v>
      </c>
      <c r="O6" t="n">
        <v>104.5</v>
      </c>
      <c r="P6" t="n">
        <v>116.8</v>
      </c>
      <c r="Q6" t="n">
        <v>124.8</v>
      </c>
      <c r="R6" t="n">
        <v>120.6</v>
      </c>
      <c r="S6" t="n">
        <v>76.7</v>
      </c>
      <c r="T6" t="n">
        <v>93.2</v>
      </c>
      <c r="U6" t="n">
        <v>86</v>
      </c>
      <c r="V6" t="n">
        <v>91.8</v>
      </c>
      <c r="W6" t="n">
        <v>137.6</v>
      </c>
      <c r="X6" t="n">
        <v>102.9</v>
      </c>
      <c r="Y6" t="n">
        <v>100.7</v>
      </c>
      <c r="Z6" t="n">
        <v>123.7</v>
      </c>
      <c r="AA6" t="n">
        <v>118.3</v>
      </c>
      <c r="AB6" t="n">
        <v>118.4</v>
      </c>
      <c r="AC6" t="n">
        <v>166.1</v>
      </c>
      <c r="AD6" t="n">
        <v>156.9</v>
      </c>
      <c r="AE6" t="n">
        <v>121.9</v>
      </c>
      <c r="AF6" t="n">
        <v>127.3</v>
      </c>
    </row>
    <row r="7">
      <c r="A7" t="s">
        <v>26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25.4</v>
      </c>
      <c r="H7" t="n">
        <v>23.8</v>
      </c>
      <c r="I7" t="n">
        <v>35.1</v>
      </c>
      <c r="J7" t="n">
        <v>45.5</v>
      </c>
      <c r="K7" t="n">
        <v>50.6</v>
      </c>
      <c r="L7" t="n">
        <v>53.3</v>
      </c>
      <c r="M7" t="n">
        <v>50</v>
      </c>
      <c r="N7" t="n">
        <v>43.6</v>
      </c>
      <c r="O7" t="n">
        <v>54.3</v>
      </c>
      <c r="P7" t="n">
        <v>56.4</v>
      </c>
      <c r="Q7" t="n">
        <v>49.3</v>
      </c>
      <c r="R7" t="n">
        <v>62.8</v>
      </c>
      <c r="S7" t="n">
        <v>43.1</v>
      </c>
      <c r="T7" t="n">
        <v>37.5</v>
      </c>
      <c r="U7" t="n">
        <v>40.6</v>
      </c>
      <c r="V7" t="n">
        <v>43.4</v>
      </c>
      <c r="W7" t="n">
        <v>37.9</v>
      </c>
      <c r="X7" t="n">
        <v>35</v>
      </c>
      <c r="Y7" t="n">
        <v>38.3</v>
      </c>
      <c r="Z7" t="n">
        <v>41.3</v>
      </c>
      <c r="AA7" t="n">
        <v>55.3</v>
      </c>
      <c r="AB7" t="n">
        <v>57</v>
      </c>
      <c r="AC7" t="n">
        <v>58.6</v>
      </c>
      <c r="AD7" t="n">
        <v>70.9</v>
      </c>
      <c r="AE7" t="n">
        <v>65.5</v>
      </c>
      <c r="AF7" t="n">
        <v>53.3</v>
      </c>
    </row>
    <row r="8">
      <c r="A8" t="s">
        <v>26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27.2</v>
      </c>
      <c r="H8" t="n">
        <v>50</v>
      </c>
      <c r="I8" t="n">
        <v>15.9</v>
      </c>
      <c r="J8" t="n">
        <v>28.9</v>
      </c>
      <c r="K8" t="n">
        <v>78</v>
      </c>
      <c r="L8" t="n">
        <v>72.5</v>
      </c>
      <c r="M8" t="n">
        <v>54.4</v>
      </c>
      <c r="N8" t="n">
        <v>47.5</v>
      </c>
      <c r="O8" t="n">
        <v>51.8</v>
      </c>
      <c r="P8" t="n">
        <v>36.4</v>
      </c>
      <c r="Q8" t="n">
        <v>66.5</v>
      </c>
      <c r="R8" t="n">
        <v>68.8</v>
      </c>
      <c r="S8" t="n">
        <v>190.4</v>
      </c>
      <c r="T8" t="n">
        <v>31.5</v>
      </c>
      <c r="U8" t="n">
        <v>44.7</v>
      </c>
      <c r="V8" t="n">
        <v>47.7</v>
      </c>
      <c r="W8" t="n">
        <v>36.5</v>
      </c>
      <c r="X8" t="n">
        <v>93.5</v>
      </c>
      <c r="Y8" t="n">
        <v>94.5</v>
      </c>
      <c r="Z8" t="n">
        <v>37.9</v>
      </c>
      <c r="AA8" t="n">
        <v>23.6</v>
      </c>
      <c r="AB8" t="n">
        <v>43</v>
      </c>
      <c r="AC8" t="n">
        <v>22.5</v>
      </c>
      <c r="AD8" t="n">
        <v>19.1</v>
      </c>
      <c r="AE8" t="n">
        <v>34.7</v>
      </c>
      <c r="AF8" t="n">
        <v>19.2</v>
      </c>
    </row>
    <row r="9">
      <c r="A9" t="s">
        <v>26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20.7</v>
      </c>
      <c r="H9" t="n">
        <v>33.6</v>
      </c>
      <c r="I9" t="n">
        <v>38.4</v>
      </c>
      <c r="J9" t="n">
        <v>41.8</v>
      </c>
      <c r="K9" t="n">
        <v>48.5</v>
      </c>
      <c r="L9" t="n">
        <v>72.1</v>
      </c>
      <c r="M9" t="n">
        <v>54.2</v>
      </c>
      <c r="N9" t="n">
        <v>44.2</v>
      </c>
      <c r="O9" t="n">
        <v>63.4</v>
      </c>
      <c r="P9" t="n">
        <v>55.6</v>
      </c>
      <c r="Q9" t="n">
        <v>67</v>
      </c>
      <c r="R9" t="n">
        <v>65.3</v>
      </c>
      <c r="S9" t="n">
        <v>50.2</v>
      </c>
      <c r="T9" t="n">
        <v>27.8</v>
      </c>
      <c r="U9" t="n">
        <v>44.8</v>
      </c>
      <c r="V9" t="n">
        <v>47.9</v>
      </c>
      <c r="W9" t="n">
        <v>34.9</v>
      </c>
      <c r="X9" t="n">
        <v>40.9</v>
      </c>
      <c r="Y9" t="n">
        <v>61.7</v>
      </c>
      <c r="Z9" t="n">
        <v>42.2</v>
      </c>
      <c r="AA9" t="n">
        <v>44.5</v>
      </c>
      <c r="AB9" t="n">
        <v>60.4</v>
      </c>
      <c r="AC9" t="n">
        <v>44.7</v>
      </c>
      <c r="AD9" t="n">
        <v>48.8</v>
      </c>
      <c r="AE9" t="n">
        <v>41.7</v>
      </c>
      <c r="AF9" t="n">
        <v>40.9</v>
      </c>
    </row>
    <row r="10">
      <c r="A10" t="s">
        <v>26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33.8</v>
      </c>
      <c r="H10" t="n">
        <v>40.6</v>
      </c>
      <c r="I10" t="n">
        <v>60.2</v>
      </c>
      <c r="J10" t="n">
        <v>64.8</v>
      </c>
      <c r="K10" t="n">
        <v>68.3</v>
      </c>
      <c r="L10" t="n">
        <v>99.6</v>
      </c>
      <c r="M10" t="n">
        <v>80.6</v>
      </c>
      <c r="N10" t="n">
        <v>60.4</v>
      </c>
      <c r="O10" t="n">
        <v>94.8</v>
      </c>
      <c r="P10" t="n">
        <v>75</v>
      </c>
      <c r="Q10" t="n">
        <v>99.2</v>
      </c>
      <c r="R10" t="n">
        <v>93.8</v>
      </c>
      <c r="S10" t="n">
        <v>65.9</v>
      </c>
      <c r="T10" t="n">
        <v>39.2</v>
      </c>
      <c r="U10" t="n">
        <v>63.8</v>
      </c>
      <c r="V10" t="n">
        <v>68.1</v>
      </c>
      <c r="W10" t="n">
        <v>72</v>
      </c>
      <c r="X10" t="n">
        <v>80.1</v>
      </c>
      <c r="Y10" t="n">
        <v>99.1</v>
      </c>
      <c r="Z10" t="n">
        <v>84.6</v>
      </c>
      <c r="AA10" t="n">
        <v>97</v>
      </c>
      <c r="AB10" t="n">
        <v>102.2</v>
      </c>
      <c r="AC10" t="n">
        <v>85.7</v>
      </c>
      <c r="AD10" t="n">
        <v>93.5</v>
      </c>
      <c r="AE10" t="n">
        <v>87.4</v>
      </c>
      <c r="AF10" t="n">
        <v>77.1</v>
      </c>
    </row>
    <row r="11">
      <c r="A11" t="s">
        <v>26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13.1</v>
      </c>
      <c r="H11" t="n">
        <v>7</v>
      </c>
      <c r="I11" t="n">
        <v>21.8</v>
      </c>
      <c r="J11" t="n">
        <v>23</v>
      </c>
      <c r="K11" t="n">
        <v>19.8</v>
      </c>
      <c r="L11" t="n">
        <v>27.5</v>
      </c>
      <c r="M11" t="n">
        <v>26.4</v>
      </c>
      <c r="N11" t="n">
        <v>16.2</v>
      </c>
      <c r="O11" t="n">
        <v>31.4</v>
      </c>
      <c r="P11" t="n">
        <v>19.4</v>
      </c>
      <c r="Q11" t="n">
        <v>32.2</v>
      </c>
      <c r="R11" t="n">
        <v>28.5</v>
      </c>
      <c r="S11" t="n">
        <v>15.7</v>
      </c>
      <c r="T11" t="n">
        <v>11.4</v>
      </c>
      <c r="U11" t="n">
        <v>19</v>
      </c>
      <c r="V11" t="n">
        <v>20.2</v>
      </c>
      <c r="W11" t="n">
        <v>37.1</v>
      </c>
      <c r="X11" t="n">
        <v>39.2</v>
      </c>
      <c r="Y11" t="n">
        <v>37.4</v>
      </c>
      <c r="Z11" t="n">
        <v>42.4</v>
      </c>
      <c r="AA11" t="n">
        <v>52.5</v>
      </c>
      <c r="AB11" t="n">
        <v>41.8</v>
      </c>
      <c r="AC11" t="n">
        <v>41</v>
      </c>
      <c r="AD11" t="n">
        <v>44.7</v>
      </c>
      <c r="AE11" t="n">
        <v>45.7</v>
      </c>
      <c r="AF11" t="n">
        <v>36.2</v>
      </c>
    </row>
    <row r="12">
      <c r="A12" t="s">
        <v>26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120.7</v>
      </c>
      <c r="H12" t="n">
        <v>253.7</v>
      </c>
      <c r="I12" t="n">
        <v>41.1</v>
      </c>
      <c r="J12" t="n">
        <v>63.2</v>
      </c>
      <c r="K12" t="n">
        <v>66.5</v>
      </c>
      <c r="L12" t="n">
        <v>80.2</v>
      </c>
      <c r="M12" t="n">
        <v>76.7</v>
      </c>
      <c r="N12" t="n">
        <v>62.4</v>
      </c>
      <c r="O12" t="n">
        <v>86.3</v>
      </c>
      <c r="P12" t="n">
        <v>89.8</v>
      </c>
      <c r="Q12" t="n">
        <v>81.8</v>
      </c>
      <c r="R12" t="n">
        <v>90.4</v>
      </c>
      <c r="S12" t="n">
        <v>86</v>
      </c>
      <c r="T12" t="n">
        <v>49.9</v>
      </c>
      <c r="U12" t="n">
        <v>62.9</v>
      </c>
      <c r="V12" t="n">
        <v>67.2</v>
      </c>
      <c r="W12" t="n">
        <v>76.3</v>
      </c>
      <c r="X12" t="n">
        <v>58.7</v>
      </c>
      <c r="Y12" t="n">
        <v>72.3</v>
      </c>
      <c r="Z12" t="n">
        <v>60.2</v>
      </c>
      <c r="AA12" t="n">
        <v>62.7</v>
      </c>
      <c r="AB12" t="n">
        <v>82.4</v>
      </c>
      <c r="AC12" t="n">
        <v>63.8</v>
      </c>
      <c r="AD12" t="n">
        <v>94.7</v>
      </c>
      <c r="AE12" t="n">
        <v>72.5</v>
      </c>
      <c r="AF12" t="n">
        <v>79.8</v>
      </c>
    </row>
    <row r="13">
      <c r="A13" t="s">
        <v>26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58.4</v>
      </c>
      <c r="H13" t="n">
        <v>27.4</v>
      </c>
      <c r="I13" t="n">
        <v>119.5</v>
      </c>
      <c r="J13" t="n">
        <v>85.3</v>
      </c>
      <c r="K13" t="n">
        <v>92.3</v>
      </c>
      <c r="L13" t="n">
        <v>112.8</v>
      </c>
      <c r="M13" t="n">
        <v>98.8</v>
      </c>
      <c r="N13" t="n">
        <v>84.5</v>
      </c>
      <c r="O13" t="n">
        <v>109.3</v>
      </c>
      <c r="P13" t="n">
        <v>112.7</v>
      </c>
      <c r="Q13" t="n">
        <v>120.6</v>
      </c>
      <c r="R13" t="n">
        <v>110.8</v>
      </c>
      <c r="S13" t="n">
        <v>122.6</v>
      </c>
      <c r="T13" t="n">
        <v>60.3</v>
      </c>
      <c r="U13" t="n">
        <v>84.3</v>
      </c>
      <c r="V13" t="n">
        <v>90</v>
      </c>
      <c r="W13" t="n">
        <v>69.1</v>
      </c>
      <c r="X13" t="n">
        <v>90.8</v>
      </c>
      <c r="Y13" t="n">
        <v>91.7</v>
      </c>
      <c r="Z13" t="n">
        <v>121.9</v>
      </c>
      <c r="AA13" t="n">
        <v>115.4</v>
      </c>
      <c r="AB13" t="n">
        <v>231</v>
      </c>
      <c r="AC13" t="n">
        <v>170.3</v>
      </c>
      <c r="AD13" t="n">
        <v>180.8</v>
      </c>
      <c r="AE13" t="n">
        <v>137.1</v>
      </c>
      <c r="AF13" t="n">
        <v>109.3</v>
      </c>
    </row>
    <row r="14">
      <c r="A14" t="s">
        <v>26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27.8</v>
      </c>
      <c r="H14" t="n">
        <v>20.2</v>
      </c>
      <c r="I14" t="n">
        <v>48.8</v>
      </c>
      <c r="J14" t="n">
        <v>41.4</v>
      </c>
      <c r="K14" t="n">
        <v>34.5</v>
      </c>
      <c r="L14" t="n">
        <v>65.1</v>
      </c>
      <c r="M14" t="n">
        <v>44.9</v>
      </c>
      <c r="N14" t="n">
        <v>47.6</v>
      </c>
      <c r="O14" t="n">
        <v>51.3</v>
      </c>
      <c r="P14" t="n">
        <v>56.7</v>
      </c>
      <c r="Q14" t="n">
        <v>58.6</v>
      </c>
      <c r="R14" t="n">
        <v>57.6</v>
      </c>
      <c r="S14" t="n">
        <v>45.7</v>
      </c>
      <c r="T14" t="n">
        <v>35.9</v>
      </c>
      <c r="U14" t="n">
        <v>41.3</v>
      </c>
      <c r="V14" t="n">
        <v>44.1</v>
      </c>
      <c r="W14" t="n">
        <v>46.4</v>
      </c>
      <c r="X14" t="n">
        <v>56.8</v>
      </c>
      <c r="Y14" t="n">
        <v>34.3</v>
      </c>
      <c r="Z14" t="n">
        <v>48.1</v>
      </c>
      <c r="AA14" t="n">
        <v>25</v>
      </c>
      <c r="AB14" t="n">
        <v>63.7</v>
      </c>
      <c r="AC14" t="n">
        <v>49.8</v>
      </c>
      <c r="AD14" t="n">
        <v>41.7</v>
      </c>
      <c r="AE14" t="n">
        <v>70.8</v>
      </c>
      <c r="AF14" t="n">
        <v>44.3</v>
      </c>
    </row>
    <row r="15">
      <c r="A15" t="s">
        <v>26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48.5</v>
      </c>
      <c r="H15" t="n">
        <v>67.1</v>
      </c>
      <c r="I15" t="n">
        <v>69.7</v>
      </c>
      <c r="J15" t="n">
        <v>95.7</v>
      </c>
      <c r="K15" t="n">
        <v>78.7</v>
      </c>
      <c r="L15" t="n">
        <v>122.1</v>
      </c>
      <c r="M15" t="n">
        <v>87.7</v>
      </c>
      <c r="N15" t="n">
        <v>93.3</v>
      </c>
      <c r="O15" t="n">
        <v>97.3</v>
      </c>
      <c r="P15" t="n">
        <v>113.5</v>
      </c>
      <c r="Q15" t="n">
        <v>117</v>
      </c>
      <c r="R15" t="n">
        <v>111.1</v>
      </c>
      <c r="S15" t="n">
        <v>93.4</v>
      </c>
      <c r="T15" t="n">
        <v>87</v>
      </c>
      <c r="U15" t="n">
        <v>80.8</v>
      </c>
      <c r="V15" t="n">
        <v>86.3</v>
      </c>
      <c r="W15" t="n">
        <v>87.3</v>
      </c>
      <c r="X15" t="n">
        <v>98.9</v>
      </c>
      <c r="Y15" t="n">
        <v>82.8</v>
      </c>
      <c r="Z15" t="n">
        <v>102.5</v>
      </c>
      <c r="AA15" t="n">
        <v>79.6</v>
      </c>
      <c r="AB15" t="n">
        <v>135.8</v>
      </c>
      <c r="AC15" t="n">
        <v>138.7</v>
      </c>
      <c r="AD15" t="n">
        <v>108.7</v>
      </c>
      <c r="AE15" t="n">
        <v>145.2</v>
      </c>
      <c r="AF15" t="n">
        <v>101.8</v>
      </c>
    </row>
    <row r="16">
      <c r="A16" t="s">
        <v>26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20.7</v>
      </c>
      <c r="H16" t="n">
        <v>46.9</v>
      </c>
      <c r="I16" t="n">
        <v>20.9</v>
      </c>
      <c r="J16" t="n">
        <v>54.3</v>
      </c>
      <c r="K16" t="n">
        <v>44.2</v>
      </c>
      <c r="L16" t="n">
        <v>57</v>
      </c>
      <c r="M16" t="n">
        <v>42.8</v>
      </c>
      <c r="N16" t="n">
        <v>45.7</v>
      </c>
      <c r="O16" t="n">
        <v>46</v>
      </c>
      <c r="P16" t="n">
        <v>56.8</v>
      </c>
      <c r="Q16" t="n">
        <v>58.4</v>
      </c>
      <c r="R16" t="n">
        <v>53.5</v>
      </c>
      <c r="S16" t="n">
        <v>47.7</v>
      </c>
      <c r="T16" t="n">
        <v>51.1</v>
      </c>
      <c r="U16" t="n">
        <v>39.5</v>
      </c>
      <c r="V16" t="n">
        <v>42.2</v>
      </c>
      <c r="W16" t="n">
        <v>40.9</v>
      </c>
      <c r="X16" t="n">
        <v>42.1</v>
      </c>
      <c r="Y16" t="n">
        <v>48.5</v>
      </c>
      <c r="Z16" t="n">
        <v>54.4</v>
      </c>
      <c r="AA16" t="n">
        <v>54.6</v>
      </c>
      <c r="AB16" t="n">
        <v>72.1</v>
      </c>
      <c r="AC16" t="n">
        <v>88.9</v>
      </c>
      <c r="AD16" t="n">
        <v>67</v>
      </c>
      <c r="AE16" t="n">
        <v>74.4</v>
      </c>
      <c r="AF16" t="n">
        <v>57.5</v>
      </c>
    </row>
    <row r="17">
      <c r="A17" t="s">
        <v>26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33.7</v>
      </c>
      <c r="H17" t="n">
        <v>46.1</v>
      </c>
      <c r="I17" t="n">
        <v>79.4</v>
      </c>
      <c r="J17" t="n">
        <v>68.5</v>
      </c>
      <c r="K17" t="n">
        <v>94.9</v>
      </c>
      <c r="L17" t="n">
        <v>101.4</v>
      </c>
      <c r="M17" t="n">
        <v>94.1</v>
      </c>
      <c r="N17" t="n">
        <v>74.5</v>
      </c>
      <c r="O17" t="n">
        <v>95.6</v>
      </c>
      <c r="P17" t="n">
        <v>85.9</v>
      </c>
      <c r="Q17" t="n">
        <v>108.3</v>
      </c>
      <c r="R17" t="n">
        <v>105.8</v>
      </c>
      <c r="S17" t="n">
        <v>103.9</v>
      </c>
      <c r="T17" t="n">
        <v>51.7</v>
      </c>
      <c r="U17" t="n">
        <v>74.5</v>
      </c>
      <c r="V17" t="n">
        <v>79.5</v>
      </c>
      <c r="W17" t="n">
        <v>131.9</v>
      </c>
      <c r="X17" t="n">
        <v>87.4</v>
      </c>
      <c r="Y17" t="n">
        <v>86.5</v>
      </c>
      <c r="Z17" t="n">
        <v>107.2</v>
      </c>
      <c r="AA17" t="n">
        <v>98.7</v>
      </c>
      <c r="AB17" t="n">
        <v>183.3</v>
      </c>
      <c r="AC17" t="n">
        <v>269.5</v>
      </c>
      <c r="AD17" t="n">
        <v>151.8</v>
      </c>
      <c r="AE17" t="n">
        <v>127.9</v>
      </c>
      <c r="AF17" t="n">
        <v>130.1</v>
      </c>
    </row>
    <row r="18">
      <c r="A18" t="s">
        <v>26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116.8</v>
      </c>
      <c r="H18" t="n">
        <v>61</v>
      </c>
      <c r="I18" t="n">
        <v>179.2</v>
      </c>
      <c r="J18" t="n">
        <v>120.5</v>
      </c>
      <c r="K18" t="n">
        <v>172.8</v>
      </c>
      <c r="L18" t="n">
        <v>195.7</v>
      </c>
      <c r="M18" t="n">
        <v>187.3</v>
      </c>
      <c r="N18" t="n">
        <v>131.6</v>
      </c>
      <c r="O18" t="n">
        <v>160.5</v>
      </c>
      <c r="P18" t="n">
        <v>155.8</v>
      </c>
      <c r="Q18" t="n">
        <v>174.3</v>
      </c>
      <c r="R18" t="n">
        <v>232</v>
      </c>
      <c r="S18" t="n">
        <v>218.2</v>
      </c>
      <c r="T18" t="n">
        <v>216</v>
      </c>
      <c r="U18" t="n">
        <v>139.5</v>
      </c>
      <c r="V18" t="n">
        <v>149</v>
      </c>
      <c r="W18" t="n">
        <v>101.1</v>
      </c>
      <c r="X18" t="n">
        <v>117</v>
      </c>
      <c r="Y18" t="n">
        <v>127.1</v>
      </c>
      <c r="Z18" t="n">
        <v>167.7</v>
      </c>
      <c r="AA18" t="n">
        <v>152.7</v>
      </c>
      <c r="AB18" t="n">
        <v>152.8</v>
      </c>
      <c r="AC18" t="n">
        <v>155.5</v>
      </c>
      <c r="AD18" t="n">
        <v>130.8</v>
      </c>
      <c r="AE18" t="n">
        <v>125.5</v>
      </c>
      <c r="AF18" t="n">
        <v>150.7</v>
      </c>
    </row>
    <row r="19">
      <c r="A19" t="s">
        <v>26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38.3</v>
      </c>
      <c r="H19" t="n">
        <v>29.6</v>
      </c>
      <c r="I19" t="n">
        <v>66</v>
      </c>
      <c r="J19" t="n">
        <v>62.6</v>
      </c>
      <c r="K19" t="n">
        <v>66.4</v>
      </c>
      <c r="L19" t="n">
        <v>80.8</v>
      </c>
      <c r="M19" t="n">
        <v>71.7</v>
      </c>
      <c r="N19" t="n">
        <v>65.8</v>
      </c>
      <c r="O19" t="n">
        <v>78.9</v>
      </c>
      <c r="P19" t="n">
        <v>76.5</v>
      </c>
      <c r="Q19" t="n">
        <v>80.2</v>
      </c>
      <c r="R19" t="n">
        <v>87</v>
      </c>
      <c r="S19" t="n">
        <v>65.6</v>
      </c>
      <c r="T19" t="n">
        <v>48.6</v>
      </c>
      <c r="U19" t="n">
        <v>60.6</v>
      </c>
      <c r="V19" t="n">
        <v>64.7</v>
      </c>
      <c r="W19" t="n">
        <v>52.3</v>
      </c>
      <c r="X19" t="n">
        <v>61.8</v>
      </c>
      <c r="Y19" t="n">
        <v>59.9</v>
      </c>
      <c r="Z19" t="n">
        <v>72.4</v>
      </c>
      <c r="AA19" t="n">
        <v>80.2</v>
      </c>
      <c r="AB19" t="n">
        <v>125.9</v>
      </c>
      <c r="AC19" t="n">
        <v>98.5</v>
      </c>
      <c r="AD19" t="n">
        <v>105.2</v>
      </c>
      <c r="AE19" t="n">
        <v>84.6</v>
      </c>
      <c r="AF19" t="n">
        <v>126.1</v>
      </c>
    </row>
    <row r="20">
      <c r="A20" t="s">
        <v>26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18.7</v>
      </c>
      <c r="H20" t="n">
        <v>19.6</v>
      </c>
      <c r="I20" t="n">
        <v>18.5</v>
      </c>
      <c r="J20" t="n">
        <v>38.6</v>
      </c>
      <c r="K20" t="n">
        <v>26.1</v>
      </c>
      <c r="L20" t="n">
        <v>37.3</v>
      </c>
      <c r="M20" t="n">
        <v>34.7</v>
      </c>
      <c r="N20" t="n">
        <v>38.9</v>
      </c>
      <c r="O20" t="n">
        <v>40.4</v>
      </c>
      <c r="P20" t="n">
        <v>30.9</v>
      </c>
      <c r="Q20" t="n">
        <v>40.1</v>
      </c>
      <c r="R20" t="n">
        <v>36.6</v>
      </c>
      <c r="S20" t="n">
        <v>35.5</v>
      </c>
      <c r="T20" t="n">
        <v>19.2</v>
      </c>
      <c r="U20" t="n">
        <v>27.1</v>
      </c>
      <c r="V20" t="n">
        <v>29</v>
      </c>
      <c r="W20" t="n">
        <v>23.4</v>
      </c>
      <c r="X20" t="n">
        <v>36.6</v>
      </c>
      <c r="Y20" t="n">
        <v>23.3</v>
      </c>
      <c r="Z20" t="n">
        <v>20.7</v>
      </c>
      <c r="AA20" t="n">
        <v>34.6</v>
      </c>
      <c r="AB20" t="n">
        <v>70.6</v>
      </c>
      <c r="AC20" t="n">
        <v>75.1</v>
      </c>
      <c r="AD20" t="n">
        <v>50.2</v>
      </c>
      <c r="AE20" t="n">
        <v>77.6</v>
      </c>
      <c r="AF20" t="n">
        <v>75</v>
      </c>
    </row>
    <row r="21">
      <c r="A21" t="s">
        <v>26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32.1</v>
      </c>
      <c r="H21" t="n">
        <v>28.3</v>
      </c>
      <c r="I21" t="n">
        <v>43.9</v>
      </c>
      <c r="J21" t="n">
        <v>59.7</v>
      </c>
      <c r="K21" t="n">
        <v>48.3</v>
      </c>
      <c r="L21" t="n">
        <v>62.4</v>
      </c>
      <c r="M21" t="n">
        <v>56</v>
      </c>
      <c r="N21" t="n">
        <v>62.9</v>
      </c>
      <c r="O21" t="n">
        <v>72.6</v>
      </c>
      <c r="P21" t="n">
        <v>54.8</v>
      </c>
      <c r="Q21" t="n">
        <v>71.2</v>
      </c>
      <c r="R21" t="n">
        <v>65.3</v>
      </c>
      <c r="S21" t="n">
        <v>55.4</v>
      </c>
      <c r="T21" t="n">
        <v>37.4</v>
      </c>
      <c r="U21" t="n">
        <v>47.2</v>
      </c>
      <c r="V21" t="n">
        <v>50.1</v>
      </c>
      <c r="W21" t="n">
        <v>82.3</v>
      </c>
      <c r="X21" t="n">
        <v>79.6</v>
      </c>
      <c r="Y21" t="n">
        <v>94.6</v>
      </c>
      <c r="Z21" t="n">
        <v>90</v>
      </c>
      <c r="AA21" t="n">
        <v>92.7</v>
      </c>
      <c r="AB21" t="n">
        <v>153.5</v>
      </c>
      <c r="AC21" t="n">
        <v>158.7</v>
      </c>
      <c r="AD21" t="n">
        <v>130.9</v>
      </c>
      <c r="AE21" t="n">
        <v>165.5</v>
      </c>
      <c r="AF21" t="n">
        <v>142.8</v>
      </c>
    </row>
    <row r="22">
      <c r="A22" t="s">
        <v>26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13.4</v>
      </c>
      <c r="H22" t="n">
        <v>8.7</v>
      </c>
      <c r="I22" t="n">
        <v>25.4</v>
      </c>
      <c r="J22" t="n">
        <v>21.1</v>
      </c>
      <c r="K22" t="n">
        <v>22.2</v>
      </c>
      <c r="L22" t="n">
        <v>25.1</v>
      </c>
      <c r="M22" t="n">
        <v>21.3</v>
      </c>
      <c r="N22" t="n">
        <v>24</v>
      </c>
      <c r="O22" t="n">
        <v>32.2</v>
      </c>
      <c r="P22" t="n">
        <v>23.9</v>
      </c>
      <c r="Q22" t="n">
        <v>31.1</v>
      </c>
      <c r="R22" t="n">
        <v>28.7</v>
      </c>
      <c r="S22" t="n">
        <v>19.9</v>
      </c>
      <c r="T22" t="n">
        <v>18.2</v>
      </c>
      <c r="U22" t="n">
        <v>20.1</v>
      </c>
      <c r="V22" t="n">
        <v>21.1</v>
      </c>
      <c r="W22" t="n">
        <v>58.9</v>
      </c>
      <c r="X22" t="n">
        <v>43</v>
      </c>
      <c r="Y22" t="n">
        <v>71.3</v>
      </c>
      <c r="Z22" t="n">
        <v>69.3</v>
      </c>
      <c r="AA22" t="n">
        <v>58.1</v>
      </c>
      <c r="AB22" t="n">
        <v>82.9</v>
      </c>
      <c r="AC22" t="n">
        <v>83.6</v>
      </c>
      <c r="AD22" t="n">
        <v>80.7</v>
      </c>
      <c r="AE22" t="n">
        <v>87.9</v>
      </c>
      <c r="AF22" t="n">
        <v>67.8</v>
      </c>
    </row>
    <row r="23">
      <c r="A23" t="s">
        <v>26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46</v>
      </c>
      <c r="H23" t="n">
        <v>48.7</v>
      </c>
      <c r="I23" t="n">
        <v>96.6</v>
      </c>
      <c r="J23" t="n">
        <v>98.7</v>
      </c>
      <c r="K23" t="n">
        <v>100.8</v>
      </c>
      <c r="L23" t="n">
        <v>107.5</v>
      </c>
      <c r="M23" t="n">
        <v>111.6</v>
      </c>
      <c r="N23" t="n">
        <v>118.2</v>
      </c>
      <c r="O23" t="n">
        <v>113.8</v>
      </c>
      <c r="P23" t="n">
        <v>91.6</v>
      </c>
      <c r="Q23" t="n">
        <v>102.4</v>
      </c>
      <c r="R23" t="n">
        <v>146.4</v>
      </c>
      <c r="S23" t="n">
        <v>98.5</v>
      </c>
      <c r="T23" t="n">
        <v>72.7</v>
      </c>
      <c r="U23" t="n">
        <v>91.9</v>
      </c>
      <c r="V23" t="n">
        <v>97.9</v>
      </c>
      <c r="W23" t="n">
        <v>85.6</v>
      </c>
      <c r="X23" t="n">
        <v>136.5</v>
      </c>
      <c r="Y23" t="n">
        <v>298.2</v>
      </c>
      <c r="Z23" t="n">
        <v>140.6</v>
      </c>
      <c r="AA23" t="n">
        <v>135.5</v>
      </c>
      <c r="AB23" t="n">
        <v>222</v>
      </c>
      <c r="AC23" t="n">
        <v>193.4</v>
      </c>
      <c r="AD23" t="n">
        <v>170.5</v>
      </c>
      <c r="AE23" t="n">
        <v>137.1</v>
      </c>
      <c r="AF23" t="n">
        <v>192.1</v>
      </c>
    </row>
    <row r="24">
      <c r="A24" t="s">
        <v>26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346.2</v>
      </c>
      <c r="H24" t="n">
        <v>363.7</v>
      </c>
      <c r="I24" t="n">
        <v>565.8</v>
      </c>
      <c r="J24" t="n">
        <v>529.6</v>
      </c>
      <c r="K24" t="n">
        <v>731.3</v>
      </c>
      <c r="L24" t="n">
        <v>774.8</v>
      </c>
      <c r="M24" t="n">
        <v>684</v>
      </c>
      <c r="N24" t="n">
        <v>673.3</v>
      </c>
      <c r="O24" t="n">
        <v>754.8</v>
      </c>
      <c r="P24" t="n">
        <v>737</v>
      </c>
      <c r="Q24" t="n">
        <v>786.4</v>
      </c>
      <c r="R24" t="n">
        <v>873.3</v>
      </c>
      <c r="S24" t="n">
        <v>717.9</v>
      </c>
      <c r="T24" t="n">
        <v>468.5</v>
      </c>
      <c r="U24" t="n">
        <v>603.1</v>
      </c>
      <c r="V24" t="n">
        <v>644.7</v>
      </c>
      <c r="W24" t="n">
        <v>856.4</v>
      </c>
      <c r="X24" t="n">
        <v>605.6</v>
      </c>
      <c r="Y24" t="n">
        <v>717.9</v>
      </c>
      <c r="Z24" t="n">
        <v>650.3</v>
      </c>
      <c r="AA24" t="n">
        <v>617.8</v>
      </c>
      <c r="AB24" t="n">
        <v>930.6</v>
      </c>
      <c r="AC24" t="n">
        <v>867.6</v>
      </c>
      <c r="AD24" t="n">
        <v>827.3</v>
      </c>
      <c r="AE24" t="n">
        <v>694.8</v>
      </c>
      <c r="AF24" t="n">
        <v>812.9</v>
      </c>
    </row>
    <row r="25">
      <c r="A25" t="s">
        <v>26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26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26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26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313.7</v>
      </c>
      <c r="H28" t="n">
        <v>291.8</v>
      </c>
      <c r="I28" t="n">
        <v>167.4</v>
      </c>
      <c r="J28" t="n">
        <v>279.1</v>
      </c>
      <c r="K28" t="n">
        <v>274</v>
      </c>
      <c r="L28" t="n">
        <v>326.7</v>
      </c>
      <c r="M28" t="n">
        <v>406</v>
      </c>
      <c r="N28" t="n">
        <v>421.4</v>
      </c>
      <c r="O28" t="n">
        <v>340.7</v>
      </c>
      <c r="P28" t="n">
        <v>318.7</v>
      </c>
      <c r="Q28" t="n">
        <v>409.1</v>
      </c>
      <c r="R28" t="n">
        <v>395.5</v>
      </c>
      <c r="S28" t="n">
        <v>363.7</v>
      </c>
      <c r="T28" t="n">
        <v>265.9</v>
      </c>
      <c r="U28" t="n">
        <v>303.3</v>
      </c>
      <c r="V28" t="n">
        <v>317.9</v>
      </c>
      <c r="W28" t="n">
        <v>368.1</v>
      </c>
      <c r="X28" t="n">
        <v>336.5</v>
      </c>
      <c r="Y28" t="n">
        <v>284.4</v>
      </c>
      <c r="Z28" t="n">
        <v>414.7</v>
      </c>
      <c r="AA28" t="n">
        <v>323</v>
      </c>
      <c r="AB28" t="n">
        <v>299.8</v>
      </c>
      <c r="AC28" t="n">
        <v>244.3</v>
      </c>
      <c r="AD28" t="n">
        <v>391.9</v>
      </c>
      <c r="AE28" t="n">
        <v>404.5</v>
      </c>
      <c r="AF28" t="n">
        <v>635.9</v>
      </c>
    </row>
    <row r="29">
      <c r="A29" t="s">
        <v>26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26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26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26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26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26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135.7</v>
      </c>
      <c r="H34" t="n">
        <v>194.9</v>
      </c>
      <c r="I34" t="n">
        <v>343.2</v>
      </c>
      <c r="J34" t="n">
        <v>247.4</v>
      </c>
      <c r="K34" t="n">
        <v>314.9</v>
      </c>
      <c r="L34" t="n">
        <v>302.6</v>
      </c>
      <c r="M34" t="n">
        <v>405.8</v>
      </c>
      <c r="N34" t="n">
        <v>314.2</v>
      </c>
      <c r="O34" t="n">
        <v>416.9</v>
      </c>
      <c r="P34" t="n">
        <v>398.1</v>
      </c>
      <c r="Q34" t="n">
        <v>428.4</v>
      </c>
      <c r="R34" t="n">
        <v>412.7</v>
      </c>
      <c r="S34" t="n">
        <v>266.7</v>
      </c>
      <c r="T34" t="n">
        <v>232.9</v>
      </c>
      <c r="U34" t="n">
        <v>306.6</v>
      </c>
      <c r="V34" t="n">
        <v>327.2</v>
      </c>
      <c r="W34" t="n">
        <v>184.2</v>
      </c>
      <c r="X34" t="n">
        <v>278</v>
      </c>
      <c r="Y34" t="n">
        <v>217.8</v>
      </c>
      <c r="Z34" t="n">
        <v>288.3</v>
      </c>
      <c r="AA34" t="n">
        <v>409.5</v>
      </c>
      <c r="AB34" t="n">
        <v>404.8</v>
      </c>
      <c r="AC34" t="n">
        <v>561.6</v>
      </c>
      <c r="AD34" t="n">
        <v>322.4</v>
      </c>
      <c r="AE34" t="n">
        <v>257.9</v>
      </c>
      <c r="AF34" t="n">
        <v>373.9</v>
      </c>
    </row>
    <row r="35">
      <c r="A35" t="s">
        <v>26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821.4</v>
      </c>
      <c r="H35" t="n">
        <v>855.9</v>
      </c>
      <c r="I35" t="n">
        <v>612.7</v>
      </c>
      <c r="J35" t="n">
        <v>842.7</v>
      </c>
      <c r="K35" t="n">
        <v>1405.4</v>
      </c>
      <c r="L35" t="n">
        <v>858.4</v>
      </c>
      <c r="M35" t="n">
        <v>964.7</v>
      </c>
      <c r="N35" t="n">
        <v>990</v>
      </c>
      <c r="O35" t="n">
        <v>1331.4</v>
      </c>
      <c r="P35" t="n">
        <v>1600.2</v>
      </c>
      <c r="Q35" t="n">
        <v>1216.5</v>
      </c>
      <c r="R35" t="n">
        <v>1480.6</v>
      </c>
      <c r="S35" t="n">
        <v>1003.6</v>
      </c>
      <c r="T35" t="n">
        <v>963</v>
      </c>
      <c r="U35" t="n">
        <v>921.7</v>
      </c>
      <c r="V35" t="n">
        <v>972.2</v>
      </c>
      <c r="W35" t="n">
        <v>707.1</v>
      </c>
      <c r="X35" t="n">
        <v>751.5</v>
      </c>
      <c r="Y35" t="n">
        <v>813.8</v>
      </c>
      <c r="Z35" t="n">
        <v>686.8</v>
      </c>
      <c r="AA35" t="n">
        <v>779</v>
      </c>
      <c r="AB35" t="n">
        <v>831.4</v>
      </c>
      <c r="AC35" t="n">
        <v>812.6</v>
      </c>
      <c r="AD35" t="n">
        <v>742.6</v>
      </c>
      <c r="AE35" t="n">
        <v>744.1</v>
      </c>
      <c r="AF35" t="n">
        <v>895.4</v>
      </c>
    </row>
    <row r="36">
      <c r="A36" t="s">
        <v>26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20.1</v>
      </c>
      <c r="H36" t="n">
        <v>12.3</v>
      </c>
      <c r="I36" t="n">
        <v>46.7</v>
      </c>
      <c r="J36" t="n">
        <v>25.7</v>
      </c>
      <c r="K36" t="n">
        <v>37.4</v>
      </c>
      <c r="L36" t="n">
        <v>39.9</v>
      </c>
      <c r="M36" t="n">
        <v>39.5</v>
      </c>
      <c r="N36" t="n">
        <v>36.2</v>
      </c>
      <c r="O36" t="n">
        <v>39.9</v>
      </c>
      <c r="P36" t="n">
        <v>43.2</v>
      </c>
      <c r="Q36" t="n">
        <v>38.1</v>
      </c>
      <c r="R36" t="n">
        <v>48.4</v>
      </c>
      <c r="S36" t="n">
        <v>51.8</v>
      </c>
      <c r="T36" t="n">
        <v>21.1</v>
      </c>
      <c r="U36" t="n">
        <v>31.8</v>
      </c>
      <c r="V36" t="n">
        <v>33.9</v>
      </c>
      <c r="W36" t="n">
        <v>37.9</v>
      </c>
      <c r="X36" t="n">
        <v>40.3</v>
      </c>
      <c r="Y36" t="n">
        <v>30.7</v>
      </c>
      <c r="Z36" t="n">
        <v>33.9</v>
      </c>
      <c r="AA36" t="n">
        <v>23.5</v>
      </c>
      <c r="AB36" t="n">
        <v>41</v>
      </c>
      <c r="AC36" t="n">
        <v>47.6</v>
      </c>
      <c r="AD36" t="n">
        <v>42.7</v>
      </c>
      <c r="AE36" t="n">
        <v>43.9</v>
      </c>
      <c r="AF36" t="n">
        <v>47.6</v>
      </c>
    </row>
    <row r="37">
      <c r="A37" t="s">
        <v>26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693.2</v>
      </c>
      <c r="H37" t="n">
        <v>702.5</v>
      </c>
      <c r="I37" t="n">
        <v>349.4</v>
      </c>
      <c r="J37" t="n">
        <v>603.4</v>
      </c>
      <c r="K37" t="n">
        <v>1138.2</v>
      </c>
      <c r="L37" t="n">
        <v>638.6</v>
      </c>
      <c r="M37" t="n">
        <v>680.4</v>
      </c>
      <c r="N37" t="n">
        <v>639.8</v>
      </c>
      <c r="O37" t="n">
        <v>966.7</v>
      </c>
      <c r="P37" t="n">
        <v>1307.7</v>
      </c>
      <c r="Q37" t="n">
        <v>894.4</v>
      </c>
      <c r="R37" t="n">
        <v>1095.9</v>
      </c>
      <c r="S37" t="n">
        <v>671.6</v>
      </c>
      <c r="T37" t="n">
        <v>674.2</v>
      </c>
      <c r="U37" t="n">
        <v>655.7</v>
      </c>
      <c r="V37" t="n">
        <v>700.4</v>
      </c>
      <c r="W37" t="n">
        <v>425.3</v>
      </c>
      <c r="X37" t="n">
        <v>483.8</v>
      </c>
      <c r="Y37" t="n">
        <v>519.4</v>
      </c>
      <c r="Z37" t="n">
        <v>282.3</v>
      </c>
      <c r="AA37" t="n">
        <v>476.2</v>
      </c>
      <c r="AB37" t="n">
        <v>415.3</v>
      </c>
      <c r="AC37" t="n">
        <v>535.3</v>
      </c>
      <c r="AD37" t="n">
        <v>439.4</v>
      </c>
      <c r="AE37" t="n">
        <v>343.7</v>
      </c>
      <c r="AF37" t="n">
        <v>630</v>
      </c>
    </row>
    <row r="38">
      <c r="A38" t="s">
        <v>26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108.1</v>
      </c>
      <c r="H38" t="n">
        <v>141.1</v>
      </c>
      <c r="I38" t="n">
        <v>216.6</v>
      </c>
      <c r="J38" t="n">
        <v>213.6</v>
      </c>
      <c r="K38" t="n">
        <v>229.8</v>
      </c>
      <c r="L38" t="n">
        <v>179.9</v>
      </c>
      <c r="M38" t="n">
        <v>244.8</v>
      </c>
      <c r="N38" t="n">
        <v>314</v>
      </c>
      <c r="O38" t="n">
        <v>324.8</v>
      </c>
      <c r="P38" t="n">
        <v>249.3</v>
      </c>
      <c r="Q38" t="n">
        <v>284</v>
      </c>
      <c r="R38" t="n">
        <v>336.3</v>
      </c>
      <c r="S38" t="n">
        <v>280.2</v>
      </c>
      <c r="T38" t="n">
        <v>267.7</v>
      </c>
      <c r="U38" t="n">
        <v>234.2</v>
      </c>
      <c r="V38" t="n">
        <v>237.9</v>
      </c>
      <c r="W38" t="n">
        <v>243.9</v>
      </c>
      <c r="X38" t="n">
        <v>227.4</v>
      </c>
      <c r="Y38" t="n">
        <v>263.7</v>
      </c>
      <c r="Z38" t="n">
        <v>370.6</v>
      </c>
      <c r="AA38" t="n">
        <v>279.3</v>
      </c>
      <c r="AB38" t="n">
        <v>375.1</v>
      </c>
      <c r="AC38" t="n">
        <v>229.7</v>
      </c>
      <c r="AD38" t="n">
        <v>260.5</v>
      </c>
      <c r="AE38" t="n">
        <v>356.5</v>
      </c>
      <c r="AF38" t="n">
        <v>217.8</v>
      </c>
    </row>
    <row r="39">
      <c r="A39" t="s">
        <v>26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424.3</v>
      </c>
      <c r="H39" t="n">
        <v>328.2</v>
      </c>
      <c r="I39" t="n">
        <v>778.7</v>
      </c>
      <c r="J39" t="n">
        <v>691.5</v>
      </c>
      <c r="K39" t="n">
        <v>635</v>
      </c>
      <c r="L39" t="n">
        <v>762.4</v>
      </c>
      <c r="M39" t="n">
        <v>735.1</v>
      </c>
      <c r="N39" t="n">
        <v>829</v>
      </c>
      <c r="O39" t="n">
        <v>949.8</v>
      </c>
      <c r="P39" t="n">
        <v>832</v>
      </c>
      <c r="Q39" t="n">
        <v>828.2</v>
      </c>
      <c r="R39" t="n">
        <v>772.8</v>
      </c>
      <c r="S39" t="n">
        <v>1240.2</v>
      </c>
      <c r="T39" t="n">
        <v>388.7</v>
      </c>
      <c r="U39" t="n">
        <v>1129</v>
      </c>
      <c r="V39" t="n">
        <v>654.2</v>
      </c>
      <c r="W39" t="n">
        <v>475</v>
      </c>
      <c r="X39" t="n">
        <v>594.2</v>
      </c>
      <c r="Y39" t="n">
        <v>444.4</v>
      </c>
      <c r="Z39" t="n">
        <v>543</v>
      </c>
      <c r="AA39" t="n">
        <v>610.8</v>
      </c>
      <c r="AB39" t="n">
        <v>562.6</v>
      </c>
      <c r="AC39" t="n">
        <v>409.2</v>
      </c>
      <c r="AD39" t="n">
        <v>501.8</v>
      </c>
      <c r="AE39" t="n">
        <v>540.7</v>
      </c>
      <c r="AF39" t="n">
        <v>542.9</v>
      </c>
    </row>
    <row r="40">
      <c r="A40" t="s">
        <v>26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4</v>
      </c>
      <c r="H40" t="n">
        <v>4.4</v>
      </c>
      <c r="I40" t="n">
        <v>7.4</v>
      </c>
      <c r="J40" t="n">
        <v>7.6</v>
      </c>
      <c r="K40" t="n">
        <v>9.4</v>
      </c>
      <c r="L40" t="n">
        <v>7.9</v>
      </c>
      <c r="M40" t="n">
        <v>8.7</v>
      </c>
      <c r="N40" t="n">
        <v>7.4</v>
      </c>
      <c r="O40" t="n">
        <v>11.1</v>
      </c>
      <c r="P40" t="n">
        <v>11.1</v>
      </c>
      <c r="Q40" t="n">
        <v>8.1</v>
      </c>
      <c r="R40" t="n">
        <v>8.4</v>
      </c>
      <c r="S40" t="n">
        <v>7.4</v>
      </c>
      <c r="T40" t="n">
        <v>5</v>
      </c>
      <c r="U40" t="n">
        <v>10</v>
      </c>
      <c r="V40" t="n">
        <v>7.5</v>
      </c>
      <c r="W40" t="n">
        <v>18.8</v>
      </c>
      <c r="X40" t="n">
        <v>10.4</v>
      </c>
      <c r="Y40" t="n">
        <v>9.4</v>
      </c>
      <c r="Z40" t="n">
        <v>8.1</v>
      </c>
      <c r="AA40" t="n">
        <v>15.6</v>
      </c>
      <c r="AB40" t="n">
        <v>13.6</v>
      </c>
      <c r="AC40" t="n">
        <v>8.1</v>
      </c>
      <c r="AD40" t="n">
        <v>36.2</v>
      </c>
      <c r="AE40" t="n">
        <v>26.2</v>
      </c>
      <c r="AF40" t="n">
        <v>22.9</v>
      </c>
    </row>
    <row r="41">
      <c r="A41" t="s">
        <v>26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26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244.2</v>
      </c>
      <c r="H42" t="n">
        <v>288.7</v>
      </c>
      <c r="I42" t="n">
        <v>439.7</v>
      </c>
      <c r="J42" t="n">
        <v>425.5</v>
      </c>
      <c r="K42" t="n">
        <v>497.5</v>
      </c>
      <c r="L42" t="n">
        <v>568.7</v>
      </c>
      <c r="M42" t="n">
        <v>522</v>
      </c>
      <c r="N42" t="n">
        <v>507.1</v>
      </c>
      <c r="O42" t="n">
        <v>493.9</v>
      </c>
      <c r="P42" t="n">
        <v>533.9</v>
      </c>
      <c r="Q42" t="n">
        <v>604.7</v>
      </c>
      <c r="R42" t="n">
        <v>577.9</v>
      </c>
      <c r="S42" t="n">
        <v>539.1</v>
      </c>
      <c r="T42" t="n">
        <v>399.6</v>
      </c>
      <c r="U42" t="n">
        <v>442.3</v>
      </c>
      <c r="V42" t="n">
        <v>444.2</v>
      </c>
      <c r="W42" t="n">
        <v>336.4</v>
      </c>
      <c r="X42" t="n">
        <v>480.7</v>
      </c>
      <c r="Y42" t="n">
        <v>452.6</v>
      </c>
      <c r="Z42" t="n">
        <v>421.4</v>
      </c>
      <c r="AA42" t="n">
        <v>568.1</v>
      </c>
      <c r="AB42" t="n">
        <v>469.1</v>
      </c>
      <c r="AC42" t="n">
        <v>337.2</v>
      </c>
      <c r="AD42" t="n">
        <v>393.4</v>
      </c>
      <c r="AE42" t="n">
        <v>398.7</v>
      </c>
      <c r="AF42" t="n">
        <v>415.1</v>
      </c>
    </row>
    <row r="43">
      <c r="A43" t="s">
        <v>26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298.8</v>
      </c>
      <c r="H43" t="n">
        <v>354.2</v>
      </c>
      <c r="I43" t="n">
        <v>538.6</v>
      </c>
      <c r="J43" t="n">
        <v>525.6</v>
      </c>
      <c r="K43" t="n">
        <v>616.1</v>
      </c>
      <c r="L43" t="n">
        <v>693</v>
      </c>
      <c r="M43" t="n">
        <v>649.9</v>
      </c>
      <c r="N43" t="n">
        <v>619.7</v>
      </c>
      <c r="O43" t="n">
        <v>600.6</v>
      </c>
      <c r="P43" t="n">
        <v>649</v>
      </c>
      <c r="Q43" t="n">
        <v>742.8</v>
      </c>
      <c r="R43" t="n">
        <v>720.3</v>
      </c>
      <c r="S43" t="n">
        <v>683.4</v>
      </c>
      <c r="T43" t="n">
        <v>486.6</v>
      </c>
      <c r="U43" t="n">
        <v>545.4</v>
      </c>
      <c r="V43" t="n">
        <v>551.5</v>
      </c>
      <c r="W43" t="n">
        <v>477.8</v>
      </c>
      <c r="X43" t="n">
        <v>604.1</v>
      </c>
      <c r="Y43" t="n">
        <v>601.4</v>
      </c>
      <c r="Z43" t="n">
        <v>586.9</v>
      </c>
      <c r="AA43" t="n">
        <v>742.5</v>
      </c>
      <c r="AB43" t="n">
        <v>610.5</v>
      </c>
      <c r="AC43" t="n">
        <v>478</v>
      </c>
      <c r="AD43" t="n">
        <v>574</v>
      </c>
      <c r="AE43" t="n">
        <v>553.2</v>
      </c>
      <c r="AF43" t="n">
        <v>526.9</v>
      </c>
    </row>
    <row r="44">
      <c r="A44" t="s">
        <v>26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3172</v>
      </c>
      <c r="H44" t="n">
        <v>3462.7</v>
      </c>
      <c r="I44" t="n">
        <v>4274.8</v>
      </c>
      <c r="J44" t="n">
        <v>4308.7</v>
      </c>
      <c r="K44" t="n">
        <v>5327.5</v>
      </c>
      <c r="L44" t="n">
        <v>5335.2</v>
      </c>
      <c r="M44" t="n">
        <v>5248</v>
      </c>
      <c r="N44" t="n">
        <v>5123.4</v>
      </c>
      <c r="O44" t="n">
        <v>5882.7</v>
      </c>
      <c r="P44" t="n">
        <v>5981.2</v>
      </c>
      <c r="Q44" t="n">
        <v>6014.2</v>
      </c>
      <c r="R44" t="n">
        <v>6369.7</v>
      </c>
      <c r="S44" t="n">
        <v>5902.2</v>
      </c>
      <c r="T44" t="n">
        <v>3923.2</v>
      </c>
      <c r="U44" t="n">
        <v>4981.7</v>
      </c>
      <c r="V44" t="n">
        <v>4719.1</v>
      </c>
      <c r="W44" t="n">
        <v>4373.8</v>
      </c>
      <c r="X44" t="n">
        <v>4494.2</v>
      </c>
      <c r="Y44" t="n">
        <v>4721.4</v>
      </c>
      <c r="Z44" t="n">
        <v>4629.5</v>
      </c>
      <c r="AA44" t="n">
        <v>4920.6</v>
      </c>
      <c r="AB44" t="n">
        <v>5797</v>
      </c>
      <c r="AC44" t="n">
        <v>5307.9</v>
      </c>
      <c r="AD44" t="n">
        <v>5238.3</v>
      </c>
      <c r="AE44" t="n">
        <v>4985.3</v>
      </c>
      <c r="AF44" t="n">
        <v>5575.4</v>
      </c>
    </row>
    <row r="45">
      <c r="A45" t="s">
        <v>26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3149.3</v>
      </c>
      <c r="H45" t="n">
        <v>3446.4</v>
      </c>
      <c r="I45" t="n">
        <v>4242.9</v>
      </c>
      <c r="J45" t="n">
        <v>4279.3</v>
      </c>
      <c r="K45" t="n">
        <v>5295.1</v>
      </c>
      <c r="L45" t="n">
        <v>5297.2</v>
      </c>
      <c r="M45" t="n">
        <v>5214.9</v>
      </c>
      <c r="N45" t="n">
        <v>5082.1</v>
      </c>
      <c r="O45" t="n">
        <v>5841.2</v>
      </c>
      <c r="P45" t="n">
        <v>5940.5</v>
      </c>
      <c r="Q45" t="n">
        <v>5970.4</v>
      </c>
      <c r="R45" t="n">
        <v>6326.9</v>
      </c>
      <c r="S45" t="n">
        <v>5863.6</v>
      </c>
      <c r="T45" t="n">
        <v>3876.9</v>
      </c>
      <c r="U45" t="n">
        <v>4953.1</v>
      </c>
      <c r="V45" t="n">
        <v>4683.9</v>
      </c>
      <c r="W45" t="n">
        <v>4351.2</v>
      </c>
      <c r="X45" t="n">
        <v>4471.9</v>
      </c>
      <c r="Y45" t="n">
        <v>4700</v>
      </c>
      <c r="Z45" t="n">
        <v>4605.1</v>
      </c>
      <c r="AA45" t="n">
        <v>4893</v>
      </c>
      <c r="AB45" t="n">
        <v>5766.5</v>
      </c>
      <c r="AC45" t="n">
        <v>5279.1</v>
      </c>
      <c r="AD45" t="n">
        <v>5205.3</v>
      </c>
      <c r="AE45" t="n">
        <v>4955.8</v>
      </c>
      <c r="AF45" t="n">
        <v>5541.6</v>
      </c>
    </row>
    <row r="46">
      <c r="A46" t="s">
        <v>26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54.6</v>
      </c>
      <c r="H46" t="n">
        <v>65.5</v>
      </c>
      <c r="I46" t="n">
        <v>98.9</v>
      </c>
      <c r="J46" t="n">
        <v>100.1</v>
      </c>
      <c r="K46" t="n">
        <v>118.6</v>
      </c>
      <c r="L46" t="n">
        <v>124.3</v>
      </c>
      <c r="M46" t="n">
        <v>127.9</v>
      </c>
      <c r="N46" t="n">
        <v>112.6</v>
      </c>
      <c r="O46" t="n">
        <v>106.7</v>
      </c>
      <c r="P46" t="n">
        <v>115.1</v>
      </c>
      <c r="Q46" t="n">
        <v>138.1</v>
      </c>
      <c r="R46" t="n">
        <v>142.4</v>
      </c>
      <c r="S46" t="n">
        <v>144.3</v>
      </c>
      <c r="T46" t="n">
        <v>87</v>
      </c>
      <c r="U46" t="n">
        <v>103.1</v>
      </c>
      <c r="V46" t="n">
        <v>107.3</v>
      </c>
      <c r="W46" t="n">
        <v>141.4</v>
      </c>
      <c r="X46" t="n">
        <v>123.4</v>
      </c>
      <c r="Y46" t="n">
        <v>148.8</v>
      </c>
      <c r="Z46" t="n">
        <v>165.5</v>
      </c>
      <c r="AA46" t="n">
        <v>174.4</v>
      </c>
      <c r="AB46" t="n">
        <v>141.4</v>
      </c>
      <c r="AC46" t="n">
        <v>140.8</v>
      </c>
      <c r="AD46" t="n">
        <v>180.6</v>
      </c>
      <c r="AE46" t="n">
        <v>154.5</v>
      </c>
      <c r="AF46" t="n">
        <v>111.8</v>
      </c>
    </row>
    <row r="47">
      <c r="A47" t="s">
        <v>26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188.3</v>
      </c>
      <c r="H47" t="n">
        <v>198.5</v>
      </c>
      <c r="I47" t="n">
        <v>251.7</v>
      </c>
      <c r="J47" t="n">
        <v>278.2</v>
      </c>
      <c r="K47" t="n">
        <v>239.7</v>
      </c>
      <c r="L47" t="n">
        <v>269.4</v>
      </c>
      <c r="M47" t="n">
        <v>284.3</v>
      </c>
      <c r="N47" t="n">
        <v>414</v>
      </c>
      <c r="O47" t="n">
        <v>379.1</v>
      </c>
      <c r="P47" t="n">
        <v>416.6</v>
      </c>
      <c r="Q47" t="n">
        <v>441.4</v>
      </c>
      <c r="R47" t="n">
        <v>481.8</v>
      </c>
      <c r="S47" t="n">
        <v>558.9</v>
      </c>
      <c r="T47" t="n">
        <v>567.9</v>
      </c>
      <c r="U47" t="n">
        <v>404.3</v>
      </c>
      <c r="V47" t="n">
        <v>307</v>
      </c>
      <c r="W47" t="n">
        <v>269.3</v>
      </c>
      <c r="X47" t="n">
        <v>289.6</v>
      </c>
      <c r="Y47" t="n">
        <v>229</v>
      </c>
      <c r="Z47" t="n">
        <v>237.4</v>
      </c>
      <c r="AA47" t="n">
        <v>303.7</v>
      </c>
      <c r="AB47" t="n">
        <v>309.6</v>
      </c>
      <c r="AC47" t="n">
        <v>267.4</v>
      </c>
      <c r="AD47" t="n">
        <v>259.4</v>
      </c>
      <c r="AE47" t="n">
        <v>286.2</v>
      </c>
      <c r="AF47" t="n">
        <v>372.8</v>
      </c>
    </row>
    <row r="48">
      <c r="A48" t="s">
        <v>26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247.6</v>
      </c>
      <c r="H48" t="n">
        <v>257.1</v>
      </c>
      <c r="I48" t="n">
        <v>341.6</v>
      </c>
      <c r="J48" t="n">
        <v>368.8</v>
      </c>
      <c r="K48" t="n">
        <v>335.2</v>
      </c>
      <c r="L48" t="n">
        <v>393.6</v>
      </c>
      <c r="M48" t="n">
        <v>405.7</v>
      </c>
      <c r="N48" t="n">
        <v>528.1</v>
      </c>
      <c r="O48" t="n">
        <v>517.2</v>
      </c>
      <c r="P48" t="n">
        <v>555.3</v>
      </c>
      <c r="Q48" t="n">
        <v>611.8</v>
      </c>
      <c r="R48" t="n">
        <v>634.8</v>
      </c>
      <c r="S48" t="n">
        <v>702.3</v>
      </c>
      <c r="T48" t="n">
        <v>707.2</v>
      </c>
      <c r="U48" t="n">
        <v>541.9</v>
      </c>
      <c r="V48" t="n">
        <v>450.7</v>
      </c>
      <c r="W48" t="n">
        <v>366.1</v>
      </c>
      <c r="X48" t="n">
        <v>418.7</v>
      </c>
      <c r="Y48" t="n">
        <v>401.2</v>
      </c>
      <c r="Z48" t="n">
        <v>391</v>
      </c>
      <c r="AA48" t="n">
        <v>462.5</v>
      </c>
      <c r="AB48" t="n">
        <v>547.1</v>
      </c>
      <c r="AC48" t="n">
        <v>466.9</v>
      </c>
      <c r="AD48" t="n">
        <v>474.3</v>
      </c>
      <c r="AE48" t="n">
        <v>760.8</v>
      </c>
      <c r="AF48" t="n">
        <v>591.5</v>
      </c>
    </row>
    <row r="49">
      <c r="A49" t="s">
        <v>26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26.8</v>
      </c>
      <c r="H49" t="n">
        <v>26.3</v>
      </c>
      <c r="I49" t="n">
        <v>40.8</v>
      </c>
      <c r="J49" t="n">
        <v>37.3</v>
      </c>
      <c r="K49" t="n">
        <v>40.9</v>
      </c>
      <c r="L49" t="n">
        <v>58.2</v>
      </c>
      <c r="M49" t="n">
        <v>62.7</v>
      </c>
      <c r="N49" t="n">
        <v>53.4</v>
      </c>
      <c r="O49" t="n">
        <v>71.9</v>
      </c>
      <c r="P49" t="n">
        <v>64.6</v>
      </c>
      <c r="Q49" t="n">
        <v>96.9</v>
      </c>
      <c r="R49" t="n">
        <v>71.8</v>
      </c>
      <c r="S49" t="n">
        <v>67.3</v>
      </c>
      <c r="T49" t="n">
        <v>59.1</v>
      </c>
      <c r="U49" t="n">
        <v>58.5</v>
      </c>
      <c r="V49" t="n">
        <v>56.7</v>
      </c>
      <c r="W49" t="n">
        <v>49.8</v>
      </c>
      <c r="X49" t="n">
        <v>46.2</v>
      </c>
      <c r="Y49" t="n">
        <v>65.2</v>
      </c>
      <c r="Z49" t="n">
        <v>65.9</v>
      </c>
      <c r="AA49" t="n">
        <v>48.5</v>
      </c>
      <c r="AB49" t="n">
        <v>108.1</v>
      </c>
      <c r="AC49" t="n">
        <v>95</v>
      </c>
      <c r="AD49" t="n">
        <v>69.2</v>
      </c>
      <c r="AE49" t="n">
        <v>316.1</v>
      </c>
      <c r="AF49" t="n">
        <v>58.4</v>
      </c>
    </row>
    <row r="50">
      <c r="A50" t="s">
        <v>26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32.6</v>
      </c>
      <c r="H50" t="n">
        <v>32.2</v>
      </c>
      <c r="I50" t="n">
        <v>49.1</v>
      </c>
      <c r="J50" t="n">
        <v>53.2</v>
      </c>
      <c r="K50" t="n">
        <v>54.6</v>
      </c>
      <c r="L50" t="n">
        <v>66</v>
      </c>
      <c r="M50" t="n">
        <v>58.6</v>
      </c>
      <c r="N50" t="n">
        <v>60.6</v>
      </c>
      <c r="O50" t="n">
        <v>66.2</v>
      </c>
      <c r="P50" t="n">
        <v>74.1</v>
      </c>
      <c r="Q50" t="n">
        <v>73.5</v>
      </c>
      <c r="R50" t="n">
        <v>81.2</v>
      </c>
      <c r="S50" t="n">
        <v>76.2</v>
      </c>
      <c r="T50" t="n">
        <v>80.1</v>
      </c>
      <c r="U50" t="n">
        <v>79.1</v>
      </c>
      <c r="V50" t="n">
        <v>87.1</v>
      </c>
      <c r="W50" t="n">
        <v>47</v>
      </c>
      <c r="X50" t="n">
        <v>83</v>
      </c>
      <c r="Y50" t="n">
        <v>106.9</v>
      </c>
      <c r="Z50" t="n">
        <v>87.7</v>
      </c>
      <c r="AA50" t="n">
        <v>110.3</v>
      </c>
      <c r="AB50" t="n">
        <v>129.4</v>
      </c>
      <c r="AC50" t="n">
        <v>104.5</v>
      </c>
      <c r="AD50" t="n">
        <v>145.6</v>
      </c>
      <c r="AE50" t="n">
        <v>158.5</v>
      </c>
      <c r="AF50" t="n">
        <v>160.3</v>
      </c>
    </row>
    <row r="51">
      <c r="A51" t="s">
        <v>26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28.1</v>
      </c>
      <c r="H51" t="n">
        <v>28</v>
      </c>
      <c r="I51" t="n">
        <v>41</v>
      </c>
      <c r="J51" t="n">
        <v>41.9</v>
      </c>
      <c r="K51" t="n">
        <v>44.7</v>
      </c>
      <c r="L51" t="n">
        <v>52.6</v>
      </c>
      <c r="M51" t="n">
        <v>45.8</v>
      </c>
      <c r="N51" t="n">
        <v>51.8</v>
      </c>
      <c r="O51" t="n">
        <v>53.4</v>
      </c>
      <c r="P51" t="n">
        <v>60.1</v>
      </c>
      <c r="Q51" t="n">
        <v>58.8</v>
      </c>
      <c r="R51" t="n">
        <v>64.8</v>
      </c>
      <c r="S51" t="n">
        <v>65.1</v>
      </c>
      <c r="T51" t="n">
        <v>69.6</v>
      </c>
      <c r="U51" t="n">
        <v>71.8</v>
      </c>
      <c r="V51" t="n">
        <v>75.8</v>
      </c>
      <c r="W51" t="n">
        <v>30.9</v>
      </c>
      <c r="X51" t="n">
        <v>62.3</v>
      </c>
      <c r="Y51" t="n">
        <v>78.6</v>
      </c>
      <c r="Z51" t="n">
        <v>66.4</v>
      </c>
      <c r="AA51" t="n">
        <v>85.6</v>
      </c>
      <c r="AB51" t="n">
        <v>106.7</v>
      </c>
      <c r="AC51" t="n">
        <v>81.3</v>
      </c>
      <c r="AD51" t="n">
        <v>117.4</v>
      </c>
      <c r="AE51" t="n">
        <v>133.4</v>
      </c>
      <c r="AF51" t="n">
        <v>141.8</v>
      </c>
    </row>
    <row r="52">
      <c r="A52" t="s">
        <v>26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4.5</v>
      </c>
      <c r="H52" t="n">
        <v>4.2</v>
      </c>
      <c r="I52" t="n">
        <v>8.1</v>
      </c>
      <c r="J52" t="n">
        <v>11.3</v>
      </c>
      <c r="K52" t="n">
        <v>9.9</v>
      </c>
      <c r="L52" t="n">
        <v>13.4</v>
      </c>
      <c r="M52" t="n">
        <v>12.8</v>
      </c>
      <c r="N52" t="n">
        <v>8.8</v>
      </c>
      <c r="O52" t="n">
        <v>12.8</v>
      </c>
      <c r="P52" t="n">
        <v>14</v>
      </c>
      <c r="Q52" t="n">
        <v>14.7</v>
      </c>
      <c r="R52" t="n">
        <v>16.4</v>
      </c>
      <c r="S52" t="n">
        <v>11.1</v>
      </c>
      <c r="T52" t="n">
        <v>10.5</v>
      </c>
      <c r="U52" t="n">
        <v>7.3</v>
      </c>
      <c r="V52" t="n">
        <v>11.3</v>
      </c>
      <c r="W52" t="n">
        <v>16.1</v>
      </c>
      <c r="X52" t="n">
        <v>20.7</v>
      </c>
      <c r="Y52" t="n">
        <v>28.3</v>
      </c>
      <c r="Z52" t="n">
        <v>21.3</v>
      </c>
      <c r="AA52" t="n">
        <v>24.7</v>
      </c>
      <c r="AB52" t="n">
        <v>22.7</v>
      </c>
      <c r="AC52" t="n">
        <v>23.2</v>
      </c>
      <c r="AD52" t="n">
        <v>28.2</v>
      </c>
      <c r="AE52" t="n">
        <v>25.1</v>
      </c>
      <c r="AF52" t="n">
        <v>18.5</v>
      </c>
    </row>
    <row r="53">
      <c r="A53" t="s">
        <v>26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39</v>
      </c>
      <c r="H53" t="n">
        <v>23.8</v>
      </c>
      <c r="I53" t="n">
        <v>91.3</v>
      </c>
      <c r="J53" t="n">
        <v>49.9</v>
      </c>
      <c r="K53" t="n">
        <v>48.7</v>
      </c>
      <c r="L53" t="n">
        <v>68.6</v>
      </c>
      <c r="M53" t="n">
        <v>60.5</v>
      </c>
      <c r="N53" t="n">
        <v>61.9</v>
      </c>
      <c r="O53" t="n">
        <v>53.4</v>
      </c>
      <c r="P53" t="n">
        <v>72.7</v>
      </c>
      <c r="Q53" t="n">
        <v>60.4</v>
      </c>
      <c r="R53" t="n">
        <v>73.5</v>
      </c>
      <c r="S53" t="n">
        <v>56.9</v>
      </c>
      <c r="T53" t="n">
        <v>46</v>
      </c>
      <c r="U53" t="n">
        <v>50</v>
      </c>
      <c r="V53" t="n">
        <v>48.6</v>
      </c>
      <c r="W53" t="n">
        <v>32.5</v>
      </c>
      <c r="X53" t="n">
        <v>39.9</v>
      </c>
      <c r="Y53" t="n">
        <v>50.8</v>
      </c>
      <c r="Z53" t="n">
        <v>41.4</v>
      </c>
      <c r="AA53" t="n">
        <v>31.5</v>
      </c>
      <c r="AB53" t="n">
        <v>46.1</v>
      </c>
      <c r="AC53" t="n">
        <v>42</v>
      </c>
      <c r="AD53" t="n">
        <v>49.4</v>
      </c>
      <c r="AE53" t="n">
        <v>41.4</v>
      </c>
      <c r="AF53" t="n">
        <v>133.9</v>
      </c>
    </row>
    <row r="54">
      <c r="A54" t="s">
        <v>26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74.5</v>
      </c>
      <c r="H54" t="n">
        <v>37.3</v>
      </c>
      <c r="I54" t="n">
        <v>190.7</v>
      </c>
      <c r="J54" t="n">
        <v>92.7</v>
      </c>
      <c r="K54" t="n">
        <v>109.9</v>
      </c>
      <c r="L54" t="n">
        <v>142.4</v>
      </c>
      <c r="M54" t="n">
        <v>108.6</v>
      </c>
      <c r="N54" t="n">
        <v>126.2</v>
      </c>
      <c r="O54" t="n">
        <v>112.6</v>
      </c>
      <c r="P54" t="n">
        <v>134.7</v>
      </c>
      <c r="Q54" t="n">
        <v>130.1</v>
      </c>
      <c r="R54" t="n">
        <v>142.3</v>
      </c>
      <c r="S54" t="n">
        <v>150.1</v>
      </c>
      <c r="T54" t="n">
        <v>84.1</v>
      </c>
      <c r="U54" t="n">
        <v>99.1</v>
      </c>
      <c r="V54" t="n">
        <v>100.9</v>
      </c>
      <c r="W54" t="n">
        <v>134.8</v>
      </c>
      <c r="X54" t="n">
        <v>139.3</v>
      </c>
      <c r="Y54" t="n">
        <v>167.1</v>
      </c>
      <c r="Z54" t="n">
        <v>120.1</v>
      </c>
      <c r="AA54" t="n">
        <v>140.7</v>
      </c>
      <c r="AB54" t="n">
        <v>278.5</v>
      </c>
      <c r="AC54" t="n">
        <v>179.4</v>
      </c>
      <c r="AD54" t="n">
        <v>193.4</v>
      </c>
      <c r="AE54" t="n">
        <v>260.8</v>
      </c>
      <c r="AF54" t="n">
        <v>275.8</v>
      </c>
    </row>
    <row r="55">
      <c r="A55" t="s">
        <v>26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35.5</v>
      </c>
      <c r="H55" t="n">
        <v>13.5</v>
      </c>
      <c r="I55" t="n">
        <v>99.4</v>
      </c>
      <c r="J55" t="n">
        <v>42.8</v>
      </c>
      <c r="K55" t="n">
        <v>61.2</v>
      </c>
      <c r="L55" t="n">
        <v>73.8</v>
      </c>
      <c r="M55" t="n">
        <v>48.1</v>
      </c>
      <c r="N55" t="n">
        <v>64.3</v>
      </c>
      <c r="O55" t="n">
        <v>59.2</v>
      </c>
      <c r="P55" t="n">
        <v>62</v>
      </c>
      <c r="Q55" t="n">
        <v>69.7</v>
      </c>
      <c r="R55" t="n">
        <v>68.8</v>
      </c>
      <c r="S55" t="n">
        <v>93.2</v>
      </c>
      <c r="T55" t="n">
        <v>38.1</v>
      </c>
      <c r="U55" t="n">
        <v>49.1</v>
      </c>
      <c r="V55" t="n">
        <v>52.3</v>
      </c>
      <c r="W55" t="n">
        <v>102.3</v>
      </c>
      <c r="X55" t="n">
        <v>99.4</v>
      </c>
      <c r="Y55" t="n">
        <v>116.3</v>
      </c>
      <c r="Z55" t="n">
        <v>78.7</v>
      </c>
      <c r="AA55" t="n">
        <v>109.2</v>
      </c>
      <c r="AB55" t="n">
        <v>232.4</v>
      </c>
      <c r="AC55" t="n">
        <v>137.4</v>
      </c>
      <c r="AD55" t="n">
        <v>144</v>
      </c>
      <c r="AE55" t="n">
        <v>219.4</v>
      </c>
      <c r="AF55" t="n">
        <v>141.9</v>
      </c>
    </row>
    <row r="56">
      <c r="A56" t="s">
        <v>26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26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3423.7</v>
      </c>
      <c r="H57" t="n">
        <v>3724.1</v>
      </c>
      <c r="I57" t="n">
        <v>4623.8</v>
      </c>
      <c r="J57" t="n">
        <v>4685</v>
      </c>
      <c r="K57" t="n">
        <v>5672.1</v>
      </c>
      <c r="L57" t="n">
        <v>5736.7</v>
      </c>
      <c r="M57" t="n">
        <v>5662.3</v>
      </c>
      <c r="N57" t="n">
        <v>5658.8</v>
      </c>
      <c r="O57" t="n">
        <v>6411</v>
      </c>
      <c r="P57" t="n">
        <v>6547.6</v>
      </c>
      <c r="Q57" t="n">
        <v>6634.1</v>
      </c>
      <c r="R57" t="n">
        <v>7012.9</v>
      </c>
      <c r="S57" t="n">
        <v>6612</v>
      </c>
      <c r="T57" t="n">
        <v>4635.3</v>
      </c>
      <c r="U57" t="n">
        <v>5533.6</v>
      </c>
      <c r="V57" t="n">
        <v>5177.4</v>
      </c>
      <c r="W57" t="n">
        <v>4758.7</v>
      </c>
      <c r="X57" t="n">
        <v>4923.4</v>
      </c>
      <c r="Y57" t="n">
        <v>5131.9</v>
      </c>
      <c r="Z57" t="n">
        <v>5028.6</v>
      </c>
      <c r="AA57" t="n">
        <v>5398.7</v>
      </c>
      <c r="AB57" t="n">
        <v>6357.7</v>
      </c>
      <c r="AC57" t="n">
        <v>5782.9</v>
      </c>
      <c r="AD57" t="n">
        <v>5748.7</v>
      </c>
      <c r="AE57" t="n">
        <v>5772.3</v>
      </c>
      <c r="AF57" t="n">
        <v>6189.8</v>
      </c>
    </row>
    <row r="58">
      <c r="A58" t="s">
        <v>26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3423.7</v>
      </c>
      <c r="H58" t="n">
        <v>3724.1</v>
      </c>
      <c r="I58" t="n">
        <v>4623.8</v>
      </c>
      <c r="J58" t="n">
        <v>4685</v>
      </c>
      <c r="K58" t="n">
        <v>5672.1</v>
      </c>
      <c r="L58" t="n">
        <v>5736.7</v>
      </c>
      <c r="M58" t="n">
        <v>5662.3</v>
      </c>
      <c r="N58" t="n">
        <v>5658.8</v>
      </c>
      <c r="O58" t="n">
        <v>6411</v>
      </c>
      <c r="P58" t="n">
        <v>6547.6</v>
      </c>
      <c r="Q58" t="n">
        <v>6634.1</v>
      </c>
      <c r="R58" t="n">
        <v>7012.9</v>
      </c>
      <c r="S58" t="n">
        <v>6612</v>
      </c>
      <c r="T58" t="n">
        <v>4635.3</v>
      </c>
      <c r="U58" t="n">
        <v>5533.6</v>
      </c>
      <c r="V58" t="n">
        <v>5177.4</v>
      </c>
      <c r="W58" t="n">
        <v>4758.7</v>
      </c>
      <c r="X58" t="n">
        <v>4923.4</v>
      </c>
      <c r="Y58" t="n">
        <v>5131.9</v>
      </c>
      <c r="Z58" t="n">
        <v>5028.6</v>
      </c>
      <c r="AA58" t="n">
        <v>5398.7</v>
      </c>
      <c r="AB58" t="n">
        <v>6357.7</v>
      </c>
      <c r="AC58" t="n">
        <v>5782.9</v>
      </c>
      <c r="AD58" t="n">
        <v>5748.7</v>
      </c>
      <c r="AE58" t="n">
        <v>5772.3</v>
      </c>
      <c r="AF58" t="n">
        <v>6189.8</v>
      </c>
    </row>
    <row r="59">
      <c r="A59" t="s">
        <v>26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28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3.4</v>
      </c>
      <c r="H2" t="n">
        <v>5.5</v>
      </c>
      <c r="I2" t="n">
        <v>3.9</v>
      </c>
      <c r="J2" t="n">
        <v>3.6</v>
      </c>
      <c r="K2" t="n">
        <v>5.8</v>
      </c>
      <c r="L2" t="n">
        <v>5.6</v>
      </c>
      <c r="M2" t="n">
        <v>4.9</v>
      </c>
      <c r="N2" t="n">
        <v>7.4</v>
      </c>
      <c r="O2" t="n">
        <v>9.3</v>
      </c>
      <c r="P2" t="n">
        <v>7.9</v>
      </c>
      <c r="Q2" t="n">
        <v>6.9</v>
      </c>
      <c r="R2" t="n">
        <v>5</v>
      </c>
      <c r="S2" t="n">
        <v>8.1</v>
      </c>
      <c r="T2" t="n">
        <v>6.6</v>
      </c>
      <c r="U2" t="n">
        <v>7.7</v>
      </c>
      <c r="V2" t="n">
        <v>8</v>
      </c>
      <c r="W2" t="n">
        <v>6.6</v>
      </c>
      <c r="X2" t="n">
        <v>5.8</v>
      </c>
      <c r="Y2" t="n">
        <v>4.7</v>
      </c>
      <c r="Z2" t="n">
        <v>5.3</v>
      </c>
      <c r="AA2" t="n">
        <v>6.1</v>
      </c>
      <c r="AB2" t="n">
        <v>5.2</v>
      </c>
      <c r="AC2" t="n">
        <v>4.9</v>
      </c>
      <c r="AD2" t="n">
        <v>5</v>
      </c>
      <c r="AE2" t="n">
        <v>4.4</v>
      </c>
      <c r="AF2" t="n">
        <v>4.3</v>
      </c>
    </row>
    <row r="3">
      <c r="A3" t="s">
        <v>28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19.5</v>
      </c>
      <c r="H3" t="n">
        <v>13.2</v>
      </c>
      <c r="I3" t="n">
        <v>15.7</v>
      </c>
      <c r="J3" t="n">
        <v>29.9</v>
      </c>
      <c r="K3" t="n">
        <v>43.6</v>
      </c>
      <c r="L3" t="n">
        <v>28.7</v>
      </c>
      <c r="M3" t="n">
        <v>12.6</v>
      </c>
      <c r="N3" t="n">
        <v>15.2</v>
      </c>
      <c r="O3" t="n">
        <v>53.2</v>
      </c>
      <c r="P3" t="n">
        <v>37.2</v>
      </c>
      <c r="Q3" t="n">
        <v>29</v>
      </c>
      <c r="R3" t="n">
        <v>22.3</v>
      </c>
      <c r="S3" t="n">
        <v>10.9</v>
      </c>
      <c r="T3" t="n">
        <v>17.4</v>
      </c>
      <c r="U3" t="n">
        <v>31.2</v>
      </c>
      <c r="V3" t="n">
        <v>31.9</v>
      </c>
      <c r="W3" t="n">
        <v>83.5</v>
      </c>
      <c r="X3" t="n">
        <v>74.8</v>
      </c>
      <c r="Y3" t="n">
        <v>391</v>
      </c>
      <c r="Z3" t="n">
        <v>150.2</v>
      </c>
      <c r="AA3" t="n">
        <v>298.1</v>
      </c>
      <c r="AB3" t="n">
        <v>205.4</v>
      </c>
      <c r="AC3" t="n">
        <v>758.2</v>
      </c>
      <c r="AD3" t="n">
        <v>1105.8</v>
      </c>
      <c r="AE3" t="n">
        <v>568.9</v>
      </c>
      <c r="AF3" t="n">
        <v>561.2</v>
      </c>
    </row>
    <row r="4">
      <c r="A4" t="s">
        <v>28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405.1</v>
      </c>
      <c r="H4" t="n">
        <v>689.5</v>
      </c>
      <c r="I4" t="n">
        <v>574.8</v>
      </c>
      <c r="J4" t="n">
        <v>494.1</v>
      </c>
      <c r="K4" t="n">
        <v>639.7</v>
      </c>
      <c r="L4" t="n">
        <v>727.4</v>
      </c>
      <c r="M4" t="n">
        <v>507.9</v>
      </c>
      <c r="N4" t="n">
        <v>615.4</v>
      </c>
      <c r="O4" t="n">
        <v>779.6</v>
      </c>
      <c r="P4" t="n">
        <v>648.5</v>
      </c>
      <c r="Q4" t="n">
        <v>774.8</v>
      </c>
      <c r="R4" t="n">
        <v>689</v>
      </c>
      <c r="S4" t="n">
        <v>606.1</v>
      </c>
      <c r="T4" t="n">
        <v>432</v>
      </c>
      <c r="U4" t="n">
        <v>712.7</v>
      </c>
      <c r="V4" t="n">
        <v>728.8</v>
      </c>
      <c r="W4" t="n">
        <v>550.7</v>
      </c>
      <c r="X4" t="n">
        <v>486.7</v>
      </c>
      <c r="Y4" t="n">
        <v>455.8</v>
      </c>
      <c r="Z4" t="n">
        <v>467.2</v>
      </c>
      <c r="AA4" t="n">
        <v>589.9</v>
      </c>
      <c r="AB4" t="n">
        <v>452.2</v>
      </c>
      <c r="AC4" t="n">
        <v>457.8</v>
      </c>
      <c r="AD4" t="n">
        <v>456.5</v>
      </c>
      <c r="AE4" t="n">
        <v>410.2</v>
      </c>
      <c r="AF4" t="n">
        <v>364</v>
      </c>
    </row>
    <row r="5">
      <c r="A5" t="s">
        <v>28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53.5</v>
      </c>
      <c r="H5" t="n">
        <v>68.4</v>
      </c>
      <c r="I5" t="n">
        <v>61.9</v>
      </c>
      <c r="J5" t="n">
        <v>80.8</v>
      </c>
      <c r="K5" t="n">
        <v>84.2</v>
      </c>
      <c r="L5" t="n">
        <v>93.9</v>
      </c>
      <c r="M5" t="n">
        <v>61.5</v>
      </c>
      <c r="N5" t="n">
        <v>81.5</v>
      </c>
      <c r="O5" t="n">
        <v>115.2</v>
      </c>
      <c r="P5" t="n">
        <v>94.4</v>
      </c>
      <c r="Q5" t="n">
        <v>111.3</v>
      </c>
      <c r="R5" t="n">
        <v>95.6</v>
      </c>
      <c r="S5" t="n">
        <v>89.3</v>
      </c>
      <c r="T5" t="n">
        <v>73.4</v>
      </c>
      <c r="U5" t="n">
        <v>95.7</v>
      </c>
      <c r="V5" t="n">
        <v>97.9</v>
      </c>
      <c r="W5" t="n">
        <v>92.5</v>
      </c>
      <c r="X5" t="n">
        <v>78.1</v>
      </c>
      <c r="Y5" t="n">
        <v>81.1</v>
      </c>
      <c r="Z5" t="n">
        <v>98.5</v>
      </c>
      <c r="AA5" t="n">
        <v>123.3</v>
      </c>
      <c r="AB5" t="n">
        <v>83</v>
      </c>
      <c r="AC5" t="n">
        <v>66.9</v>
      </c>
      <c r="AD5" t="n">
        <v>118.7</v>
      </c>
      <c r="AE5" t="n">
        <v>114</v>
      </c>
      <c r="AF5" t="n">
        <v>85.7</v>
      </c>
    </row>
    <row r="6">
      <c r="A6" t="s">
        <v>28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32</v>
      </c>
      <c r="H6" t="n">
        <v>56.4</v>
      </c>
      <c r="I6" t="n">
        <v>66.7</v>
      </c>
      <c r="J6" t="n">
        <v>46</v>
      </c>
      <c r="K6" t="n">
        <v>67.4</v>
      </c>
      <c r="L6" t="n">
        <v>81.3</v>
      </c>
      <c r="M6" t="n">
        <v>47.4</v>
      </c>
      <c r="N6" t="n">
        <v>62</v>
      </c>
      <c r="O6" t="n">
        <v>66.5</v>
      </c>
      <c r="P6" t="n">
        <v>61</v>
      </c>
      <c r="Q6" t="n">
        <v>76.5</v>
      </c>
      <c r="R6" t="n">
        <v>96.1</v>
      </c>
      <c r="S6" t="n">
        <v>32.7</v>
      </c>
      <c r="T6" t="n">
        <v>48.9</v>
      </c>
      <c r="U6" t="n">
        <v>66.1</v>
      </c>
      <c r="V6" t="n">
        <v>67.6</v>
      </c>
      <c r="W6" t="n">
        <v>58.5</v>
      </c>
      <c r="X6" t="n">
        <v>55.2</v>
      </c>
      <c r="Y6" t="n">
        <v>36.6</v>
      </c>
      <c r="Z6" t="n">
        <v>38.4</v>
      </c>
      <c r="AA6" t="n">
        <v>44.6</v>
      </c>
      <c r="AB6" t="n">
        <v>49.9</v>
      </c>
      <c r="AC6" t="n">
        <v>55</v>
      </c>
      <c r="AD6" t="n">
        <v>39.3</v>
      </c>
      <c r="AE6" t="n">
        <v>28.3</v>
      </c>
      <c r="AF6" t="n">
        <v>29.3</v>
      </c>
    </row>
    <row r="7">
      <c r="A7" t="s">
        <v>28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55.4</v>
      </c>
      <c r="H7" t="n">
        <v>42.5</v>
      </c>
      <c r="I7" t="n">
        <v>61.2</v>
      </c>
      <c r="J7" t="n">
        <v>40.6</v>
      </c>
      <c r="K7" t="n">
        <v>68.9</v>
      </c>
      <c r="L7" t="n">
        <v>76.9</v>
      </c>
      <c r="M7" t="n">
        <v>67.5</v>
      </c>
      <c r="N7" t="n">
        <v>71.2</v>
      </c>
      <c r="O7" t="n">
        <v>63.2</v>
      </c>
      <c r="P7" t="n">
        <v>82.7</v>
      </c>
      <c r="Q7" t="n">
        <v>67.2</v>
      </c>
      <c r="R7" t="n">
        <v>60.4</v>
      </c>
      <c r="S7" t="n">
        <v>49.3</v>
      </c>
      <c r="T7" t="n">
        <v>41</v>
      </c>
      <c r="U7" t="n">
        <v>73</v>
      </c>
      <c r="V7" t="n">
        <v>74.7</v>
      </c>
      <c r="W7" t="n">
        <v>40.7</v>
      </c>
      <c r="X7" t="n">
        <v>33.6</v>
      </c>
      <c r="Y7" t="n">
        <v>25.6</v>
      </c>
      <c r="Z7" t="n">
        <v>25.4</v>
      </c>
      <c r="AA7" t="n">
        <v>49.7</v>
      </c>
      <c r="AB7" t="n">
        <v>31.2</v>
      </c>
      <c r="AC7" t="n">
        <v>33.5</v>
      </c>
      <c r="AD7" t="n">
        <v>24.4</v>
      </c>
      <c r="AE7" t="n">
        <v>23.2</v>
      </c>
      <c r="AF7" t="n">
        <v>24.3</v>
      </c>
    </row>
    <row r="8">
      <c r="A8" t="s">
        <v>28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6</v>
      </c>
      <c r="H8" t="n">
        <v>11.5</v>
      </c>
      <c r="I8" t="n">
        <v>10.3</v>
      </c>
      <c r="J8" t="n">
        <v>5.2</v>
      </c>
      <c r="K8" t="n">
        <v>20.4</v>
      </c>
      <c r="L8" t="n">
        <v>18.7</v>
      </c>
      <c r="M8" t="n">
        <v>8.1</v>
      </c>
      <c r="N8" t="n">
        <v>11.3</v>
      </c>
      <c r="O8" t="n">
        <v>7.3</v>
      </c>
      <c r="P8" t="n">
        <v>6.5</v>
      </c>
      <c r="Q8" t="n">
        <v>12.6</v>
      </c>
      <c r="R8" t="n">
        <v>10.5</v>
      </c>
      <c r="S8" t="n">
        <v>12.6</v>
      </c>
      <c r="T8" t="n">
        <v>7.1</v>
      </c>
      <c r="U8" t="n">
        <v>13</v>
      </c>
      <c r="V8" t="n">
        <v>13.3</v>
      </c>
      <c r="W8" t="n">
        <v>9.8</v>
      </c>
      <c r="X8" t="n">
        <v>7.5</v>
      </c>
      <c r="Y8" t="n">
        <v>4.8</v>
      </c>
      <c r="Z8" t="n">
        <v>6.8</v>
      </c>
      <c r="AA8" t="n">
        <v>6.4</v>
      </c>
      <c r="AB8" t="n">
        <v>4.9</v>
      </c>
      <c r="AC8" t="n">
        <v>5</v>
      </c>
      <c r="AD8" t="n">
        <v>6.2</v>
      </c>
      <c r="AE8" t="n">
        <v>5.1</v>
      </c>
      <c r="AF8" t="n">
        <v>3.6</v>
      </c>
    </row>
    <row r="9">
      <c r="A9" t="s">
        <v>28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17.5</v>
      </c>
      <c r="H9" t="n">
        <v>47.4</v>
      </c>
      <c r="I9" t="n">
        <v>37.1</v>
      </c>
      <c r="J9" t="n">
        <v>25.7</v>
      </c>
      <c r="K9" t="n">
        <v>32.1</v>
      </c>
      <c r="L9" t="n">
        <v>32</v>
      </c>
      <c r="M9" t="n">
        <v>25.3</v>
      </c>
      <c r="N9" t="n">
        <v>32.9</v>
      </c>
      <c r="O9" t="n">
        <v>44.6</v>
      </c>
      <c r="P9" t="n">
        <v>29.5</v>
      </c>
      <c r="Q9" t="n">
        <v>59</v>
      </c>
      <c r="R9" t="n">
        <v>36.9</v>
      </c>
      <c r="S9" t="n">
        <v>42.4</v>
      </c>
      <c r="T9" t="n">
        <v>15.6</v>
      </c>
      <c r="U9" t="n">
        <v>39.2</v>
      </c>
      <c r="V9" t="n">
        <v>40.1</v>
      </c>
      <c r="W9" t="n">
        <v>22.1</v>
      </c>
      <c r="X9" t="n">
        <v>22.3</v>
      </c>
      <c r="Y9" t="n">
        <v>30.7</v>
      </c>
      <c r="Z9" t="n">
        <v>19.8</v>
      </c>
      <c r="AA9" t="n">
        <v>23</v>
      </c>
      <c r="AB9" t="n">
        <v>11.2</v>
      </c>
      <c r="AC9" t="n">
        <v>12.5</v>
      </c>
      <c r="AD9" t="n">
        <v>12.1</v>
      </c>
      <c r="AE9" t="n">
        <v>12</v>
      </c>
      <c r="AF9" t="n">
        <v>9.6</v>
      </c>
    </row>
    <row r="10">
      <c r="A10" t="s">
        <v>28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30.8</v>
      </c>
      <c r="H10" t="n">
        <v>84.3</v>
      </c>
      <c r="I10" t="n">
        <v>47.7</v>
      </c>
      <c r="J10" t="n">
        <v>41.1</v>
      </c>
      <c r="K10" t="n">
        <v>51.4</v>
      </c>
      <c r="L10" t="n">
        <v>53.7</v>
      </c>
      <c r="M10" t="n">
        <v>40.8</v>
      </c>
      <c r="N10" t="n">
        <v>47.6</v>
      </c>
      <c r="O10" t="n">
        <v>76</v>
      </c>
      <c r="P10" t="n">
        <v>41.3</v>
      </c>
      <c r="Q10" t="n">
        <v>84.5</v>
      </c>
      <c r="R10" t="n">
        <v>56</v>
      </c>
      <c r="S10" t="n">
        <v>51.1</v>
      </c>
      <c r="T10" t="n">
        <v>24.2</v>
      </c>
      <c r="U10" t="n">
        <v>57.8</v>
      </c>
      <c r="V10" t="n">
        <v>59.2</v>
      </c>
      <c r="W10" t="n">
        <v>39</v>
      </c>
      <c r="X10" t="n">
        <v>34.8</v>
      </c>
      <c r="Y10" t="n">
        <v>44.6</v>
      </c>
      <c r="Z10" t="n">
        <v>36.6</v>
      </c>
      <c r="AA10" t="n">
        <v>44.3</v>
      </c>
      <c r="AB10" t="n">
        <v>29.4</v>
      </c>
      <c r="AC10" t="n">
        <v>27</v>
      </c>
      <c r="AD10" t="n">
        <v>27.5</v>
      </c>
      <c r="AE10" t="n">
        <v>28</v>
      </c>
      <c r="AF10" t="n">
        <v>23.7</v>
      </c>
    </row>
    <row r="11">
      <c r="A11" t="s">
        <v>28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13.3</v>
      </c>
      <c r="H11" t="n">
        <v>36.9</v>
      </c>
      <c r="I11" t="n">
        <v>10.6</v>
      </c>
      <c r="J11" t="n">
        <v>15.4</v>
      </c>
      <c r="K11" t="n">
        <v>19.3</v>
      </c>
      <c r="L11" t="n">
        <v>21.7</v>
      </c>
      <c r="M11" t="n">
        <v>15.5</v>
      </c>
      <c r="N11" t="n">
        <v>14.7</v>
      </c>
      <c r="O11" t="n">
        <v>31.4</v>
      </c>
      <c r="P11" t="n">
        <v>11.8</v>
      </c>
      <c r="Q11" t="n">
        <v>25.5</v>
      </c>
      <c r="R11" t="n">
        <v>19.1</v>
      </c>
      <c r="S11" t="n">
        <v>8.7</v>
      </c>
      <c r="T11" t="n">
        <v>8.6</v>
      </c>
      <c r="U11" t="n">
        <v>18.6</v>
      </c>
      <c r="V11" t="n">
        <v>19.1</v>
      </c>
      <c r="W11" t="n">
        <v>16.9</v>
      </c>
      <c r="X11" t="n">
        <v>12.5</v>
      </c>
      <c r="Y11" t="n">
        <v>13.9</v>
      </c>
      <c r="Z11" t="n">
        <v>16.8</v>
      </c>
      <c r="AA11" t="n">
        <v>21.3</v>
      </c>
      <c r="AB11" t="n">
        <v>18.2</v>
      </c>
      <c r="AC11" t="n">
        <v>14.5</v>
      </c>
      <c r="AD11" t="n">
        <v>15.4</v>
      </c>
      <c r="AE11" t="n">
        <v>16</v>
      </c>
      <c r="AF11" t="n">
        <v>14.1</v>
      </c>
    </row>
    <row r="12">
      <c r="A12" t="s">
        <v>28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32.8</v>
      </c>
      <c r="H12" t="n">
        <v>51.5</v>
      </c>
      <c r="I12" t="n">
        <v>48.7</v>
      </c>
      <c r="J12" t="n">
        <v>48</v>
      </c>
      <c r="K12" t="n">
        <v>48.2</v>
      </c>
      <c r="L12" t="n">
        <v>55.5</v>
      </c>
      <c r="M12" t="n">
        <v>37.7</v>
      </c>
      <c r="N12" t="n">
        <v>57.2</v>
      </c>
      <c r="O12" t="n">
        <v>74.9</v>
      </c>
      <c r="P12" t="n">
        <v>53.8</v>
      </c>
      <c r="Q12" t="n">
        <v>58.5</v>
      </c>
      <c r="R12" t="n">
        <v>52.1</v>
      </c>
      <c r="S12" t="n">
        <v>57.1</v>
      </c>
      <c r="T12" t="n">
        <v>26.6</v>
      </c>
      <c r="U12" t="n">
        <v>57.1</v>
      </c>
      <c r="V12" t="n">
        <v>58.3</v>
      </c>
      <c r="W12" t="n">
        <v>49.3</v>
      </c>
      <c r="X12" t="n">
        <v>42.5</v>
      </c>
      <c r="Y12" t="n">
        <v>33.1</v>
      </c>
      <c r="Z12" t="n">
        <v>32.6</v>
      </c>
      <c r="AA12" t="n">
        <v>35.9</v>
      </c>
      <c r="AB12" t="n">
        <v>30.9</v>
      </c>
      <c r="AC12" t="n">
        <v>23.2</v>
      </c>
      <c r="AD12" t="n">
        <v>30.5</v>
      </c>
      <c r="AE12" t="n">
        <v>23.6</v>
      </c>
      <c r="AF12" t="n">
        <v>21.3</v>
      </c>
    </row>
    <row r="13">
      <c r="A13" t="s">
        <v>28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52.7</v>
      </c>
      <c r="H13" t="n">
        <v>105.7</v>
      </c>
      <c r="I13" t="n">
        <v>80.9</v>
      </c>
      <c r="J13" t="n">
        <v>76</v>
      </c>
      <c r="K13" t="n">
        <v>75.6</v>
      </c>
      <c r="L13" t="n">
        <v>98.6</v>
      </c>
      <c r="M13" t="n">
        <v>71.3</v>
      </c>
      <c r="N13" t="n">
        <v>79</v>
      </c>
      <c r="O13" t="n">
        <v>120</v>
      </c>
      <c r="P13" t="n">
        <v>84.9</v>
      </c>
      <c r="Q13" t="n">
        <v>84.9</v>
      </c>
      <c r="R13" t="n">
        <v>76.7</v>
      </c>
      <c r="S13" t="n">
        <v>83</v>
      </c>
      <c r="T13" t="n">
        <v>47</v>
      </c>
      <c r="U13" t="n">
        <v>96.2</v>
      </c>
      <c r="V13" t="n">
        <v>98.4</v>
      </c>
      <c r="W13" t="n">
        <v>58.6</v>
      </c>
      <c r="X13" t="n">
        <v>57.2</v>
      </c>
      <c r="Y13" t="n">
        <v>70.4</v>
      </c>
      <c r="Z13" t="n">
        <v>75.1</v>
      </c>
      <c r="AA13" t="n">
        <v>61.3</v>
      </c>
      <c r="AB13" t="n">
        <v>45.1</v>
      </c>
      <c r="AC13" t="n">
        <v>39.5</v>
      </c>
      <c r="AD13" t="n">
        <v>40.2</v>
      </c>
      <c r="AE13" t="n">
        <v>29.3</v>
      </c>
      <c r="AF13" t="n">
        <v>26.2</v>
      </c>
    </row>
    <row r="14">
      <c r="A14" t="s">
        <v>28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29.4</v>
      </c>
      <c r="H14" t="n">
        <v>28.4</v>
      </c>
      <c r="I14" t="n">
        <v>32.9</v>
      </c>
      <c r="J14" t="n">
        <v>29.4</v>
      </c>
      <c r="K14" t="n">
        <v>18.8</v>
      </c>
      <c r="L14" t="n">
        <v>45.3</v>
      </c>
      <c r="M14" t="n">
        <v>25.9</v>
      </c>
      <c r="N14" t="n">
        <v>31.7</v>
      </c>
      <c r="O14" t="n">
        <v>41.4</v>
      </c>
      <c r="P14" t="n">
        <v>33.6</v>
      </c>
      <c r="Q14" t="n">
        <v>50.5</v>
      </c>
      <c r="R14" t="n">
        <v>48.9</v>
      </c>
      <c r="S14" t="n">
        <v>21.5</v>
      </c>
      <c r="T14" t="n">
        <v>22.8</v>
      </c>
      <c r="U14" t="n">
        <v>39.2</v>
      </c>
      <c r="V14" t="n">
        <v>40</v>
      </c>
      <c r="W14" t="n">
        <v>22.4</v>
      </c>
      <c r="X14" t="n">
        <v>20.8</v>
      </c>
      <c r="Y14" t="n">
        <v>13.6</v>
      </c>
      <c r="Z14" t="n">
        <v>13.7</v>
      </c>
      <c r="AA14" t="n">
        <v>19</v>
      </c>
      <c r="AB14" t="n">
        <v>22</v>
      </c>
      <c r="AC14" t="n">
        <v>29.1</v>
      </c>
      <c r="AD14" t="n">
        <v>23.4</v>
      </c>
      <c r="AE14" t="n">
        <v>27.4</v>
      </c>
      <c r="AF14" t="n">
        <v>22.8</v>
      </c>
    </row>
    <row r="15">
      <c r="A15" t="s">
        <v>28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53.3</v>
      </c>
      <c r="H15" t="n">
        <v>67.7</v>
      </c>
      <c r="I15" t="n">
        <v>58.9</v>
      </c>
      <c r="J15" t="n">
        <v>42.4</v>
      </c>
      <c r="K15" t="n">
        <v>47.2</v>
      </c>
      <c r="L15" t="n">
        <v>84.3</v>
      </c>
      <c r="M15" t="n">
        <v>43</v>
      </c>
      <c r="N15" t="n">
        <v>59.1</v>
      </c>
      <c r="O15" t="n">
        <v>73.7</v>
      </c>
      <c r="P15" t="n">
        <v>67</v>
      </c>
      <c r="Q15" t="n">
        <v>78.4</v>
      </c>
      <c r="R15" t="n">
        <v>79</v>
      </c>
      <c r="S15" t="n">
        <v>40.3</v>
      </c>
      <c r="T15" t="n">
        <v>47.1</v>
      </c>
      <c r="U15" t="n">
        <v>70.5</v>
      </c>
      <c r="V15" t="n">
        <v>72</v>
      </c>
      <c r="W15" t="n">
        <v>39.8</v>
      </c>
      <c r="X15" t="n">
        <v>30.9</v>
      </c>
      <c r="Y15" t="n">
        <v>27.9</v>
      </c>
      <c r="Z15" t="n">
        <v>25.8</v>
      </c>
      <c r="AA15" t="n">
        <v>30.9</v>
      </c>
      <c r="AB15" t="n">
        <v>32.2</v>
      </c>
      <c r="AC15" t="n">
        <v>38.7</v>
      </c>
      <c r="AD15" t="n">
        <v>32.2</v>
      </c>
      <c r="AE15" t="n">
        <v>35.4</v>
      </c>
      <c r="AF15" t="n">
        <v>30</v>
      </c>
    </row>
    <row r="16">
      <c r="A16" t="s">
        <v>28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23.9</v>
      </c>
      <c r="H16" t="n">
        <v>39.3</v>
      </c>
      <c r="I16" t="n">
        <v>26</v>
      </c>
      <c r="J16" t="n">
        <v>13</v>
      </c>
      <c r="K16" t="n">
        <v>28.4</v>
      </c>
      <c r="L16" t="n">
        <v>39</v>
      </c>
      <c r="M16" t="n">
        <v>17.1</v>
      </c>
      <c r="N16" t="n">
        <v>27.4</v>
      </c>
      <c r="O16" t="n">
        <v>32.3</v>
      </c>
      <c r="P16" t="n">
        <v>33.4</v>
      </c>
      <c r="Q16" t="n">
        <v>27.9</v>
      </c>
      <c r="R16" t="n">
        <v>30.1</v>
      </c>
      <c r="S16" t="n">
        <v>18.8</v>
      </c>
      <c r="T16" t="n">
        <v>24.3</v>
      </c>
      <c r="U16" t="n">
        <v>31.3</v>
      </c>
      <c r="V16" t="n">
        <v>32</v>
      </c>
      <c r="W16" t="n">
        <v>17.4</v>
      </c>
      <c r="X16" t="n">
        <v>10.1</v>
      </c>
      <c r="Y16" t="n">
        <v>14.3</v>
      </c>
      <c r="Z16" t="n">
        <v>12.1</v>
      </c>
      <c r="AA16" t="n">
        <v>11.9</v>
      </c>
      <c r="AB16" t="n">
        <v>10.2</v>
      </c>
      <c r="AC16" t="n">
        <v>9.6</v>
      </c>
      <c r="AD16" t="n">
        <v>8.8</v>
      </c>
      <c r="AE16" t="n">
        <v>8</v>
      </c>
      <c r="AF16" t="n">
        <v>7.2</v>
      </c>
    </row>
    <row r="17">
      <c r="A17" t="s">
        <v>28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28.4</v>
      </c>
      <c r="H17" t="n">
        <v>64.4</v>
      </c>
      <c r="I17" t="n">
        <v>37.7</v>
      </c>
      <c r="J17" t="n">
        <v>47</v>
      </c>
      <c r="K17" t="n">
        <v>68.8</v>
      </c>
      <c r="L17" t="n">
        <v>61.6</v>
      </c>
      <c r="M17" t="n">
        <v>49.5</v>
      </c>
      <c r="N17" t="n">
        <v>47.8</v>
      </c>
      <c r="O17" t="n">
        <v>73.2</v>
      </c>
      <c r="P17" t="n">
        <v>60.6</v>
      </c>
      <c r="Q17" t="n">
        <v>71.1</v>
      </c>
      <c r="R17" t="n">
        <v>62.5</v>
      </c>
      <c r="S17" t="n">
        <v>85.4</v>
      </c>
      <c r="T17" t="n">
        <v>30.3</v>
      </c>
      <c r="U17" t="n">
        <v>67.9</v>
      </c>
      <c r="V17" t="n">
        <v>69.4</v>
      </c>
      <c r="W17" t="n">
        <v>58</v>
      </c>
      <c r="X17" t="n">
        <v>55</v>
      </c>
      <c r="Y17" t="n">
        <v>55.9</v>
      </c>
      <c r="Z17" t="n">
        <v>51.1</v>
      </c>
      <c r="AA17" t="n">
        <v>113.4</v>
      </c>
      <c r="AB17" t="n">
        <v>87.7</v>
      </c>
      <c r="AC17" t="n">
        <v>107.2</v>
      </c>
      <c r="AD17" t="n">
        <v>66.4</v>
      </c>
      <c r="AE17" t="n">
        <v>62.8</v>
      </c>
      <c r="AF17" t="n">
        <v>60.3</v>
      </c>
    </row>
    <row r="18">
      <c r="A18" t="s">
        <v>28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25.3</v>
      </c>
      <c r="H18" t="n">
        <v>77.8</v>
      </c>
      <c r="I18" t="n">
        <v>36.2</v>
      </c>
      <c r="J18" t="n">
        <v>36.9</v>
      </c>
      <c r="K18" t="n">
        <v>60.5</v>
      </c>
      <c r="L18" t="n">
        <v>55.1</v>
      </c>
      <c r="M18" t="n">
        <v>41</v>
      </c>
      <c r="N18" t="n">
        <v>46.6</v>
      </c>
      <c r="O18" t="n">
        <v>51.4</v>
      </c>
      <c r="P18" t="n">
        <v>49.8</v>
      </c>
      <c r="Q18" t="n">
        <v>73.5</v>
      </c>
      <c r="R18" t="n">
        <v>47.5</v>
      </c>
      <c r="S18" t="n">
        <v>58.6</v>
      </c>
      <c r="T18" t="n">
        <v>56.7</v>
      </c>
      <c r="U18" t="n">
        <v>59.7</v>
      </c>
      <c r="V18" t="n">
        <v>61</v>
      </c>
      <c r="W18" t="n">
        <v>60.1</v>
      </c>
      <c r="X18" t="n">
        <v>60.7</v>
      </c>
      <c r="Y18" t="n">
        <v>45</v>
      </c>
      <c r="Z18" t="n">
        <v>42.3</v>
      </c>
      <c r="AA18" t="n">
        <v>49.4</v>
      </c>
      <c r="AB18" t="n">
        <v>24.2</v>
      </c>
      <c r="AC18" t="n">
        <v>33.1</v>
      </c>
      <c r="AD18" t="n">
        <v>29.2</v>
      </c>
      <c r="AE18" t="n">
        <v>28.9</v>
      </c>
      <c r="AF18" t="n">
        <v>25.2</v>
      </c>
    </row>
    <row r="19">
      <c r="A19" t="s">
        <v>28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34.9</v>
      </c>
      <c r="H19" t="n">
        <v>59.3</v>
      </c>
      <c r="I19" t="n">
        <v>64.6</v>
      </c>
      <c r="J19" t="n">
        <v>30.1</v>
      </c>
      <c r="K19" t="n">
        <v>47.1</v>
      </c>
      <c r="L19" t="n">
        <v>47.8</v>
      </c>
      <c r="M19" t="n">
        <v>40.1</v>
      </c>
      <c r="N19" t="n">
        <v>52.1</v>
      </c>
      <c r="O19" t="n">
        <v>58.2</v>
      </c>
      <c r="P19" t="n">
        <v>46.5</v>
      </c>
      <c r="Q19" t="n">
        <v>56.3</v>
      </c>
      <c r="R19" t="n">
        <v>52.6</v>
      </c>
      <c r="S19" t="n">
        <v>46.7</v>
      </c>
      <c r="T19" t="n">
        <v>29.7</v>
      </c>
      <c r="U19" t="n">
        <v>55.7</v>
      </c>
      <c r="V19" t="n">
        <v>57</v>
      </c>
      <c r="W19" t="n">
        <v>44.4</v>
      </c>
      <c r="X19" t="n">
        <v>31.2</v>
      </c>
      <c r="Y19" t="n">
        <v>30.8</v>
      </c>
      <c r="Z19" t="n">
        <v>34.6</v>
      </c>
      <c r="AA19" t="n">
        <v>30.7</v>
      </c>
      <c r="AB19" t="n">
        <v>33.7</v>
      </c>
      <c r="AC19" t="n">
        <v>28.7</v>
      </c>
      <c r="AD19" t="n">
        <v>41.9</v>
      </c>
      <c r="AE19" t="n">
        <v>31.6</v>
      </c>
      <c r="AF19" t="n">
        <v>34.4</v>
      </c>
    </row>
    <row r="20">
      <c r="A20" t="s">
        <v>28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93.6</v>
      </c>
      <c r="H20" t="n">
        <v>68</v>
      </c>
      <c r="I20" t="n">
        <v>77.6</v>
      </c>
      <c r="J20" t="n">
        <v>62.9</v>
      </c>
      <c r="K20" t="n">
        <v>98.7</v>
      </c>
      <c r="L20" t="n">
        <v>157.5</v>
      </c>
      <c r="M20" t="n">
        <v>61.5</v>
      </c>
      <c r="N20" t="n">
        <v>173.4</v>
      </c>
      <c r="O20" t="n">
        <v>143.4</v>
      </c>
      <c r="P20" t="n">
        <v>98.8</v>
      </c>
      <c r="Q20" t="n">
        <v>78</v>
      </c>
      <c r="R20" t="n">
        <v>62.2</v>
      </c>
      <c r="S20" t="n">
        <v>148.2</v>
      </c>
      <c r="T20" t="n">
        <v>71</v>
      </c>
      <c r="U20" t="n">
        <v>119.6</v>
      </c>
      <c r="V20" t="n">
        <v>122.3</v>
      </c>
      <c r="W20" t="n">
        <v>82.1</v>
      </c>
      <c r="X20" t="n">
        <v>101</v>
      </c>
      <c r="Y20" t="n">
        <v>74.8</v>
      </c>
      <c r="Z20" t="n">
        <v>58.5</v>
      </c>
      <c r="AA20" t="n">
        <v>108.2</v>
      </c>
      <c r="AB20" t="n">
        <v>66.5</v>
      </c>
      <c r="AC20" t="n">
        <v>67</v>
      </c>
      <c r="AD20" t="n">
        <v>79.4</v>
      </c>
      <c r="AE20" t="n">
        <v>83.2</v>
      </c>
      <c r="AF20" t="n">
        <v>99.8</v>
      </c>
    </row>
    <row r="21">
      <c r="A21" t="s">
        <v>28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122.8</v>
      </c>
      <c r="H21" t="n">
        <v>103.4</v>
      </c>
      <c r="I21" t="n">
        <v>111</v>
      </c>
      <c r="J21" t="n">
        <v>102.5</v>
      </c>
      <c r="K21" t="n">
        <v>137.5</v>
      </c>
      <c r="L21" t="n">
        <v>197.4</v>
      </c>
      <c r="M21" t="n">
        <v>92.4</v>
      </c>
      <c r="N21" t="n">
        <v>220.5</v>
      </c>
      <c r="O21" t="n">
        <v>204.4</v>
      </c>
      <c r="P21" t="n">
        <v>132</v>
      </c>
      <c r="Q21" t="n">
        <v>140.5</v>
      </c>
      <c r="R21" t="n">
        <v>124.4</v>
      </c>
      <c r="S21" t="n">
        <v>183.9</v>
      </c>
      <c r="T21" t="n">
        <v>104.8</v>
      </c>
      <c r="U21" t="n">
        <v>169.9</v>
      </c>
      <c r="V21" t="n">
        <v>173.6</v>
      </c>
      <c r="W21" t="n">
        <v>148.7</v>
      </c>
      <c r="X21" t="n">
        <v>134.3</v>
      </c>
      <c r="Y21" t="n">
        <v>110.9</v>
      </c>
      <c r="Z21" t="n">
        <v>96.5</v>
      </c>
      <c r="AA21" t="n">
        <v>153</v>
      </c>
      <c r="AB21" t="n">
        <v>101.5</v>
      </c>
      <c r="AC21" t="n">
        <v>106.9</v>
      </c>
      <c r="AD21" t="n">
        <v>129.5</v>
      </c>
      <c r="AE21" t="n">
        <v>135.4</v>
      </c>
      <c r="AF21" t="n">
        <v>142.6</v>
      </c>
    </row>
    <row r="22">
      <c r="A22" t="s">
        <v>28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29.2</v>
      </c>
      <c r="H22" t="n">
        <v>35.4</v>
      </c>
      <c r="I22" t="n">
        <v>33.4</v>
      </c>
      <c r="J22" t="n">
        <v>39.6</v>
      </c>
      <c r="K22" t="n">
        <v>38.8</v>
      </c>
      <c r="L22" t="n">
        <v>39.9</v>
      </c>
      <c r="M22" t="n">
        <v>30.9</v>
      </c>
      <c r="N22" t="n">
        <v>47.1</v>
      </c>
      <c r="O22" t="n">
        <v>61</v>
      </c>
      <c r="P22" t="n">
        <v>33.2</v>
      </c>
      <c r="Q22" t="n">
        <v>62.5</v>
      </c>
      <c r="R22" t="n">
        <v>62.2</v>
      </c>
      <c r="S22" t="n">
        <v>35.7</v>
      </c>
      <c r="T22" t="n">
        <v>33.8</v>
      </c>
      <c r="U22" t="n">
        <v>50.3</v>
      </c>
      <c r="V22" t="n">
        <v>51.3</v>
      </c>
      <c r="W22" t="n">
        <v>66.6</v>
      </c>
      <c r="X22" t="n">
        <v>33.3</v>
      </c>
      <c r="Y22" t="n">
        <v>36.1</v>
      </c>
      <c r="Z22" t="n">
        <v>38</v>
      </c>
      <c r="AA22" t="n">
        <v>44.8</v>
      </c>
      <c r="AB22" t="n">
        <v>35</v>
      </c>
      <c r="AC22" t="n">
        <v>39.9</v>
      </c>
      <c r="AD22" t="n">
        <v>50.1</v>
      </c>
      <c r="AE22" t="n">
        <v>52.2</v>
      </c>
      <c r="AF22" t="n">
        <v>42.8</v>
      </c>
    </row>
    <row r="23">
      <c r="A23" t="s">
        <v>28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88.4</v>
      </c>
      <c r="H23" t="n">
        <v>178.3</v>
      </c>
      <c r="I23" t="n">
        <v>149.4</v>
      </c>
      <c r="J23" t="n">
        <v>82.4</v>
      </c>
      <c r="K23" t="n">
        <v>118.9</v>
      </c>
      <c r="L23" t="n">
        <v>163.4</v>
      </c>
      <c r="M23" t="n">
        <v>109.1</v>
      </c>
      <c r="N23" t="n">
        <v>177.4</v>
      </c>
      <c r="O23" t="n">
        <v>134.5</v>
      </c>
      <c r="P23" t="n">
        <v>123</v>
      </c>
      <c r="Q23" t="n">
        <v>150.2</v>
      </c>
      <c r="R23" t="n">
        <v>149.1</v>
      </c>
      <c r="S23" t="n">
        <v>125.5</v>
      </c>
      <c r="T23" t="n">
        <v>88.9</v>
      </c>
      <c r="U23" t="n">
        <v>160.3</v>
      </c>
      <c r="V23" t="n">
        <v>163.9</v>
      </c>
      <c r="W23" t="n">
        <v>99</v>
      </c>
      <c r="X23" t="n">
        <v>73.6</v>
      </c>
      <c r="Y23" t="n">
        <v>93.5</v>
      </c>
      <c r="Z23" t="n">
        <v>189.6</v>
      </c>
      <c r="AA23" t="n">
        <v>217.4</v>
      </c>
      <c r="AB23" t="n">
        <v>192.6</v>
      </c>
      <c r="AC23" t="n">
        <v>187</v>
      </c>
      <c r="AD23" t="n">
        <v>141.4</v>
      </c>
      <c r="AE23" t="n">
        <v>114.5</v>
      </c>
      <c r="AF23" t="n">
        <v>126</v>
      </c>
    </row>
    <row r="24">
      <c r="A24" t="s">
        <v>28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333</v>
      </c>
      <c r="H24" t="n">
        <v>704.9</v>
      </c>
      <c r="I24" t="n">
        <v>552.5</v>
      </c>
      <c r="J24" t="n">
        <v>436.7</v>
      </c>
      <c r="K24" t="n">
        <v>532.8</v>
      </c>
      <c r="L24" t="n">
        <v>503.8</v>
      </c>
      <c r="M24" t="n">
        <v>423.3</v>
      </c>
      <c r="N24" t="n">
        <v>691.4</v>
      </c>
      <c r="O24" t="n">
        <v>610.2</v>
      </c>
      <c r="P24" t="n">
        <v>592.6</v>
      </c>
      <c r="Q24" t="n">
        <v>650</v>
      </c>
      <c r="R24" t="n">
        <v>634.4</v>
      </c>
      <c r="S24" t="n">
        <v>548.6</v>
      </c>
      <c r="T24" t="n">
        <v>277.1</v>
      </c>
      <c r="U24" t="n">
        <v>638.8</v>
      </c>
      <c r="V24" t="n">
        <v>653.4</v>
      </c>
      <c r="W24" t="n">
        <v>453.9</v>
      </c>
      <c r="X24" t="n">
        <v>333.3</v>
      </c>
      <c r="Y24" t="n">
        <v>280.3</v>
      </c>
      <c r="Z24" t="n">
        <v>302.9</v>
      </c>
      <c r="AA24" t="n">
        <v>354.8</v>
      </c>
      <c r="AB24" t="n">
        <v>310.9</v>
      </c>
      <c r="AC24" t="n">
        <v>332.7</v>
      </c>
      <c r="AD24" t="n">
        <v>302.9</v>
      </c>
      <c r="AE24" t="n">
        <v>256.4</v>
      </c>
      <c r="AF24" t="n">
        <v>198.3</v>
      </c>
    </row>
    <row r="25">
      <c r="A25" t="s">
        <v>28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28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28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28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343.1</v>
      </c>
      <c r="H28" t="n">
        <v>469.1</v>
      </c>
      <c r="I28" t="n">
        <v>477.5</v>
      </c>
      <c r="J28" t="n">
        <v>464.6</v>
      </c>
      <c r="K28" t="n">
        <v>388.5</v>
      </c>
      <c r="L28" t="n">
        <v>408</v>
      </c>
      <c r="M28" t="n">
        <v>580.4</v>
      </c>
      <c r="N28" t="n">
        <v>345.9</v>
      </c>
      <c r="O28" t="n">
        <v>400.4</v>
      </c>
      <c r="P28" t="n">
        <v>567.7</v>
      </c>
      <c r="Q28" t="n">
        <v>766.5</v>
      </c>
      <c r="R28" t="n">
        <v>794.7</v>
      </c>
      <c r="S28" t="n">
        <v>580.1</v>
      </c>
      <c r="T28" t="n">
        <v>300.8</v>
      </c>
      <c r="U28" t="n">
        <v>550.9</v>
      </c>
      <c r="V28" t="n">
        <v>558.7</v>
      </c>
      <c r="W28" t="n">
        <v>260</v>
      </c>
      <c r="X28" t="n">
        <v>228.8</v>
      </c>
      <c r="Y28" t="n">
        <v>306.1</v>
      </c>
      <c r="Z28" t="n">
        <v>374.4</v>
      </c>
      <c r="AA28" t="n">
        <v>291.7</v>
      </c>
      <c r="AB28" t="n">
        <v>251.6</v>
      </c>
      <c r="AC28" t="n">
        <v>326.9</v>
      </c>
      <c r="AD28" t="n">
        <v>540.2</v>
      </c>
      <c r="AE28" t="n">
        <v>531.5</v>
      </c>
      <c r="AF28" t="n">
        <v>687.3</v>
      </c>
    </row>
    <row r="29">
      <c r="A29" t="s">
        <v>28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28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28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28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28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28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1093.3</v>
      </c>
      <c r="H34" t="n">
        <v>416.7</v>
      </c>
      <c r="I34" t="n">
        <v>829.7</v>
      </c>
      <c r="J34" t="n">
        <v>765.1</v>
      </c>
      <c r="K34" t="n">
        <v>1106.7</v>
      </c>
      <c r="L34" t="n">
        <v>1515.3</v>
      </c>
      <c r="M34" t="n">
        <v>606.5</v>
      </c>
      <c r="N34" t="n">
        <v>904.9</v>
      </c>
      <c r="O34" t="n">
        <v>1369.9</v>
      </c>
      <c r="P34" t="n">
        <v>1169.7</v>
      </c>
      <c r="Q34" t="n">
        <v>1018.5</v>
      </c>
      <c r="R34" t="n">
        <v>1007.7</v>
      </c>
      <c r="S34" t="n">
        <v>664.3</v>
      </c>
      <c r="T34" t="n">
        <v>874.5</v>
      </c>
      <c r="U34" t="n">
        <v>1126</v>
      </c>
      <c r="V34" t="n">
        <v>1151.2</v>
      </c>
      <c r="W34" t="n">
        <v>636.5</v>
      </c>
      <c r="X34" t="n">
        <v>406.9</v>
      </c>
      <c r="Y34" t="n">
        <v>320.8</v>
      </c>
      <c r="Z34" t="n">
        <v>392.6</v>
      </c>
      <c r="AA34" t="n">
        <v>385.9</v>
      </c>
      <c r="AB34" t="n">
        <v>374.2</v>
      </c>
      <c r="AC34" t="n">
        <v>419.8</v>
      </c>
      <c r="AD34" t="n">
        <v>391.9</v>
      </c>
      <c r="AE34" t="n">
        <v>345.6</v>
      </c>
      <c r="AF34" t="n">
        <v>316.3</v>
      </c>
    </row>
    <row r="35">
      <c r="A35" t="s">
        <v>28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2030.4</v>
      </c>
      <c r="H35" t="n">
        <v>2883</v>
      </c>
      <c r="I35" t="n">
        <v>2652.6</v>
      </c>
      <c r="J35" t="n">
        <v>2778.5</v>
      </c>
      <c r="K35" t="n">
        <v>2996.6</v>
      </c>
      <c r="L35" t="n">
        <v>2305.2</v>
      </c>
      <c r="M35" t="n">
        <v>3448.7</v>
      </c>
      <c r="N35" t="n">
        <v>2539.7</v>
      </c>
      <c r="O35" t="n">
        <v>2916.2</v>
      </c>
      <c r="P35" t="n">
        <v>3472.6</v>
      </c>
      <c r="Q35" t="n">
        <v>2629.5</v>
      </c>
      <c r="R35" t="n">
        <v>2629.8</v>
      </c>
      <c r="S35" t="n">
        <v>2959.9</v>
      </c>
      <c r="T35" t="n">
        <v>2272.7</v>
      </c>
      <c r="U35" t="n">
        <v>3384.3</v>
      </c>
      <c r="V35" t="n">
        <v>3450.3</v>
      </c>
      <c r="W35" t="n">
        <v>4170.3</v>
      </c>
      <c r="X35" t="n">
        <v>4518.5</v>
      </c>
      <c r="Y35" t="n">
        <v>3991</v>
      </c>
      <c r="Z35" t="n">
        <v>4579.7</v>
      </c>
      <c r="AA35" t="n">
        <v>3484.4</v>
      </c>
      <c r="AB35" t="n">
        <v>4954.2</v>
      </c>
      <c r="AC35" t="n">
        <v>4858.8</v>
      </c>
      <c r="AD35" t="n">
        <v>4394.7</v>
      </c>
      <c r="AE35" t="n">
        <v>4304.2</v>
      </c>
      <c r="AF35" t="n">
        <v>4308.2</v>
      </c>
    </row>
    <row r="36">
      <c r="A36" t="s">
        <v>28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417.8</v>
      </c>
      <c r="H36" t="n">
        <v>587.1</v>
      </c>
      <c r="I36" t="n">
        <v>415.1</v>
      </c>
      <c r="J36" t="n">
        <v>635.8</v>
      </c>
      <c r="K36" t="n">
        <v>588.4</v>
      </c>
      <c r="L36" t="n">
        <v>570</v>
      </c>
      <c r="M36" t="n">
        <v>991.9</v>
      </c>
      <c r="N36" t="n">
        <v>564.3</v>
      </c>
      <c r="O36" t="n">
        <v>639.7</v>
      </c>
      <c r="P36" t="n">
        <v>835.7</v>
      </c>
      <c r="Q36" t="n">
        <v>515.2</v>
      </c>
      <c r="R36" t="n">
        <v>472.7</v>
      </c>
      <c r="S36" t="n">
        <v>697.7</v>
      </c>
      <c r="T36" t="n">
        <v>312.8</v>
      </c>
      <c r="U36" t="n">
        <v>743.9</v>
      </c>
      <c r="V36" t="n">
        <v>760.5</v>
      </c>
      <c r="W36" t="n">
        <v>822.2</v>
      </c>
      <c r="X36" t="n">
        <v>540.7</v>
      </c>
      <c r="Y36" t="n">
        <v>415.5</v>
      </c>
      <c r="Z36" t="n">
        <v>354</v>
      </c>
      <c r="AA36" t="n">
        <v>248.5</v>
      </c>
      <c r="AB36" t="n">
        <v>195.3</v>
      </c>
      <c r="AC36" t="n">
        <v>273.5</v>
      </c>
      <c r="AD36" t="n">
        <v>362.4</v>
      </c>
      <c r="AE36" t="n">
        <v>317.3</v>
      </c>
      <c r="AF36" t="n">
        <v>301.4</v>
      </c>
    </row>
    <row r="37">
      <c r="A37" t="s">
        <v>28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1416.7</v>
      </c>
      <c r="H37" t="n">
        <v>1970.7</v>
      </c>
      <c r="I37" t="n">
        <v>2009.2</v>
      </c>
      <c r="J37" t="n">
        <v>1933.1</v>
      </c>
      <c r="K37" t="n">
        <v>2200.4</v>
      </c>
      <c r="L37" t="n">
        <v>1532.1</v>
      </c>
      <c r="M37" t="n">
        <v>2324.8</v>
      </c>
      <c r="N37" t="n">
        <v>1295.6</v>
      </c>
      <c r="O37" t="n">
        <v>1927.1</v>
      </c>
      <c r="P37" t="n">
        <v>2224.2</v>
      </c>
      <c r="Q37" t="n">
        <v>1798.8</v>
      </c>
      <c r="R37" t="n">
        <v>1818.9</v>
      </c>
      <c r="S37" t="n">
        <v>2051.1</v>
      </c>
      <c r="T37" t="n">
        <v>1664</v>
      </c>
      <c r="U37" t="n">
        <v>2270.1</v>
      </c>
      <c r="V37" t="n">
        <v>2321.1</v>
      </c>
      <c r="W37" t="n">
        <v>3036.6</v>
      </c>
      <c r="X37" t="n">
        <v>3702.8</v>
      </c>
      <c r="Y37" t="n">
        <v>3292.7</v>
      </c>
      <c r="Z37" t="n">
        <v>3698.4</v>
      </c>
      <c r="AA37" t="n">
        <v>2747.9</v>
      </c>
      <c r="AB37" t="n">
        <v>4392</v>
      </c>
      <c r="AC37" t="n">
        <v>4292.3</v>
      </c>
      <c r="AD37" t="n">
        <v>3691.5</v>
      </c>
      <c r="AE37" t="n">
        <v>3614.1</v>
      </c>
      <c r="AF37" t="n">
        <v>3702</v>
      </c>
    </row>
    <row r="38">
      <c r="A38" t="s">
        <v>28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195.9</v>
      </c>
      <c r="H38" t="n">
        <v>325.2</v>
      </c>
      <c r="I38" t="n">
        <v>228.3</v>
      </c>
      <c r="J38" t="n">
        <v>209.6</v>
      </c>
      <c r="K38" t="n">
        <v>207.8</v>
      </c>
      <c r="L38" t="n">
        <v>203.1</v>
      </c>
      <c r="M38" t="n">
        <v>132</v>
      </c>
      <c r="N38" t="n">
        <v>679.8</v>
      </c>
      <c r="O38" t="n">
        <v>349.4</v>
      </c>
      <c r="P38" t="n">
        <v>412.7</v>
      </c>
      <c r="Q38" t="n">
        <v>315.5</v>
      </c>
      <c r="R38" t="n">
        <v>338.2</v>
      </c>
      <c r="S38" t="n">
        <v>211.1</v>
      </c>
      <c r="T38" t="n">
        <v>295.9</v>
      </c>
      <c r="U38" t="n">
        <v>370.3</v>
      </c>
      <c r="V38" t="n">
        <v>368.7</v>
      </c>
      <c r="W38" t="n">
        <v>311.5</v>
      </c>
      <c r="X38" t="n">
        <v>275</v>
      </c>
      <c r="Y38" t="n">
        <v>282.8</v>
      </c>
      <c r="Z38" t="n">
        <v>527.3</v>
      </c>
      <c r="AA38" t="n">
        <v>488</v>
      </c>
      <c r="AB38" t="n">
        <v>366.9</v>
      </c>
      <c r="AC38" t="n">
        <v>293</v>
      </c>
      <c r="AD38" t="n">
        <v>340.8</v>
      </c>
      <c r="AE38" t="n">
        <v>372.8</v>
      </c>
      <c r="AF38" t="n">
        <v>304.8</v>
      </c>
    </row>
    <row r="39">
      <c r="A39" t="s">
        <v>28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237.7</v>
      </c>
      <c r="H39" t="n">
        <v>294.7</v>
      </c>
      <c r="I39" t="n">
        <v>257.6</v>
      </c>
      <c r="J39" t="n">
        <v>248.9</v>
      </c>
      <c r="K39" t="n">
        <v>189.8</v>
      </c>
      <c r="L39" t="n">
        <v>184.8</v>
      </c>
      <c r="M39" t="n">
        <v>277.1</v>
      </c>
      <c r="N39" t="n">
        <v>222.6</v>
      </c>
      <c r="O39" t="n">
        <v>311.6</v>
      </c>
      <c r="P39" t="n">
        <v>236.5</v>
      </c>
      <c r="Q39" t="n">
        <v>212.6</v>
      </c>
      <c r="R39" t="n">
        <v>256.5</v>
      </c>
      <c r="S39" t="n">
        <v>320.6</v>
      </c>
      <c r="T39" t="n">
        <v>622.3</v>
      </c>
      <c r="U39" t="n">
        <v>158.3</v>
      </c>
      <c r="V39" t="n">
        <v>321.1</v>
      </c>
      <c r="W39" t="n">
        <v>304.9</v>
      </c>
      <c r="X39" t="n">
        <v>318.7</v>
      </c>
      <c r="Y39" t="n">
        <v>271.3</v>
      </c>
      <c r="Z39" t="n">
        <v>291.2</v>
      </c>
      <c r="AA39" t="n">
        <v>380.2</v>
      </c>
      <c r="AB39" t="n">
        <v>413.4</v>
      </c>
      <c r="AC39" t="n">
        <v>346.7</v>
      </c>
      <c r="AD39" t="n">
        <v>579.3</v>
      </c>
      <c r="AE39" t="n">
        <v>524.4</v>
      </c>
      <c r="AF39" t="n">
        <v>593.5</v>
      </c>
    </row>
    <row r="40">
      <c r="A40" t="s">
        <v>28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44.9</v>
      </c>
      <c r="H40" t="n">
        <v>60.1</v>
      </c>
      <c r="I40" t="n">
        <v>56.6</v>
      </c>
      <c r="J40" t="n">
        <v>56.6</v>
      </c>
      <c r="K40" t="n">
        <v>47.2</v>
      </c>
      <c r="L40" t="n">
        <v>60.8</v>
      </c>
      <c r="M40" t="n">
        <v>43.6</v>
      </c>
      <c r="N40" t="n">
        <v>81.7</v>
      </c>
      <c r="O40" t="n">
        <v>72.3</v>
      </c>
      <c r="P40" t="n">
        <v>356.9</v>
      </c>
      <c r="Q40" t="n">
        <v>47.2</v>
      </c>
      <c r="R40" t="n">
        <v>18.7</v>
      </c>
      <c r="S40" t="n">
        <v>46.1</v>
      </c>
      <c r="T40" t="n">
        <v>45.8</v>
      </c>
      <c r="U40" t="n">
        <v>93.3</v>
      </c>
      <c r="V40" t="n">
        <v>76.1</v>
      </c>
      <c r="W40" t="n">
        <v>125</v>
      </c>
      <c r="X40" t="n">
        <v>65.6</v>
      </c>
      <c r="Y40" t="n">
        <v>72.4</v>
      </c>
      <c r="Z40" t="n">
        <v>44.4</v>
      </c>
      <c r="AA40" t="n">
        <v>155.5</v>
      </c>
      <c r="AB40" t="n">
        <v>65</v>
      </c>
      <c r="AC40" t="n">
        <v>91.4</v>
      </c>
      <c r="AD40" t="n">
        <v>152.4</v>
      </c>
      <c r="AE40" t="n">
        <v>109.6</v>
      </c>
      <c r="AF40" t="n">
        <v>142.6</v>
      </c>
    </row>
    <row r="41">
      <c r="A41" t="s">
        <v>28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28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224.4</v>
      </c>
      <c r="H42" t="n">
        <v>310.6</v>
      </c>
      <c r="I42" t="n">
        <v>251.2</v>
      </c>
      <c r="J42" t="n">
        <v>241.9</v>
      </c>
      <c r="K42" t="n">
        <v>353.3</v>
      </c>
      <c r="L42" t="n">
        <v>305.5</v>
      </c>
      <c r="M42" t="n">
        <v>246.2</v>
      </c>
      <c r="N42" t="n">
        <v>339.3</v>
      </c>
      <c r="O42" t="n">
        <v>351.9</v>
      </c>
      <c r="P42" t="n">
        <v>316.4</v>
      </c>
      <c r="Q42" t="n">
        <v>404.1</v>
      </c>
      <c r="R42" t="n">
        <v>342.4</v>
      </c>
      <c r="S42" t="n">
        <v>223.4</v>
      </c>
      <c r="T42" t="n">
        <v>219.1</v>
      </c>
      <c r="U42" t="n">
        <v>362.9</v>
      </c>
      <c r="V42" t="n">
        <v>344</v>
      </c>
      <c r="W42" t="n">
        <v>437.5</v>
      </c>
      <c r="X42" t="n">
        <v>363.8</v>
      </c>
      <c r="Y42" t="n">
        <v>369.6</v>
      </c>
      <c r="Z42" t="n">
        <v>648.1</v>
      </c>
      <c r="AA42" t="n">
        <v>575.2</v>
      </c>
      <c r="AB42" t="n">
        <v>533</v>
      </c>
      <c r="AC42" t="n">
        <v>382.3</v>
      </c>
      <c r="AD42" t="n">
        <v>376.2</v>
      </c>
      <c r="AE42" t="n">
        <v>409.7</v>
      </c>
      <c r="AF42" t="n">
        <v>387.8</v>
      </c>
    </row>
    <row r="43">
      <c r="A43" t="s">
        <v>28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286.2</v>
      </c>
      <c r="H43" t="n">
        <v>403.1</v>
      </c>
      <c r="I43" t="n">
        <v>326.5</v>
      </c>
      <c r="J43" t="n">
        <v>313.3</v>
      </c>
      <c r="K43" t="n">
        <v>432</v>
      </c>
      <c r="L43" t="n">
        <v>402.8</v>
      </c>
      <c r="M43" t="n">
        <v>324.9</v>
      </c>
      <c r="N43" t="n">
        <v>437.1</v>
      </c>
      <c r="O43" t="n">
        <v>458.1</v>
      </c>
      <c r="P43" t="n">
        <v>402.4</v>
      </c>
      <c r="Q43" t="n">
        <v>505.4</v>
      </c>
      <c r="R43" t="n">
        <v>437</v>
      </c>
      <c r="S43" t="n">
        <v>333.9</v>
      </c>
      <c r="T43" t="n">
        <v>280.7</v>
      </c>
      <c r="U43" t="n">
        <v>471.8</v>
      </c>
      <c r="V43" t="n">
        <v>452.9</v>
      </c>
      <c r="W43" t="n">
        <v>580.6</v>
      </c>
      <c r="X43" t="n">
        <v>451.7</v>
      </c>
      <c r="Y43" t="n">
        <v>471.8</v>
      </c>
      <c r="Z43" t="n">
        <v>783.2</v>
      </c>
      <c r="AA43" t="n">
        <v>715.5</v>
      </c>
      <c r="AB43" t="n">
        <v>614.6</v>
      </c>
      <c r="AC43" t="n">
        <v>486.8</v>
      </c>
      <c r="AD43" t="n">
        <v>488.9</v>
      </c>
      <c r="AE43" t="n">
        <v>548.3</v>
      </c>
      <c r="AF43" t="n">
        <v>495.4</v>
      </c>
    </row>
    <row r="44">
      <c r="A44" t="s">
        <v>28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5010.9</v>
      </c>
      <c r="H44" t="n">
        <v>6221.7</v>
      </c>
      <c r="I44" t="n">
        <v>6012.1</v>
      </c>
      <c r="J44" t="n">
        <v>5783.8</v>
      </c>
      <c r="K44" t="n">
        <v>6651.6</v>
      </c>
      <c r="L44" t="n">
        <v>6505.4</v>
      </c>
      <c r="M44" t="n">
        <v>6429.9</v>
      </c>
      <c r="N44" t="n">
        <v>6255.4</v>
      </c>
      <c r="O44" t="n">
        <v>7314.8</v>
      </c>
      <c r="P44" t="n">
        <v>7520</v>
      </c>
      <c r="Q44" t="n">
        <v>6944.3</v>
      </c>
      <c r="R44" t="n">
        <v>6806</v>
      </c>
      <c r="S44" t="n">
        <v>6396.8</v>
      </c>
      <c r="T44" t="n">
        <v>5336.5</v>
      </c>
      <c r="U44" t="n">
        <v>7482.2</v>
      </c>
      <c r="V44" t="n">
        <v>7760.9</v>
      </c>
      <c r="W44" t="n">
        <v>7361.3</v>
      </c>
      <c r="X44" t="n">
        <v>7128.5</v>
      </c>
      <c r="Y44" t="n">
        <v>6753.9</v>
      </c>
      <c r="Z44" t="n">
        <v>7770.8</v>
      </c>
      <c r="AA44" t="n">
        <v>7002.6</v>
      </c>
      <c r="AB44" t="n">
        <v>7975.7</v>
      </c>
      <c r="AC44" t="n">
        <v>8365.8</v>
      </c>
      <c r="AD44" t="n">
        <v>8622.4</v>
      </c>
      <c r="AE44" t="n">
        <v>7827.3</v>
      </c>
      <c r="AF44" t="n">
        <v>7903.8</v>
      </c>
    </row>
    <row r="45">
      <c r="A45" t="s">
        <v>28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5007.5</v>
      </c>
      <c r="H45" t="n">
        <v>6216.2</v>
      </c>
      <c r="I45" t="n">
        <v>6008.2</v>
      </c>
      <c r="J45" t="n">
        <v>5780.2</v>
      </c>
      <c r="K45" t="n">
        <v>6645.8</v>
      </c>
      <c r="L45" t="n">
        <v>6499.8</v>
      </c>
      <c r="M45" t="n">
        <v>6425</v>
      </c>
      <c r="N45" t="n">
        <v>6248</v>
      </c>
      <c r="O45" t="n">
        <v>7305.5</v>
      </c>
      <c r="P45" t="n">
        <v>7512.1</v>
      </c>
      <c r="Q45" t="n">
        <v>6937.4</v>
      </c>
      <c r="R45" t="n">
        <v>6801</v>
      </c>
      <c r="S45" t="n">
        <v>6388.7</v>
      </c>
      <c r="T45" t="n">
        <v>5329.9</v>
      </c>
      <c r="U45" t="n">
        <v>7474.5</v>
      </c>
      <c r="V45" t="n">
        <v>7752.9</v>
      </c>
      <c r="W45" t="n">
        <v>7354.7</v>
      </c>
      <c r="X45" t="n">
        <v>7122.7</v>
      </c>
      <c r="Y45" t="n">
        <v>6749.2</v>
      </c>
      <c r="Z45" t="n">
        <v>7765.5</v>
      </c>
      <c r="AA45" t="n">
        <v>6996.5</v>
      </c>
      <c r="AB45" t="n">
        <v>7970.5</v>
      </c>
      <c r="AC45" t="n">
        <v>8360.9</v>
      </c>
      <c r="AD45" t="n">
        <v>8617.4</v>
      </c>
      <c r="AE45" t="n">
        <v>7822.9</v>
      </c>
      <c r="AF45" t="n">
        <v>7899.5</v>
      </c>
    </row>
    <row r="46">
      <c r="A46" t="s">
        <v>28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61.8</v>
      </c>
      <c r="H46" t="n">
        <v>92.5</v>
      </c>
      <c r="I46" t="n">
        <v>75.3</v>
      </c>
      <c r="J46" t="n">
        <v>71.4</v>
      </c>
      <c r="K46" t="n">
        <v>78.7</v>
      </c>
      <c r="L46" t="n">
        <v>97.3</v>
      </c>
      <c r="M46" t="n">
        <v>78.7</v>
      </c>
      <c r="N46" t="n">
        <v>97.8</v>
      </c>
      <c r="O46" t="n">
        <v>106.2</v>
      </c>
      <c r="P46" t="n">
        <v>86</v>
      </c>
      <c r="Q46" t="n">
        <v>101.3</v>
      </c>
      <c r="R46" t="n">
        <v>94.6</v>
      </c>
      <c r="S46" t="n">
        <v>110.5</v>
      </c>
      <c r="T46" t="n">
        <v>61.6</v>
      </c>
      <c r="U46" t="n">
        <v>108.9</v>
      </c>
      <c r="V46" t="n">
        <v>108.9</v>
      </c>
      <c r="W46" t="n">
        <v>143.1</v>
      </c>
      <c r="X46" t="n">
        <v>87.9</v>
      </c>
      <c r="Y46" t="n">
        <v>102.2</v>
      </c>
      <c r="Z46" t="n">
        <v>135.1</v>
      </c>
      <c r="AA46" t="n">
        <v>140.3</v>
      </c>
      <c r="AB46" t="n">
        <v>81.6</v>
      </c>
      <c r="AC46" t="n">
        <v>104.5</v>
      </c>
      <c r="AD46" t="n">
        <v>112.7</v>
      </c>
      <c r="AE46" t="n">
        <v>138.6</v>
      </c>
      <c r="AF46" t="n">
        <v>107.6</v>
      </c>
    </row>
    <row r="47">
      <c r="A47" t="s">
        <v>28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189.6</v>
      </c>
      <c r="H47" t="n">
        <v>202.9</v>
      </c>
      <c r="I47" t="n">
        <v>244.6</v>
      </c>
      <c r="J47" t="n">
        <v>293</v>
      </c>
      <c r="K47" t="n">
        <v>253.1</v>
      </c>
      <c r="L47" t="n">
        <v>264.8</v>
      </c>
      <c r="M47" t="n">
        <v>295.2</v>
      </c>
      <c r="N47" t="n">
        <v>411.3</v>
      </c>
      <c r="O47" t="n">
        <v>362.7</v>
      </c>
      <c r="P47" t="n">
        <v>392.8</v>
      </c>
      <c r="Q47" t="n">
        <v>450.2</v>
      </c>
      <c r="R47" t="n">
        <v>470</v>
      </c>
      <c r="S47" t="n">
        <v>528.4</v>
      </c>
      <c r="T47" t="n">
        <v>556.8</v>
      </c>
      <c r="U47" t="n">
        <v>385.9</v>
      </c>
      <c r="V47" t="n">
        <v>281.4</v>
      </c>
      <c r="W47" t="n">
        <v>300.3</v>
      </c>
      <c r="X47" t="n">
        <v>405.5</v>
      </c>
      <c r="Y47" t="n">
        <v>294.7</v>
      </c>
      <c r="Z47" t="n">
        <v>360.1</v>
      </c>
      <c r="AA47" t="n">
        <v>607.2</v>
      </c>
      <c r="AB47" t="n">
        <v>403.9</v>
      </c>
      <c r="AC47" t="n">
        <v>251.8</v>
      </c>
      <c r="AD47" t="n">
        <v>228.2</v>
      </c>
      <c r="AE47" t="n">
        <v>241.7</v>
      </c>
      <c r="AF47" t="n">
        <v>612.9</v>
      </c>
    </row>
    <row r="48">
      <c r="A48" t="s">
        <v>28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307</v>
      </c>
      <c r="H48" t="n">
        <v>330.5</v>
      </c>
      <c r="I48" t="n">
        <v>384.8</v>
      </c>
      <c r="J48" t="n">
        <v>434</v>
      </c>
      <c r="K48" t="n">
        <v>391.7</v>
      </c>
      <c r="L48" t="n">
        <v>432.4</v>
      </c>
      <c r="M48" t="n">
        <v>449.5</v>
      </c>
      <c r="N48" t="n">
        <v>569.3</v>
      </c>
      <c r="O48" t="n">
        <v>553.1</v>
      </c>
      <c r="P48" t="n">
        <v>588.3</v>
      </c>
      <c r="Q48" t="n">
        <v>655</v>
      </c>
      <c r="R48" t="n">
        <v>629.1</v>
      </c>
      <c r="S48" t="n">
        <v>687.4</v>
      </c>
      <c r="T48" t="n">
        <v>708.7</v>
      </c>
      <c r="U48" t="n">
        <v>608.2</v>
      </c>
      <c r="V48" t="n">
        <v>500.6</v>
      </c>
      <c r="W48" t="n">
        <v>471.5</v>
      </c>
      <c r="X48" t="n">
        <v>541.6</v>
      </c>
      <c r="Y48" t="n">
        <v>463.5</v>
      </c>
      <c r="Z48" t="n">
        <v>529.8</v>
      </c>
      <c r="AA48" t="n">
        <v>870.3</v>
      </c>
      <c r="AB48" t="n">
        <v>706.3</v>
      </c>
      <c r="AC48" t="n">
        <v>495.3</v>
      </c>
      <c r="AD48" t="n">
        <v>584.8</v>
      </c>
      <c r="AE48" t="n">
        <v>742.9</v>
      </c>
      <c r="AF48" t="n">
        <v>983.1</v>
      </c>
    </row>
    <row r="49">
      <c r="A49" t="s">
        <v>28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25</v>
      </c>
      <c r="H49" t="n">
        <v>26.9</v>
      </c>
      <c r="I49" t="n">
        <v>22.4</v>
      </c>
      <c r="J49" t="n">
        <v>25.2</v>
      </c>
      <c r="K49" t="n">
        <v>26</v>
      </c>
      <c r="L49" t="n">
        <v>39.7</v>
      </c>
      <c r="M49" t="n">
        <v>44.1</v>
      </c>
      <c r="N49" t="n">
        <v>39.5</v>
      </c>
      <c r="O49" t="n">
        <v>50.6</v>
      </c>
      <c r="P49" t="n">
        <v>44.4</v>
      </c>
      <c r="Q49" t="n">
        <v>65.3</v>
      </c>
      <c r="R49" t="n">
        <v>40</v>
      </c>
      <c r="S49" t="n">
        <v>48.8</v>
      </c>
      <c r="T49" t="n">
        <v>41.5</v>
      </c>
      <c r="U49" t="n">
        <v>48.9</v>
      </c>
      <c r="V49" t="n">
        <v>47</v>
      </c>
      <c r="W49" t="n">
        <v>68.1</v>
      </c>
      <c r="X49" t="n">
        <v>42</v>
      </c>
      <c r="Y49" t="n">
        <v>52.7</v>
      </c>
      <c r="Z49" t="n">
        <v>64.2</v>
      </c>
      <c r="AA49" t="n">
        <v>61.8</v>
      </c>
      <c r="AB49" t="n">
        <v>85.6</v>
      </c>
      <c r="AC49" t="n">
        <v>68.4</v>
      </c>
      <c r="AD49" t="n">
        <v>66.9</v>
      </c>
      <c r="AE49" t="n">
        <v>257.6</v>
      </c>
      <c r="AF49" t="n">
        <v>82.5</v>
      </c>
    </row>
    <row r="50">
      <c r="A50" t="s">
        <v>28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92.5</v>
      </c>
      <c r="H50" t="n">
        <v>100.7</v>
      </c>
      <c r="I50" t="n">
        <v>117.8</v>
      </c>
      <c r="J50" t="n">
        <v>115.8</v>
      </c>
      <c r="K50" t="n">
        <v>112.6</v>
      </c>
      <c r="L50" t="n">
        <v>127.9</v>
      </c>
      <c r="M50" t="n">
        <v>110.1</v>
      </c>
      <c r="N50" t="n">
        <v>118.5</v>
      </c>
      <c r="O50" t="n">
        <v>139.8</v>
      </c>
      <c r="P50" t="n">
        <v>151</v>
      </c>
      <c r="Q50" t="n">
        <v>139.5</v>
      </c>
      <c r="R50" t="n">
        <v>119.1</v>
      </c>
      <c r="S50" t="n">
        <v>110.2</v>
      </c>
      <c r="T50" t="n">
        <v>110.3</v>
      </c>
      <c r="U50" t="n">
        <v>173.5</v>
      </c>
      <c r="V50" t="n">
        <v>172.1</v>
      </c>
      <c r="W50" t="n">
        <v>103.1</v>
      </c>
      <c r="X50" t="n">
        <v>94</v>
      </c>
      <c r="Y50" t="n">
        <v>116.2</v>
      </c>
      <c r="Z50" t="n">
        <v>105.5</v>
      </c>
      <c r="AA50" t="n">
        <v>201.3</v>
      </c>
      <c r="AB50" t="n">
        <v>216.8</v>
      </c>
      <c r="AC50" t="n">
        <v>175.1</v>
      </c>
      <c r="AD50" t="n">
        <v>289.8</v>
      </c>
      <c r="AE50" t="n">
        <v>243.6</v>
      </c>
      <c r="AF50" t="n">
        <v>287.6</v>
      </c>
    </row>
    <row r="51">
      <c r="A51" t="s">
        <v>28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86.3</v>
      </c>
      <c r="H51" t="n">
        <v>94.6</v>
      </c>
      <c r="I51" t="n">
        <v>109.8</v>
      </c>
      <c r="J51" t="n">
        <v>109.5</v>
      </c>
      <c r="K51" t="n">
        <v>107.9</v>
      </c>
      <c r="L51" t="n">
        <v>117.6</v>
      </c>
      <c r="M51" t="n">
        <v>103.8</v>
      </c>
      <c r="N51" t="n">
        <v>112.8</v>
      </c>
      <c r="O51" t="n">
        <v>116.2</v>
      </c>
      <c r="P51" t="n">
        <v>141.9</v>
      </c>
      <c r="Q51" t="n">
        <v>126.9</v>
      </c>
      <c r="R51" t="n">
        <v>110.5</v>
      </c>
      <c r="S51" t="n">
        <v>104.9</v>
      </c>
      <c r="T51" t="n">
        <v>104.9</v>
      </c>
      <c r="U51" t="n">
        <v>164.6</v>
      </c>
      <c r="V51" t="n">
        <v>162.8</v>
      </c>
      <c r="W51" t="n">
        <v>91.8</v>
      </c>
      <c r="X51" t="n">
        <v>86.2</v>
      </c>
      <c r="Y51" t="n">
        <v>109.5</v>
      </c>
      <c r="Z51" t="n">
        <v>101.2</v>
      </c>
      <c r="AA51" t="n">
        <v>194.8</v>
      </c>
      <c r="AB51" t="n">
        <v>211.7</v>
      </c>
      <c r="AC51" t="n">
        <v>170.6</v>
      </c>
      <c r="AD51" t="n">
        <v>280.5</v>
      </c>
      <c r="AE51" t="n">
        <v>235.7</v>
      </c>
      <c r="AF51" t="n">
        <v>279.9</v>
      </c>
    </row>
    <row r="52">
      <c r="A52" t="s">
        <v>28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6.2</v>
      </c>
      <c r="H52" t="n">
        <v>6.1</v>
      </c>
      <c r="I52" t="n">
        <v>8</v>
      </c>
      <c r="J52" t="n">
        <v>6.3</v>
      </c>
      <c r="K52" t="n">
        <v>4.7</v>
      </c>
      <c r="L52" t="n">
        <v>10.3</v>
      </c>
      <c r="M52" t="n">
        <v>6.3</v>
      </c>
      <c r="N52" t="n">
        <v>5.7</v>
      </c>
      <c r="O52" t="n">
        <v>23.6</v>
      </c>
      <c r="P52" t="n">
        <v>9.1</v>
      </c>
      <c r="Q52" t="n">
        <v>12.6</v>
      </c>
      <c r="R52" t="n">
        <v>8.6</v>
      </c>
      <c r="S52" t="n">
        <v>5.3</v>
      </c>
      <c r="T52" t="n">
        <v>5.4</v>
      </c>
      <c r="U52" t="n">
        <v>8.9</v>
      </c>
      <c r="V52" t="n">
        <v>9.3</v>
      </c>
      <c r="W52" t="n">
        <v>11.3</v>
      </c>
      <c r="X52" t="n">
        <v>7.8</v>
      </c>
      <c r="Y52" t="n">
        <v>6.7</v>
      </c>
      <c r="Z52" t="n">
        <v>4.3</v>
      </c>
      <c r="AA52" t="n">
        <v>6.5</v>
      </c>
      <c r="AB52" t="n">
        <v>5.1</v>
      </c>
      <c r="AC52" t="n">
        <v>4.5</v>
      </c>
      <c r="AD52" t="n">
        <v>9.3</v>
      </c>
      <c r="AE52" t="n">
        <v>7.9</v>
      </c>
      <c r="AF52" t="n">
        <v>7.7</v>
      </c>
    </row>
    <row r="53">
      <c r="A53" t="s">
        <v>28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31.7</v>
      </c>
      <c r="H53" t="n">
        <v>35.5</v>
      </c>
      <c r="I53" t="n">
        <v>38.3</v>
      </c>
      <c r="J53" t="n">
        <v>46.9</v>
      </c>
      <c r="K53" t="n">
        <v>34</v>
      </c>
      <c r="L53" t="n">
        <v>38</v>
      </c>
      <c r="M53" t="n">
        <v>30.2</v>
      </c>
      <c r="N53" t="n">
        <v>40.1</v>
      </c>
      <c r="O53" t="n">
        <v>45.2</v>
      </c>
      <c r="P53" t="n">
        <v>101.9</v>
      </c>
      <c r="Q53" t="n">
        <v>31.2</v>
      </c>
      <c r="R53" t="n">
        <v>29</v>
      </c>
      <c r="S53" t="n">
        <v>33.6</v>
      </c>
      <c r="T53" t="n">
        <v>49.3</v>
      </c>
      <c r="U53" t="n">
        <v>43.3</v>
      </c>
      <c r="V53" t="n">
        <v>39.5</v>
      </c>
      <c r="W53" t="n">
        <v>43.4</v>
      </c>
      <c r="X53" t="n">
        <v>63.6</v>
      </c>
      <c r="Y53" t="n">
        <v>37.4</v>
      </c>
      <c r="Z53" t="n">
        <v>94.1</v>
      </c>
      <c r="AA53" t="n">
        <v>69.9</v>
      </c>
      <c r="AB53" t="n">
        <v>53.9</v>
      </c>
      <c r="AC53" t="n">
        <v>50</v>
      </c>
      <c r="AD53" t="n">
        <v>47.4</v>
      </c>
      <c r="AE53" t="n">
        <v>54.3</v>
      </c>
      <c r="AF53" t="n">
        <v>68.6</v>
      </c>
    </row>
    <row r="54">
      <c r="A54" t="s">
        <v>28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48</v>
      </c>
      <c r="H54" t="n">
        <v>60.3</v>
      </c>
      <c r="I54" t="n">
        <v>60.9</v>
      </c>
      <c r="J54" t="n">
        <v>64.2</v>
      </c>
      <c r="K54" t="n">
        <v>59.7</v>
      </c>
      <c r="L54" t="n">
        <v>63</v>
      </c>
      <c r="M54" t="n">
        <v>42.1</v>
      </c>
      <c r="N54" t="n">
        <v>77.9</v>
      </c>
      <c r="O54" t="n">
        <v>67.4</v>
      </c>
      <c r="P54" t="n">
        <v>129.9</v>
      </c>
      <c r="Q54" t="n">
        <v>60.4</v>
      </c>
      <c r="R54" t="n">
        <v>56.1</v>
      </c>
      <c r="S54" t="n">
        <v>54.9</v>
      </c>
      <c r="T54" t="n">
        <v>58.7</v>
      </c>
      <c r="U54" t="n">
        <v>70.3</v>
      </c>
      <c r="V54" t="n">
        <v>67.1</v>
      </c>
      <c r="W54" t="n">
        <v>66.6</v>
      </c>
      <c r="X54" t="n">
        <v>95.4</v>
      </c>
      <c r="Y54" t="n">
        <v>56.7</v>
      </c>
      <c r="Z54" t="n">
        <v>138</v>
      </c>
      <c r="AA54" t="n">
        <v>125.6</v>
      </c>
      <c r="AB54" t="n">
        <v>99.9</v>
      </c>
      <c r="AC54" t="n">
        <v>79.3</v>
      </c>
      <c r="AD54" t="n">
        <v>86.3</v>
      </c>
      <c r="AE54" t="n">
        <v>83.5</v>
      </c>
      <c r="AF54" t="n">
        <v>106.7</v>
      </c>
    </row>
    <row r="55">
      <c r="A55" t="s">
        <v>28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16.3</v>
      </c>
      <c r="H55" t="n">
        <v>24.8</v>
      </c>
      <c r="I55" t="n">
        <v>22.6</v>
      </c>
      <c r="J55" t="n">
        <v>17.3</v>
      </c>
      <c r="K55" t="n">
        <v>25.7</v>
      </c>
      <c r="L55" t="n">
        <v>25</v>
      </c>
      <c r="M55" t="n">
        <v>11.9</v>
      </c>
      <c r="N55" t="n">
        <v>37.8</v>
      </c>
      <c r="O55" t="n">
        <v>22.2</v>
      </c>
      <c r="P55" t="n">
        <v>28</v>
      </c>
      <c r="Q55" t="n">
        <v>29.2</v>
      </c>
      <c r="R55" t="n">
        <v>27.1</v>
      </c>
      <c r="S55" t="n">
        <v>21.3</v>
      </c>
      <c r="T55" t="n">
        <v>9.4</v>
      </c>
      <c r="U55" t="n">
        <v>27</v>
      </c>
      <c r="V55" t="n">
        <v>27.6</v>
      </c>
      <c r="W55" t="n">
        <v>23.2</v>
      </c>
      <c r="X55" t="n">
        <v>31.8</v>
      </c>
      <c r="Y55" t="n">
        <v>19.3</v>
      </c>
      <c r="Z55" t="n">
        <v>43.9</v>
      </c>
      <c r="AA55" t="n">
        <v>55.7</v>
      </c>
      <c r="AB55" t="n">
        <v>46</v>
      </c>
      <c r="AC55" t="n">
        <v>29.3</v>
      </c>
      <c r="AD55" t="n">
        <v>38.9</v>
      </c>
      <c r="AE55" t="n">
        <v>29.2</v>
      </c>
      <c r="AF55" t="n">
        <v>38.1</v>
      </c>
    </row>
    <row r="56">
      <c r="A56" t="s">
        <v>28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28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5362.9</v>
      </c>
      <c r="H57" t="n">
        <v>6612.3</v>
      </c>
      <c r="I57" t="n">
        <v>6453.5</v>
      </c>
      <c r="J57" t="n">
        <v>6274.4</v>
      </c>
      <c r="K57" t="n">
        <v>7090.5</v>
      </c>
      <c r="L57" t="n">
        <v>6998.6</v>
      </c>
      <c r="M57" t="n">
        <v>6922.9</v>
      </c>
      <c r="N57" t="n">
        <v>6906.4</v>
      </c>
      <c r="O57" t="n">
        <v>7940.2</v>
      </c>
      <c r="P57" t="n">
        <v>8465.1</v>
      </c>
      <c r="Q57" t="n">
        <v>7646.5</v>
      </c>
      <c r="R57" t="n">
        <v>7453.8</v>
      </c>
      <c r="S57" t="n">
        <v>7130.3</v>
      </c>
      <c r="T57" t="n">
        <v>6090.9</v>
      </c>
      <c r="U57" t="n">
        <v>8183.8</v>
      </c>
      <c r="V57" t="n">
        <v>8337.5</v>
      </c>
      <c r="W57" t="n">
        <v>7957.8</v>
      </c>
      <c r="X57" t="n">
        <v>7735.6</v>
      </c>
      <c r="Y57" t="n">
        <v>7289.9</v>
      </c>
      <c r="Z57" t="n">
        <v>8345</v>
      </c>
      <c r="AA57" t="n">
        <v>8028.4</v>
      </c>
      <c r="AB57" t="n">
        <v>8747</v>
      </c>
      <c r="AC57" t="n">
        <v>8952.5</v>
      </c>
      <c r="AD57" t="n">
        <v>9359.7</v>
      </c>
      <c r="AE57" t="n">
        <v>8679.8</v>
      </c>
      <c r="AF57" t="n">
        <v>9029.4</v>
      </c>
    </row>
    <row r="58">
      <c r="A58" t="s">
        <v>28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5362.9</v>
      </c>
      <c r="H58" t="n">
        <v>6612.3</v>
      </c>
      <c r="I58" t="n">
        <v>6453.5</v>
      </c>
      <c r="J58" t="n">
        <v>6274.4</v>
      </c>
      <c r="K58" t="n">
        <v>7090.5</v>
      </c>
      <c r="L58" t="n">
        <v>6998.6</v>
      </c>
      <c r="M58" t="n">
        <v>6922.9</v>
      </c>
      <c r="N58" t="n">
        <v>6906.4</v>
      </c>
      <c r="O58" t="n">
        <v>7940.2</v>
      </c>
      <c r="P58" t="n">
        <v>8465.1</v>
      </c>
      <c r="Q58" t="n">
        <v>7646.5</v>
      </c>
      <c r="R58" t="n">
        <v>7453.8</v>
      </c>
      <c r="S58" t="n">
        <v>7130.3</v>
      </c>
      <c r="T58" t="n">
        <v>6090.9</v>
      </c>
      <c r="U58" t="n">
        <v>8183.8</v>
      </c>
      <c r="V58" t="n">
        <v>8337.5</v>
      </c>
      <c r="W58" t="n">
        <v>7957.8</v>
      </c>
      <c r="X58" t="n">
        <v>7735.6</v>
      </c>
      <c r="Y58" t="n">
        <v>7289.9</v>
      </c>
      <c r="Z58" t="n">
        <v>8345</v>
      </c>
      <c r="AA58" t="n">
        <v>8028.4</v>
      </c>
      <c r="AB58" t="n">
        <v>8747</v>
      </c>
      <c r="AC58" t="n">
        <v>8952.5</v>
      </c>
      <c r="AD58" t="n">
        <v>9359.7</v>
      </c>
      <c r="AE58" t="n">
        <v>8679.8</v>
      </c>
      <c r="AF58" t="n">
        <v>9029.4</v>
      </c>
    </row>
    <row r="59">
      <c r="A59" t="s">
        <v>28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30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5.8</v>
      </c>
      <c r="H2" t="n">
        <v>5.7</v>
      </c>
      <c r="I2" t="n">
        <v>6.4</v>
      </c>
      <c r="J2" t="n">
        <v>7</v>
      </c>
      <c r="K2" t="n">
        <v>7.5</v>
      </c>
      <c r="L2" t="n">
        <v>7.8</v>
      </c>
      <c r="M2" t="n">
        <v>7.3</v>
      </c>
      <c r="N2" t="n">
        <v>6.9</v>
      </c>
      <c r="O2" t="n">
        <v>7.1</v>
      </c>
      <c r="P2" t="n">
        <v>7</v>
      </c>
      <c r="Q2" t="n">
        <v>7.5</v>
      </c>
      <c r="R2" t="n">
        <v>7.9</v>
      </c>
      <c r="S2" t="n">
        <v>8</v>
      </c>
      <c r="T2" t="n">
        <v>7.3</v>
      </c>
      <c r="U2" t="n">
        <v>7.5</v>
      </c>
      <c r="V2" t="n">
        <v>7.4</v>
      </c>
      <c r="W2" t="n">
        <v>7.3</v>
      </c>
      <c r="X2" t="n">
        <v>13.9</v>
      </c>
      <c r="Y2" t="n">
        <v>24.2</v>
      </c>
      <c r="Z2" t="n">
        <v>25.7</v>
      </c>
      <c r="AA2" t="n">
        <v>18.5</v>
      </c>
      <c r="AB2" t="n">
        <v>1.7</v>
      </c>
      <c r="AC2" t="n">
        <v>3.8</v>
      </c>
      <c r="AD2" t="n">
        <v>5.9</v>
      </c>
      <c r="AE2" t="n">
        <v>8.5</v>
      </c>
      <c r="AF2" t="n">
        <v>6.1</v>
      </c>
    </row>
    <row r="3">
      <c r="A3" t="s">
        <v>30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0.8</v>
      </c>
      <c r="H3" t="n">
        <v>0.8</v>
      </c>
      <c r="I3" t="n">
        <v>0.9</v>
      </c>
      <c r="J3" t="n">
        <v>0.9</v>
      </c>
      <c r="K3" t="n">
        <v>0.8</v>
      </c>
      <c r="L3" t="n">
        <v>1.3</v>
      </c>
      <c r="M3" t="n">
        <v>1</v>
      </c>
      <c r="N3" t="n">
        <v>1</v>
      </c>
      <c r="O3" t="n">
        <v>1</v>
      </c>
      <c r="P3" t="n">
        <v>1</v>
      </c>
      <c r="Q3" t="n">
        <v>0.9</v>
      </c>
      <c r="R3" t="n">
        <v>1.1</v>
      </c>
      <c r="S3" t="n">
        <v>3.1</v>
      </c>
      <c r="T3" t="n">
        <v>0.6</v>
      </c>
      <c r="U3" t="n">
        <v>1</v>
      </c>
      <c r="V3" t="n">
        <v>1</v>
      </c>
      <c r="W3" t="n">
        <v>2.1</v>
      </c>
      <c r="X3" t="n">
        <v>1.6</v>
      </c>
      <c r="Y3" t="n">
        <v>1.4</v>
      </c>
      <c r="Z3" t="n">
        <v>1.7</v>
      </c>
      <c r="AA3" t="n">
        <v>3.1</v>
      </c>
      <c r="AB3" t="n">
        <v>2.5</v>
      </c>
      <c r="AC3" t="n">
        <v>2.2</v>
      </c>
      <c r="AD3" t="n">
        <v>8.1</v>
      </c>
      <c r="AE3" t="n">
        <v>3.9</v>
      </c>
      <c r="AF3" t="n">
        <v>9.6</v>
      </c>
    </row>
    <row r="4">
      <c r="A4" t="s">
        <v>30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2954.2</v>
      </c>
      <c r="H4" t="n">
        <v>2955.5</v>
      </c>
      <c r="I4" t="n">
        <v>3374.6</v>
      </c>
      <c r="J4" t="n">
        <v>3549.1</v>
      </c>
      <c r="K4" t="n">
        <v>3661.2</v>
      </c>
      <c r="L4" t="n">
        <v>4145.2</v>
      </c>
      <c r="M4" t="n">
        <v>4088.4</v>
      </c>
      <c r="N4" t="n">
        <v>3846.5</v>
      </c>
      <c r="O4" t="n">
        <v>3663.9</v>
      </c>
      <c r="P4" t="n">
        <v>3671.6</v>
      </c>
      <c r="Q4" t="n">
        <v>3806</v>
      </c>
      <c r="R4" t="n">
        <v>4057.1</v>
      </c>
      <c r="S4" t="n">
        <v>4122.2</v>
      </c>
      <c r="T4" t="n">
        <v>3751.1</v>
      </c>
      <c r="U4" t="n">
        <v>3910.2</v>
      </c>
      <c r="V4" t="n">
        <v>3836.3</v>
      </c>
      <c r="W4" t="n">
        <v>4216.3</v>
      </c>
      <c r="X4" t="n">
        <v>4756.2</v>
      </c>
      <c r="Y4" t="n">
        <v>5067.1</v>
      </c>
      <c r="Z4" t="n">
        <v>4528.7</v>
      </c>
      <c r="AA4" t="n">
        <v>4884</v>
      </c>
      <c r="AB4" t="n">
        <v>4991.7</v>
      </c>
      <c r="AC4" t="n">
        <v>5839.6</v>
      </c>
      <c r="AD4" t="n">
        <v>6164.6</v>
      </c>
      <c r="AE4" t="n">
        <v>4837.2</v>
      </c>
      <c r="AF4" t="n">
        <v>6437.9</v>
      </c>
    </row>
    <row r="5">
      <c r="A5" t="s">
        <v>30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227.9</v>
      </c>
      <c r="H5" t="n">
        <v>222.2</v>
      </c>
      <c r="I5" t="n">
        <v>270.1</v>
      </c>
      <c r="J5" t="n">
        <v>267.4</v>
      </c>
      <c r="K5" t="n">
        <v>256.5</v>
      </c>
      <c r="L5" t="n">
        <v>291.5</v>
      </c>
      <c r="M5" t="n">
        <v>310.6</v>
      </c>
      <c r="N5" t="n">
        <v>288.7</v>
      </c>
      <c r="O5" t="n">
        <v>283.7</v>
      </c>
      <c r="P5" t="n">
        <v>240.2</v>
      </c>
      <c r="Q5" t="n">
        <v>329.7</v>
      </c>
      <c r="R5" t="n">
        <v>316.5</v>
      </c>
      <c r="S5" t="n">
        <v>251.4</v>
      </c>
      <c r="T5" t="n">
        <v>243.7</v>
      </c>
      <c r="U5" t="n">
        <v>296.8</v>
      </c>
      <c r="V5" t="n">
        <v>290.1</v>
      </c>
      <c r="W5" t="n">
        <v>292.4</v>
      </c>
      <c r="X5" t="n">
        <v>281.6</v>
      </c>
      <c r="Y5" t="n">
        <v>460.6</v>
      </c>
      <c r="Z5" t="n">
        <v>322.3</v>
      </c>
      <c r="AA5" t="n">
        <v>511.5</v>
      </c>
      <c r="AB5" t="n">
        <v>336.3</v>
      </c>
      <c r="AC5" t="n">
        <v>465.7</v>
      </c>
      <c r="AD5" t="n">
        <v>488.7</v>
      </c>
      <c r="AE5" t="n">
        <v>425.3</v>
      </c>
      <c r="AF5" t="n">
        <v>542.8</v>
      </c>
    </row>
    <row r="6">
      <c r="A6" t="s">
        <v>30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302.6</v>
      </c>
      <c r="H6" t="n">
        <v>302.6</v>
      </c>
      <c r="I6" t="n">
        <v>357</v>
      </c>
      <c r="J6" t="n">
        <v>350.4</v>
      </c>
      <c r="K6" t="n">
        <v>361.8</v>
      </c>
      <c r="L6" t="n">
        <v>465.9</v>
      </c>
      <c r="M6" t="n">
        <v>378.3</v>
      </c>
      <c r="N6" t="n">
        <v>378</v>
      </c>
      <c r="O6" t="n">
        <v>356.9</v>
      </c>
      <c r="P6" t="n">
        <v>392.9</v>
      </c>
      <c r="Q6" t="n">
        <v>395.8</v>
      </c>
      <c r="R6" t="n">
        <v>400.9</v>
      </c>
      <c r="S6" t="n">
        <v>439.9</v>
      </c>
      <c r="T6" t="n">
        <v>343.1</v>
      </c>
      <c r="U6" t="n">
        <v>390.5</v>
      </c>
      <c r="V6" t="n">
        <v>381.7</v>
      </c>
      <c r="W6" t="n">
        <v>382</v>
      </c>
      <c r="X6" t="n">
        <v>363.6</v>
      </c>
      <c r="Y6" t="n">
        <v>420.2</v>
      </c>
      <c r="Z6" t="n">
        <v>375.9</v>
      </c>
      <c r="AA6" t="n">
        <v>448</v>
      </c>
      <c r="AB6" t="n">
        <v>458.3</v>
      </c>
      <c r="AC6" t="n">
        <v>484.7</v>
      </c>
      <c r="AD6" t="n">
        <v>557.6</v>
      </c>
      <c r="AE6" t="n">
        <v>427.9</v>
      </c>
      <c r="AF6" t="n">
        <v>518</v>
      </c>
    </row>
    <row r="7">
      <c r="A7" t="s">
        <v>30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252.6</v>
      </c>
      <c r="H7" t="n">
        <v>245</v>
      </c>
      <c r="I7" t="n">
        <v>267.8</v>
      </c>
      <c r="J7" t="n">
        <v>291.2</v>
      </c>
      <c r="K7" t="n">
        <v>306.6</v>
      </c>
      <c r="L7" t="n">
        <v>318.3</v>
      </c>
      <c r="M7" t="n">
        <v>376.1</v>
      </c>
      <c r="N7" t="n">
        <v>296.2</v>
      </c>
      <c r="O7" t="n">
        <v>286.1</v>
      </c>
      <c r="P7" t="n">
        <v>291.6</v>
      </c>
      <c r="Q7" t="n">
        <v>342.1</v>
      </c>
      <c r="R7" t="n">
        <v>326.3</v>
      </c>
      <c r="S7" t="n">
        <v>334.8</v>
      </c>
      <c r="T7" t="n">
        <v>296.7</v>
      </c>
      <c r="U7" t="n">
        <v>323</v>
      </c>
      <c r="V7" t="n">
        <v>318</v>
      </c>
      <c r="W7" t="n">
        <v>246.3</v>
      </c>
      <c r="X7" t="n">
        <v>355</v>
      </c>
      <c r="Y7" t="n">
        <v>226.3</v>
      </c>
      <c r="Z7" t="n">
        <v>259</v>
      </c>
      <c r="AA7" t="n">
        <v>266.7</v>
      </c>
      <c r="AB7" t="n">
        <v>388.3</v>
      </c>
      <c r="AC7" t="n">
        <v>325.3</v>
      </c>
      <c r="AD7" t="n">
        <v>397.3</v>
      </c>
      <c r="AE7" t="n">
        <v>243</v>
      </c>
      <c r="AF7" t="n">
        <v>255</v>
      </c>
    </row>
    <row r="8">
      <c r="A8" t="s">
        <v>30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107.8</v>
      </c>
      <c r="H8" t="n">
        <v>119.4</v>
      </c>
      <c r="I8" t="n">
        <v>112.2</v>
      </c>
      <c r="J8" t="n">
        <v>108.3</v>
      </c>
      <c r="K8" t="n">
        <v>138.7</v>
      </c>
      <c r="L8" t="n">
        <v>111.5</v>
      </c>
      <c r="M8" t="n">
        <v>190.9</v>
      </c>
      <c r="N8" t="n">
        <v>123.8</v>
      </c>
      <c r="O8" t="n">
        <v>167.6</v>
      </c>
      <c r="P8" t="n">
        <v>133.4</v>
      </c>
      <c r="Q8" t="n">
        <v>139.1</v>
      </c>
      <c r="R8" t="n">
        <v>132.6</v>
      </c>
      <c r="S8" t="n">
        <v>219.5</v>
      </c>
      <c r="T8" t="n">
        <v>109.4</v>
      </c>
      <c r="U8" t="n">
        <v>144.2</v>
      </c>
      <c r="V8" t="n">
        <v>141.5</v>
      </c>
      <c r="W8" t="n">
        <v>195.5</v>
      </c>
      <c r="X8" t="n">
        <v>231.3</v>
      </c>
      <c r="Y8" t="n">
        <v>224.1</v>
      </c>
      <c r="Z8" t="n">
        <v>169.3</v>
      </c>
      <c r="AA8" t="n">
        <v>178.2</v>
      </c>
      <c r="AB8" t="n">
        <v>140.6</v>
      </c>
      <c r="AC8" t="n">
        <v>124.9</v>
      </c>
      <c r="AD8" t="n">
        <v>183.5</v>
      </c>
      <c r="AE8" t="n">
        <v>130</v>
      </c>
      <c r="AF8" t="n">
        <v>107</v>
      </c>
    </row>
    <row r="9">
      <c r="A9" t="s">
        <v>30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173.9</v>
      </c>
      <c r="H9" t="n">
        <v>170.3</v>
      </c>
      <c r="I9" t="n">
        <v>193.1</v>
      </c>
      <c r="J9" t="n">
        <v>216.2</v>
      </c>
      <c r="K9" t="n">
        <v>234.3</v>
      </c>
      <c r="L9" t="n">
        <v>236.2</v>
      </c>
      <c r="M9" t="n">
        <v>250.7</v>
      </c>
      <c r="N9" t="n">
        <v>252.9</v>
      </c>
      <c r="O9" t="n">
        <v>219.8</v>
      </c>
      <c r="P9" t="n">
        <v>208.2</v>
      </c>
      <c r="Q9" t="n">
        <v>222.2</v>
      </c>
      <c r="R9" t="n">
        <v>246</v>
      </c>
      <c r="S9" t="n">
        <v>231.2</v>
      </c>
      <c r="T9" t="n">
        <v>247.5</v>
      </c>
      <c r="U9" t="n">
        <v>230.4</v>
      </c>
      <c r="V9" t="n">
        <v>227.1</v>
      </c>
      <c r="W9" t="n">
        <v>204.9</v>
      </c>
      <c r="X9" t="n">
        <v>273.6</v>
      </c>
      <c r="Y9" t="n">
        <v>251.8</v>
      </c>
      <c r="Z9" t="n">
        <v>271.8</v>
      </c>
      <c r="AA9" t="n">
        <v>254.8</v>
      </c>
      <c r="AB9" t="n">
        <v>203.1</v>
      </c>
      <c r="AC9" t="n">
        <v>168.6</v>
      </c>
      <c r="AD9" t="n">
        <v>194.8</v>
      </c>
      <c r="AE9" t="n">
        <v>160.7</v>
      </c>
      <c r="AF9" t="n">
        <v>195.3</v>
      </c>
    </row>
    <row r="10">
      <c r="A10" t="s">
        <v>30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315.9</v>
      </c>
      <c r="H10" t="n">
        <v>309.4</v>
      </c>
      <c r="I10" t="n">
        <v>350.7</v>
      </c>
      <c r="J10" t="n">
        <v>392.8</v>
      </c>
      <c r="K10" t="n">
        <v>427.8</v>
      </c>
      <c r="L10" t="n">
        <v>450.3</v>
      </c>
      <c r="M10" t="n">
        <v>414.2</v>
      </c>
      <c r="N10" t="n">
        <v>500.1</v>
      </c>
      <c r="O10" t="n">
        <v>385.8</v>
      </c>
      <c r="P10" t="n">
        <v>366.5</v>
      </c>
      <c r="Q10" t="n">
        <v>386.5</v>
      </c>
      <c r="R10" t="n">
        <v>450.1</v>
      </c>
      <c r="S10" t="n">
        <v>451.2</v>
      </c>
      <c r="T10" t="n">
        <v>443.4</v>
      </c>
      <c r="U10" t="n">
        <v>419.1</v>
      </c>
      <c r="V10" t="n">
        <v>412.8</v>
      </c>
      <c r="W10" t="n">
        <v>486.1</v>
      </c>
      <c r="X10" t="n">
        <v>507.7</v>
      </c>
      <c r="Y10" t="n">
        <v>596.1</v>
      </c>
      <c r="Z10" t="n">
        <v>575.9</v>
      </c>
      <c r="AA10" t="n">
        <v>534</v>
      </c>
      <c r="AB10" t="n">
        <v>419</v>
      </c>
      <c r="AC10" t="n">
        <v>400.3</v>
      </c>
      <c r="AD10" t="n">
        <v>354</v>
      </c>
      <c r="AE10" t="n">
        <v>327.1</v>
      </c>
      <c r="AF10" t="n">
        <v>343.9</v>
      </c>
    </row>
    <row r="11">
      <c r="A11" t="s">
        <v>30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142</v>
      </c>
      <c r="H11" t="n">
        <v>139.1</v>
      </c>
      <c r="I11" t="n">
        <v>157.6</v>
      </c>
      <c r="J11" t="n">
        <v>176.6</v>
      </c>
      <c r="K11" t="n">
        <v>193.5</v>
      </c>
      <c r="L11" t="n">
        <v>214.1</v>
      </c>
      <c r="M11" t="n">
        <v>163.5</v>
      </c>
      <c r="N11" t="n">
        <v>247.2</v>
      </c>
      <c r="O11" t="n">
        <v>166</v>
      </c>
      <c r="P11" t="n">
        <v>158.3</v>
      </c>
      <c r="Q11" t="n">
        <v>164.3</v>
      </c>
      <c r="R11" t="n">
        <v>204.1</v>
      </c>
      <c r="S11" t="n">
        <v>220</v>
      </c>
      <c r="T11" t="n">
        <v>195.9</v>
      </c>
      <c r="U11" t="n">
        <v>188.7</v>
      </c>
      <c r="V11" t="n">
        <v>185.7</v>
      </c>
      <c r="W11" t="n">
        <v>281.2</v>
      </c>
      <c r="X11" t="n">
        <v>234.1</v>
      </c>
      <c r="Y11" t="n">
        <v>344.3</v>
      </c>
      <c r="Z11" t="n">
        <v>304.1</v>
      </c>
      <c r="AA11" t="n">
        <v>279.2</v>
      </c>
      <c r="AB11" t="n">
        <v>215.9</v>
      </c>
      <c r="AC11" t="n">
        <v>231.7</v>
      </c>
      <c r="AD11" t="n">
        <v>159.2</v>
      </c>
      <c r="AE11" t="n">
        <v>166.4</v>
      </c>
      <c r="AF11" t="n">
        <v>148.6</v>
      </c>
    </row>
    <row r="12">
      <c r="A12" t="s">
        <v>30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245.6</v>
      </c>
      <c r="H12" t="n">
        <v>243</v>
      </c>
      <c r="I12" t="n">
        <v>268.5</v>
      </c>
      <c r="J12" t="n">
        <v>289.8</v>
      </c>
      <c r="K12" t="n">
        <v>309.7</v>
      </c>
      <c r="L12" t="n">
        <v>338.6</v>
      </c>
      <c r="M12" t="n">
        <v>353.1</v>
      </c>
      <c r="N12" t="n">
        <v>308.8</v>
      </c>
      <c r="O12" t="n">
        <v>320.2</v>
      </c>
      <c r="P12" t="n">
        <v>288.6</v>
      </c>
      <c r="Q12" t="n">
        <v>305.6</v>
      </c>
      <c r="R12" t="n">
        <v>338.9</v>
      </c>
      <c r="S12" t="n">
        <v>281.7</v>
      </c>
      <c r="T12" t="n">
        <v>358.4</v>
      </c>
      <c r="U12" t="n">
        <v>321.6</v>
      </c>
      <c r="V12" t="n">
        <v>314.4</v>
      </c>
      <c r="W12" t="n">
        <v>329.1</v>
      </c>
      <c r="X12" t="n">
        <v>330</v>
      </c>
      <c r="Y12" t="n">
        <v>305.5</v>
      </c>
      <c r="Z12" t="n">
        <v>361.8</v>
      </c>
      <c r="AA12" t="n">
        <v>326.4</v>
      </c>
      <c r="AB12" t="n">
        <v>299.2</v>
      </c>
      <c r="AC12" t="n">
        <v>355.1</v>
      </c>
      <c r="AD12" t="n">
        <v>427.7</v>
      </c>
      <c r="AE12" t="n">
        <v>337.7</v>
      </c>
      <c r="AF12" t="n">
        <v>363.6</v>
      </c>
    </row>
    <row r="13">
      <c r="A13" t="s">
        <v>30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345</v>
      </c>
      <c r="H13" t="n">
        <v>338.6</v>
      </c>
      <c r="I13" t="n">
        <v>384.2</v>
      </c>
      <c r="J13" t="n">
        <v>418.3</v>
      </c>
      <c r="K13" t="n">
        <v>393.3</v>
      </c>
      <c r="L13" t="n">
        <v>507.4</v>
      </c>
      <c r="M13" t="n">
        <v>481.8</v>
      </c>
      <c r="N13" t="n">
        <v>402.6</v>
      </c>
      <c r="O13" t="n">
        <v>412.6</v>
      </c>
      <c r="P13" t="n">
        <v>388.3</v>
      </c>
      <c r="Q13" t="n">
        <v>420.5</v>
      </c>
      <c r="R13" t="n">
        <v>487.8</v>
      </c>
      <c r="S13" t="n">
        <v>495</v>
      </c>
      <c r="T13" t="n">
        <v>425.2</v>
      </c>
      <c r="U13" t="n">
        <v>452.7</v>
      </c>
      <c r="V13" t="n">
        <v>443.4</v>
      </c>
      <c r="W13" t="n">
        <v>531.8</v>
      </c>
      <c r="X13" t="n">
        <v>447.2</v>
      </c>
      <c r="Y13" t="n">
        <v>533.3</v>
      </c>
      <c r="Z13" t="n">
        <v>536.5</v>
      </c>
      <c r="AA13" t="n">
        <v>576.5</v>
      </c>
      <c r="AB13" t="n">
        <v>527.5</v>
      </c>
      <c r="AC13" t="n">
        <v>732</v>
      </c>
      <c r="AD13" t="n">
        <v>770.1</v>
      </c>
      <c r="AE13" t="n">
        <v>607.8</v>
      </c>
      <c r="AF13" t="n">
        <v>786.2</v>
      </c>
    </row>
    <row r="14">
      <c r="A14" t="s">
        <v>30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54.2</v>
      </c>
      <c r="H14" t="n">
        <v>59.3</v>
      </c>
      <c r="I14" t="n">
        <v>65.9</v>
      </c>
      <c r="J14" t="n">
        <v>73.3</v>
      </c>
      <c r="K14" t="n">
        <v>77</v>
      </c>
      <c r="L14" t="n">
        <v>83.8</v>
      </c>
      <c r="M14" t="n">
        <v>79.4</v>
      </c>
      <c r="N14" t="n">
        <v>72.2</v>
      </c>
      <c r="O14" t="n">
        <v>78.7</v>
      </c>
      <c r="P14" t="n">
        <v>72.9</v>
      </c>
      <c r="Q14" t="n">
        <v>74.2</v>
      </c>
      <c r="R14" t="n">
        <v>86.5</v>
      </c>
      <c r="S14" t="n">
        <v>83.9</v>
      </c>
      <c r="T14" t="n">
        <v>69</v>
      </c>
      <c r="U14" t="n">
        <v>78.5</v>
      </c>
      <c r="V14" t="n">
        <v>77.6</v>
      </c>
      <c r="W14" t="n">
        <v>108</v>
      </c>
      <c r="X14" t="n">
        <v>108.1</v>
      </c>
      <c r="Y14" t="n">
        <v>85.7</v>
      </c>
      <c r="Z14" t="n">
        <v>69.3</v>
      </c>
      <c r="AA14" t="n">
        <v>57.9</v>
      </c>
      <c r="AB14" t="n">
        <v>212.3</v>
      </c>
      <c r="AC14" t="n">
        <v>179.9</v>
      </c>
      <c r="AD14" t="n">
        <v>162.2</v>
      </c>
      <c r="AE14" t="n">
        <v>153.2</v>
      </c>
      <c r="AF14" t="n">
        <v>195.7</v>
      </c>
    </row>
    <row r="15">
      <c r="A15" t="s">
        <v>30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237.2</v>
      </c>
      <c r="H15" t="n">
        <v>254</v>
      </c>
      <c r="I15" t="n">
        <v>284.2</v>
      </c>
      <c r="J15" t="n">
        <v>313.6</v>
      </c>
      <c r="K15" t="n">
        <v>293</v>
      </c>
      <c r="L15" t="n">
        <v>410.6</v>
      </c>
      <c r="M15" t="n">
        <v>337.5</v>
      </c>
      <c r="N15" t="n">
        <v>336</v>
      </c>
      <c r="O15" t="n">
        <v>321.6</v>
      </c>
      <c r="P15" t="n">
        <v>283.8</v>
      </c>
      <c r="Q15" t="n">
        <v>321.9</v>
      </c>
      <c r="R15" t="n">
        <v>353.8</v>
      </c>
      <c r="S15" t="n">
        <v>367.4</v>
      </c>
      <c r="T15" t="n">
        <v>329.8</v>
      </c>
      <c r="U15" t="n">
        <v>338.8</v>
      </c>
      <c r="V15" t="n">
        <v>333.1</v>
      </c>
      <c r="W15" t="n">
        <v>327.4</v>
      </c>
      <c r="X15" t="n">
        <v>352.4</v>
      </c>
      <c r="Y15" t="n">
        <v>350</v>
      </c>
      <c r="Z15" t="n">
        <v>259.6</v>
      </c>
      <c r="AA15" t="n">
        <v>267.4</v>
      </c>
      <c r="AB15" t="n">
        <v>485.5</v>
      </c>
      <c r="AC15" t="n">
        <v>450</v>
      </c>
      <c r="AD15" t="n">
        <v>439.8</v>
      </c>
      <c r="AE15" t="n">
        <v>338</v>
      </c>
      <c r="AF15" t="n">
        <v>420.4</v>
      </c>
    </row>
    <row r="16">
      <c r="A16" t="s">
        <v>30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183</v>
      </c>
      <c r="H16" t="n">
        <v>194.7</v>
      </c>
      <c r="I16" t="n">
        <v>218.3</v>
      </c>
      <c r="J16" t="n">
        <v>240.3</v>
      </c>
      <c r="K16" t="n">
        <v>216</v>
      </c>
      <c r="L16" t="n">
        <v>326.8</v>
      </c>
      <c r="M16" t="n">
        <v>258.1</v>
      </c>
      <c r="N16" t="n">
        <v>263.8</v>
      </c>
      <c r="O16" t="n">
        <v>242.9</v>
      </c>
      <c r="P16" t="n">
        <v>210.9</v>
      </c>
      <c r="Q16" t="n">
        <v>247.7</v>
      </c>
      <c r="R16" t="n">
        <v>267.3</v>
      </c>
      <c r="S16" t="n">
        <v>283.5</v>
      </c>
      <c r="T16" t="n">
        <v>260.8</v>
      </c>
      <c r="U16" t="n">
        <v>260.3</v>
      </c>
      <c r="V16" t="n">
        <v>255.5</v>
      </c>
      <c r="W16" t="n">
        <v>219.4</v>
      </c>
      <c r="X16" t="n">
        <v>244.3</v>
      </c>
      <c r="Y16" t="n">
        <v>264.3</v>
      </c>
      <c r="Z16" t="n">
        <v>190.3</v>
      </c>
      <c r="AA16" t="n">
        <v>209.5</v>
      </c>
      <c r="AB16" t="n">
        <v>273.2</v>
      </c>
      <c r="AC16" t="n">
        <v>270.1</v>
      </c>
      <c r="AD16" t="n">
        <v>277.6</v>
      </c>
      <c r="AE16" t="n">
        <v>184.8</v>
      </c>
      <c r="AF16" t="n">
        <v>224.7</v>
      </c>
    </row>
    <row r="17">
      <c r="A17" t="s">
        <v>30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319.4</v>
      </c>
      <c r="H17" t="n">
        <v>307.9</v>
      </c>
      <c r="I17" t="n">
        <v>354.6</v>
      </c>
      <c r="J17" t="n">
        <v>376.4</v>
      </c>
      <c r="K17" t="n">
        <v>404.5</v>
      </c>
      <c r="L17" t="n">
        <v>446.7</v>
      </c>
      <c r="M17" t="n">
        <v>416.1</v>
      </c>
      <c r="N17" t="n">
        <v>404.2</v>
      </c>
      <c r="O17" t="n">
        <v>376.8</v>
      </c>
      <c r="P17" t="n">
        <v>413.8</v>
      </c>
      <c r="Q17" t="n">
        <v>395.5</v>
      </c>
      <c r="R17" t="n">
        <v>427.4</v>
      </c>
      <c r="S17" t="n">
        <v>442.5</v>
      </c>
      <c r="T17" t="n">
        <v>398.9</v>
      </c>
      <c r="U17" t="n">
        <v>415.8</v>
      </c>
      <c r="V17" t="n">
        <v>408.2</v>
      </c>
      <c r="W17" t="n">
        <v>606.2</v>
      </c>
      <c r="X17" t="n">
        <v>632.7</v>
      </c>
      <c r="Y17" t="n">
        <v>796.1</v>
      </c>
      <c r="Z17" t="n">
        <v>716.7</v>
      </c>
      <c r="AA17" t="n">
        <v>734.9</v>
      </c>
      <c r="AB17" t="n">
        <v>774.5</v>
      </c>
      <c r="AC17" t="n">
        <v>960.5</v>
      </c>
      <c r="AD17" t="n">
        <v>815.4</v>
      </c>
      <c r="AE17" t="n">
        <v>733.7</v>
      </c>
      <c r="AF17" t="n">
        <v>837.3</v>
      </c>
    </row>
    <row r="18">
      <c r="A18" t="s">
        <v>30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345.8</v>
      </c>
      <c r="H18" t="n">
        <v>352.5</v>
      </c>
      <c r="I18" t="n">
        <v>434.8</v>
      </c>
      <c r="J18" t="n">
        <v>427.9</v>
      </c>
      <c r="K18" t="n">
        <v>405.1</v>
      </c>
      <c r="L18" t="n">
        <v>439.8</v>
      </c>
      <c r="M18" t="n">
        <v>487.4</v>
      </c>
      <c r="N18" t="n">
        <v>470.5</v>
      </c>
      <c r="O18" t="n">
        <v>416.2</v>
      </c>
      <c r="P18" t="n">
        <v>565.7</v>
      </c>
      <c r="Q18" t="n">
        <v>437</v>
      </c>
      <c r="R18" t="n">
        <v>457.9</v>
      </c>
      <c r="S18" t="n">
        <v>494.3</v>
      </c>
      <c r="T18" t="n">
        <v>488.7</v>
      </c>
      <c r="U18" t="n">
        <v>464</v>
      </c>
      <c r="V18" t="n">
        <v>455.4</v>
      </c>
      <c r="W18" t="n">
        <v>563.8</v>
      </c>
      <c r="X18" t="n">
        <v>950.1</v>
      </c>
      <c r="Y18" t="n">
        <v>745.4</v>
      </c>
      <c r="Z18" t="n">
        <v>648.7</v>
      </c>
      <c r="AA18" t="n">
        <v>661.4</v>
      </c>
      <c r="AB18" t="n">
        <v>848.5</v>
      </c>
      <c r="AC18" t="n">
        <v>1158.3</v>
      </c>
      <c r="AD18" t="n">
        <v>1301.4</v>
      </c>
      <c r="AE18" t="n">
        <v>952.2</v>
      </c>
      <c r="AF18" t="n">
        <v>1882.9</v>
      </c>
    </row>
    <row r="19">
      <c r="A19" t="s">
        <v>30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254.4</v>
      </c>
      <c r="H19" t="n">
        <v>260.9</v>
      </c>
      <c r="I19" t="n">
        <v>290.5</v>
      </c>
      <c r="J19" t="n">
        <v>313</v>
      </c>
      <c r="K19" t="n">
        <v>364.2</v>
      </c>
      <c r="L19" t="n">
        <v>364.6</v>
      </c>
      <c r="M19" t="n">
        <v>342.4</v>
      </c>
      <c r="N19" t="n">
        <v>337.6</v>
      </c>
      <c r="O19" t="n">
        <v>336.4</v>
      </c>
      <c r="P19" t="n">
        <v>306.8</v>
      </c>
      <c r="Q19" t="n">
        <v>332.3</v>
      </c>
      <c r="R19" t="n">
        <v>364.9</v>
      </c>
      <c r="S19" t="n">
        <v>344.5</v>
      </c>
      <c r="T19" t="n">
        <v>313.8</v>
      </c>
      <c r="U19" t="n">
        <v>343.7</v>
      </c>
      <c r="V19" t="n">
        <v>337.7</v>
      </c>
      <c r="W19" t="n">
        <v>255.7</v>
      </c>
      <c r="X19" t="n">
        <v>304.6</v>
      </c>
      <c r="Y19" t="n">
        <v>409.5</v>
      </c>
      <c r="Z19" t="n">
        <v>303</v>
      </c>
      <c r="AA19" t="n">
        <v>379</v>
      </c>
      <c r="AB19" t="n">
        <v>314</v>
      </c>
      <c r="AC19" t="n">
        <v>382.8</v>
      </c>
      <c r="AD19" t="n">
        <v>429.1</v>
      </c>
      <c r="AE19" t="n">
        <v>314.5</v>
      </c>
      <c r="AF19" t="n">
        <v>380.8</v>
      </c>
    </row>
    <row r="20">
      <c r="A20" t="s">
        <v>30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451.1</v>
      </c>
      <c r="H20" t="n">
        <v>451.4</v>
      </c>
      <c r="I20" t="n">
        <v>436.8</v>
      </c>
      <c r="J20" t="n">
        <v>487.9</v>
      </c>
      <c r="K20" t="n">
        <v>437.2</v>
      </c>
      <c r="L20" t="n">
        <v>666.3</v>
      </c>
      <c r="M20" t="n">
        <v>651.4</v>
      </c>
      <c r="N20" t="n">
        <v>650.5</v>
      </c>
      <c r="O20" t="n">
        <v>575.2</v>
      </c>
      <c r="P20" t="n">
        <v>482.2</v>
      </c>
      <c r="Q20" t="n">
        <v>497.3</v>
      </c>
      <c r="R20" t="n">
        <v>577.4</v>
      </c>
      <c r="S20" t="n">
        <v>511.3</v>
      </c>
      <c r="T20" t="n">
        <v>871.1</v>
      </c>
      <c r="U20" t="n">
        <v>584.5</v>
      </c>
      <c r="V20" t="n">
        <v>572.5</v>
      </c>
      <c r="W20" t="n">
        <v>523.3</v>
      </c>
      <c r="X20" t="n">
        <v>834.1</v>
      </c>
      <c r="Y20" t="n">
        <v>741.9</v>
      </c>
      <c r="Z20" t="n">
        <v>771.4</v>
      </c>
      <c r="AA20" t="n">
        <v>993.5</v>
      </c>
      <c r="AB20" t="n">
        <v>980.9</v>
      </c>
      <c r="AC20" t="n">
        <v>1075.7</v>
      </c>
      <c r="AD20" t="n">
        <v>1127.6</v>
      </c>
      <c r="AE20" t="n">
        <v>967.8</v>
      </c>
      <c r="AF20" t="n">
        <v>1009.7</v>
      </c>
    </row>
    <row r="21">
      <c r="A21" t="s">
        <v>30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511.1</v>
      </c>
      <c r="H21" t="n">
        <v>516.6</v>
      </c>
      <c r="I21" t="n">
        <v>504</v>
      </c>
      <c r="J21" t="n">
        <v>565.4</v>
      </c>
      <c r="K21" t="n">
        <v>518.8</v>
      </c>
      <c r="L21" t="n">
        <v>752.3</v>
      </c>
      <c r="M21" t="n">
        <v>741.7</v>
      </c>
      <c r="N21" t="n">
        <v>734.9</v>
      </c>
      <c r="O21" t="n">
        <v>663.2</v>
      </c>
      <c r="P21" t="n">
        <v>556.2</v>
      </c>
      <c r="Q21" t="n">
        <v>591.1</v>
      </c>
      <c r="R21" t="n">
        <v>667.5</v>
      </c>
      <c r="S21" t="n">
        <v>596.5</v>
      </c>
      <c r="T21" t="n">
        <v>968.5</v>
      </c>
      <c r="U21" t="n">
        <v>674.8</v>
      </c>
      <c r="V21" t="n">
        <v>660.6</v>
      </c>
      <c r="W21" t="n">
        <v>624.3</v>
      </c>
      <c r="X21" t="n">
        <v>946.3</v>
      </c>
      <c r="Y21" t="n">
        <v>896.2</v>
      </c>
      <c r="Z21" t="n">
        <v>953.9</v>
      </c>
      <c r="AA21" t="n">
        <v>1254.1</v>
      </c>
      <c r="AB21" t="n">
        <v>1324</v>
      </c>
      <c r="AC21" t="n">
        <v>1509.9</v>
      </c>
      <c r="AD21" t="n">
        <v>1526.7</v>
      </c>
      <c r="AE21" t="n">
        <v>1219.1</v>
      </c>
      <c r="AF21" t="n">
        <v>1274.3</v>
      </c>
    </row>
    <row r="22">
      <c r="A22" t="s">
        <v>30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60</v>
      </c>
      <c r="H22" t="n">
        <v>65.2</v>
      </c>
      <c r="I22" t="n">
        <v>67.2</v>
      </c>
      <c r="J22" t="n">
        <v>77.5</v>
      </c>
      <c r="K22" t="n">
        <v>81.6</v>
      </c>
      <c r="L22" t="n">
        <v>86</v>
      </c>
      <c r="M22" t="n">
        <v>90.3</v>
      </c>
      <c r="N22" t="n">
        <v>84.4</v>
      </c>
      <c r="O22" t="n">
        <v>88</v>
      </c>
      <c r="P22" t="n">
        <v>74</v>
      </c>
      <c r="Q22" t="n">
        <v>93.8</v>
      </c>
      <c r="R22" t="n">
        <v>90.1</v>
      </c>
      <c r="S22" t="n">
        <v>85.2</v>
      </c>
      <c r="T22" t="n">
        <v>97.4</v>
      </c>
      <c r="U22" t="n">
        <v>90.3</v>
      </c>
      <c r="V22" t="n">
        <v>88.1</v>
      </c>
      <c r="W22" t="n">
        <v>101</v>
      </c>
      <c r="X22" t="n">
        <v>112.2</v>
      </c>
      <c r="Y22" t="n">
        <v>154.3</v>
      </c>
      <c r="Z22" t="n">
        <v>182.5</v>
      </c>
      <c r="AA22" t="n">
        <v>260.6</v>
      </c>
      <c r="AB22" t="n">
        <v>343.1</v>
      </c>
      <c r="AC22" t="n">
        <v>434.2</v>
      </c>
      <c r="AD22" t="n">
        <v>399.1</v>
      </c>
      <c r="AE22" t="n">
        <v>251.3</v>
      </c>
      <c r="AF22" t="n">
        <v>264.6</v>
      </c>
    </row>
    <row r="23">
      <c r="A23" t="s">
        <v>30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121.5</v>
      </c>
      <c r="H23" t="n">
        <v>122.6</v>
      </c>
      <c r="I23" t="n">
        <v>132.2</v>
      </c>
      <c r="J23" t="n">
        <v>140.4</v>
      </c>
      <c r="K23" t="n">
        <v>140.4</v>
      </c>
      <c r="L23" t="n">
        <v>181.3</v>
      </c>
      <c r="M23" t="n">
        <v>173.5</v>
      </c>
      <c r="N23" t="n">
        <v>156.1</v>
      </c>
      <c r="O23" t="n">
        <v>136</v>
      </c>
      <c r="P23" t="n">
        <v>143.7</v>
      </c>
      <c r="Q23" t="n">
        <v>138</v>
      </c>
      <c r="R23" t="n">
        <v>174.1</v>
      </c>
      <c r="S23" t="n">
        <v>138.1</v>
      </c>
      <c r="T23" t="n">
        <v>160.6</v>
      </c>
      <c r="U23" t="n">
        <v>157.2</v>
      </c>
      <c r="V23" t="n">
        <v>153.7</v>
      </c>
      <c r="W23" t="n">
        <v>137.8</v>
      </c>
      <c r="X23" t="n">
        <v>145.3</v>
      </c>
      <c r="Y23" t="n">
        <v>156</v>
      </c>
      <c r="Z23" t="n">
        <v>135.9</v>
      </c>
      <c r="AA23" t="n">
        <v>185.4</v>
      </c>
      <c r="AB23" t="n">
        <v>294.7</v>
      </c>
      <c r="AC23" t="n">
        <v>222.7</v>
      </c>
      <c r="AD23" t="n">
        <v>195.5</v>
      </c>
      <c r="AE23" t="n">
        <v>312.3</v>
      </c>
      <c r="AF23" t="n">
        <v>290.3</v>
      </c>
    </row>
    <row r="24">
      <c r="A24" t="s">
        <v>30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922.1</v>
      </c>
      <c r="H24" t="n">
        <v>951.4</v>
      </c>
      <c r="I24" t="n">
        <v>1041.8</v>
      </c>
      <c r="J24" t="n">
        <v>1141.1</v>
      </c>
      <c r="K24" t="n">
        <v>1124.5</v>
      </c>
      <c r="L24" t="n">
        <v>1305.6</v>
      </c>
      <c r="M24" t="n">
        <v>1452.2</v>
      </c>
      <c r="N24" t="n">
        <v>1075.8</v>
      </c>
      <c r="O24" t="n">
        <v>1090.9</v>
      </c>
      <c r="P24" t="n">
        <v>1063.3</v>
      </c>
      <c r="Q24" t="n">
        <v>1342.5</v>
      </c>
      <c r="R24" t="n">
        <v>1282.2</v>
      </c>
      <c r="S24" t="n">
        <v>1172.7</v>
      </c>
      <c r="T24" t="n">
        <v>1267.9</v>
      </c>
      <c r="U24" t="n">
        <v>1259.1</v>
      </c>
      <c r="V24" t="n">
        <v>1234</v>
      </c>
      <c r="W24" t="n">
        <v>1321.1</v>
      </c>
      <c r="X24" t="n">
        <v>1217.1</v>
      </c>
      <c r="Y24" t="n">
        <v>1444.4</v>
      </c>
      <c r="Z24" t="n">
        <v>1295.5</v>
      </c>
      <c r="AA24" t="n">
        <v>1794.5</v>
      </c>
      <c r="AB24" t="n">
        <v>1992.4</v>
      </c>
      <c r="AC24" t="n">
        <v>2159.1</v>
      </c>
      <c r="AD24" t="n">
        <v>1960.9</v>
      </c>
      <c r="AE24" t="n">
        <v>1697.1</v>
      </c>
      <c r="AF24" t="n">
        <v>1903.2</v>
      </c>
    </row>
    <row r="25">
      <c r="A25" t="s">
        <v>30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30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30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30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643.1</v>
      </c>
      <c r="H28" t="n">
        <v>633.6</v>
      </c>
      <c r="I28" t="n">
        <v>669.9</v>
      </c>
      <c r="J28" t="n">
        <v>677.6</v>
      </c>
      <c r="K28" t="n">
        <v>771.2</v>
      </c>
      <c r="L28" t="n">
        <v>756.8</v>
      </c>
      <c r="M28" t="n">
        <v>898.6</v>
      </c>
      <c r="N28" t="n">
        <v>707.4</v>
      </c>
      <c r="O28" t="n">
        <v>905.7</v>
      </c>
      <c r="P28" t="n">
        <v>928.3</v>
      </c>
      <c r="Q28" t="n">
        <v>970.8</v>
      </c>
      <c r="R28" t="n">
        <v>1072.8</v>
      </c>
      <c r="S28" t="n">
        <v>889.8</v>
      </c>
      <c r="T28" t="n">
        <v>1067.4</v>
      </c>
      <c r="U28" t="n">
        <v>879.5</v>
      </c>
      <c r="V28" t="n">
        <v>866.3</v>
      </c>
      <c r="W28" t="n">
        <v>783.4</v>
      </c>
      <c r="X28" t="n">
        <v>705.7</v>
      </c>
      <c r="Y28" t="n">
        <v>772.9</v>
      </c>
      <c r="Z28" t="n">
        <v>1046.2</v>
      </c>
      <c r="AA28" t="n">
        <v>1040.6</v>
      </c>
      <c r="AB28" t="n">
        <v>919.1</v>
      </c>
      <c r="AC28" t="n">
        <v>937.4</v>
      </c>
      <c r="AD28" t="n">
        <v>947.5</v>
      </c>
      <c r="AE28" t="n">
        <v>1021.1</v>
      </c>
      <c r="AF28" t="n">
        <v>1045.1</v>
      </c>
    </row>
    <row r="29">
      <c r="A29" t="s">
        <v>30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30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30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30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30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30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87.4</v>
      </c>
      <c r="H34" t="n">
        <v>87.9</v>
      </c>
      <c r="I34" t="n">
        <v>93.5</v>
      </c>
      <c r="J34" t="n">
        <v>97.3</v>
      </c>
      <c r="K34" t="n">
        <v>97.6</v>
      </c>
      <c r="L34" t="n">
        <v>172.2</v>
      </c>
      <c r="M34" t="n">
        <v>139.8</v>
      </c>
      <c r="N34" t="n">
        <v>91.2</v>
      </c>
      <c r="O34" t="n">
        <v>99.9</v>
      </c>
      <c r="P34" t="n">
        <v>97.5</v>
      </c>
      <c r="Q34" t="n">
        <v>105.8</v>
      </c>
      <c r="R34" t="n">
        <v>131.4</v>
      </c>
      <c r="S34" t="n">
        <v>130.7</v>
      </c>
      <c r="T34" t="n">
        <v>116</v>
      </c>
      <c r="U34" t="n">
        <v>117.1</v>
      </c>
      <c r="V34" t="n">
        <v>114.2</v>
      </c>
      <c r="W34" t="n">
        <v>157.7</v>
      </c>
      <c r="X34" t="n">
        <v>164.4</v>
      </c>
      <c r="Y34" t="n">
        <v>222.5</v>
      </c>
      <c r="Z34" t="n">
        <v>139.9</v>
      </c>
      <c r="AA34" t="n">
        <v>207.9</v>
      </c>
      <c r="AB34" t="n">
        <v>170.7</v>
      </c>
      <c r="AC34" t="n">
        <v>234.3</v>
      </c>
      <c r="AD34" t="n">
        <v>280.8</v>
      </c>
      <c r="AE34" t="n">
        <v>309.6</v>
      </c>
      <c r="AF34" t="n">
        <v>199.1</v>
      </c>
    </row>
    <row r="35">
      <c r="A35" t="s">
        <v>30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3454.7</v>
      </c>
      <c r="H35" t="n">
        <v>3480.6</v>
      </c>
      <c r="I35" t="n">
        <v>3637.1</v>
      </c>
      <c r="J35" t="n">
        <v>4038.7</v>
      </c>
      <c r="K35" t="n">
        <v>4421.8</v>
      </c>
      <c r="L35" t="n">
        <v>4592.3</v>
      </c>
      <c r="M35" t="n">
        <v>4705.9</v>
      </c>
      <c r="N35" t="n">
        <v>5284.4</v>
      </c>
      <c r="O35" t="n">
        <v>4255.1</v>
      </c>
      <c r="P35" t="n">
        <v>4571.9</v>
      </c>
      <c r="Q35" t="n">
        <v>4531.7</v>
      </c>
      <c r="R35" t="n">
        <v>5093.1</v>
      </c>
      <c r="S35" t="n">
        <v>4852</v>
      </c>
      <c r="T35" t="n">
        <v>4357.2</v>
      </c>
      <c r="U35" t="n">
        <v>4726.3</v>
      </c>
      <c r="V35" t="n">
        <v>4633.2</v>
      </c>
      <c r="W35" t="n">
        <v>6018.1</v>
      </c>
      <c r="X35" t="n">
        <v>6244.1</v>
      </c>
      <c r="Y35" t="n">
        <v>6480.1</v>
      </c>
      <c r="Z35" t="n">
        <v>7797.1</v>
      </c>
      <c r="AA35" t="n">
        <v>7787.1</v>
      </c>
      <c r="AB35" t="n">
        <v>7153.6</v>
      </c>
      <c r="AC35" t="n">
        <v>6292.1</v>
      </c>
      <c r="AD35" t="n">
        <v>5853.9</v>
      </c>
      <c r="AE35" t="n">
        <v>7614.2</v>
      </c>
      <c r="AF35" t="n">
        <v>7174.4</v>
      </c>
    </row>
    <row r="36">
      <c r="A36" t="s">
        <v>30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525.9</v>
      </c>
      <c r="H36" t="n">
        <v>600.7</v>
      </c>
      <c r="I36" t="n">
        <v>604.9</v>
      </c>
      <c r="J36" t="n">
        <v>699.3</v>
      </c>
      <c r="K36" t="n">
        <v>704.9</v>
      </c>
      <c r="L36" t="n">
        <v>659.4</v>
      </c>
      <c r="M36" t="n">
        <v>851.2</v>
      </c>
      <c r="N36" t="n">
        <v>750.9</v>
      </c>
      <c r="O36" t="n">
        <v>729.2</v>
      </c>
      <c r="P36" t="n">
        <v>793.6</v>
      </c>
      <c r="Q36" t="n">
        <v>734.5</v>
      </c>
      <c r="R36" t="n">
        <v>833.7</v>
      </c>
      <c r="S36" t="n">
        <v>831.1</v>
      </c>
      <c r="T36" t="n">
        <v>834.8</v>
      </c>
      <c r="U36" t="n">
        <v>762.9</v>
      </c>
      <c r="V36" t="n">
        <v>745.7</v>
      </c>
      <c r="W36" t="n">
        <v>1430.7</v>
      </c>
      <c r="X36" t="n">
        <v>893.2</v>
      </c>
      <c r="Y36" t="n">
        <v>767.2</v>
      </c>
      <c r="Z36" t="n">
        <v>635</v>
      </c>
      <c r="AA36" t="n">
        <v>1359.7</v>
      </c>
      <c r="AB36" t="n">
        <v>1230.3</v>
      </c>
      <c r="AC36" t="n">
        <v>1163.8</v>
      </c>
      <c r="AD36" t="n">
        <v>861.6</v>
      </c>
      <c r="AE36" t="n">
        <v>847.5</v>
      </c>
      <c r="AF36" t="n">
        <v>1130.1</v>
      </c>
    </row>
    <row r="37">
      <c r="A37" t="s">
        <v>30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1123.5</v>
      </c>
      <c r="H37" t="n">
        <v>1122</v>
      </c>
      <c r="I37" t="n">
        <v>1182.2</v>
      </c>
      <c r="J37" t="n">
        <v>1183.7</v>
      </c>
      <c r="K37" t="n">
        <v>1944.8</v>
      </c>
      <c r="L37" t="n">
        <v>1604</v>
      </c>
      <c r="M37" t="n">
        <v>1691.3</v>
      </c>
      <c r="N37" t="n">
        <v>1782.2</v>
      </c>
      <c r="O37" t="n">
        <v>1322.7</v>
      </c>
      <c r="P37" t="n">
        <v>1396.5</v>
      </c>
      <c r="Q37" t="n">
        <v>1380.9</v>
      </c>
      <c r="R37" t="n">
        <v>1583.9</v>
      </c>
      <c r="S37" t="n">
        <v>1833.3</v>
      </c>
      <c r="T37" t="n">
        <v>1186.8</v>
      </c>
      <c r="U37" t="n">
        <v>1497.2</v>
      </c>
      <c r="V37" t="n">
        <v>1479.9</v>
      </c>
      <c r="W37" t="n">
        <v>2270.8</v>
      </c>
      <c r="X37" t="n">
        <v>2484.1</v>
      </c>
      <c r="Y37" t="n">
        <v>3041.9</v>
      </c>
      <c r="Z37" t="n">
        <v>3751.7</v>
      </c>
      <c r="AA37" t="n">
        <v>3409.3</v>
      </c>
      <c r="AB37" t="n">
        <v>2470.3</v>
      </c>
      <c r="AC37" t="n">
        <v>1975.6</v>
      </c>
      <c r="AD37" t="n">
        <v>1969.4</v>
      </c>
      <c r="AE37" t="n">
        <v>3206.6</v>
      </c>
      <c r="AF37" t="n">
        <v>2271.1</v>
      </c>
    </row>
    <row r="38">
      <c r="A38" t="s">
        <v>30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1805.3</v>
      </c>
      <c r="H38" t="n">
        <v>1757.9</v>
      </c>
      <c r="I38" t="n">
        <v>1850</v>
      </c>
      <c r="J38" t="n">
        <v>2155.7</v>
      </c>
      <c r="K38" t="n">
        <v>1772.1</v>
      </c>
      <c r="L38" t="n">
        <v>2328.9</v>
      </c>
      <c r="M38" t="n">
        <v>2163.4</v>
      </c>
      <c r="N38" t="n">
        <v>2751.3</v>
      </c>
      <c r="O38" t="n">
        <v>2203.2</v>
      </c>
      <c r="P38" t="n">
        <v>2381.8</v>
      </c>
      <c r="Q38" t="n">
        <v>2416.3</v>
      </c>
      <c r="R38" t="n">
        <v>2675.5</v>
      </c>
      <c r="S38" t="n">
        <v>2187.6</v>
      </c>
      <c r="T38" t="n">
        <v>2335.6</v>
      </c>
      <c r="U38" t="n">
        <v>2466.2</v>
      </c>
      <c r="V38" t="n">
        <v>2407.6</v>
      </c>
      <c r="W38" t="n">
        <v>2316.6</v>
      </c>
      <c r="X38" t="n">
        <v>2866.8</v>
      </c>
      <c r="Y38" t="n">
        <v>2671</v>
      </c>
      <c r="Z38" t="n">
        <v>3410.4</v>
      </c>
      <c r="AA38" t="n">
        <v>3018.1</v>
      </c>
      <c r="AB38" t="n">
        <v>3453</v>
      </c>
      <c r="AC38" t="n">
        <v>3152.7</v>
      </c>
      <c r="AD38" t="n">
        <v>3022.9</v>
      </c>
      <c r="AE38" t="n">
        <v>3560.1</v>
      </c>
      <c r="AF38" t="n">
        <v>3773.2</v>
      </c>
    </row>
    <row r="39">
      <c r="A39" t="s">
        <v>30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677.2</v>
      </c>
      <c r="H39" t="n">
        <v>779.9</v>
      </c>
      <c r="I39" t="n">
        <v>1125.3</v>
      </c>
      <c r="J39" t="n">
        <v>966.2</v>
      </c>
      <c r="K39" t="n">
        <v>1005.7</v>
      </c>
      <c r="L39" t="n">
        <v>974.4</v>
      </c>
      <c r="M39" t="n">
        <v>1092.2</v>
      </c>
      <c r="N39" t="n">
        <v>1218.2</v>
      </c>
      <c r="O39" t="n">
        <v>1163.3</v>
      </c>
      <c r="P39" t="n">
        <v>1150.5</v>
      </c>
      <c r="Q39" t="n">
        <v>1287</v>
      </c>
      <c r="R39" t="n">
        <v>976.7</v>
      </c>
      <c r="S39" t="n">
        <v>1464.9</v>
      </c>
      <c r="T39" t="n">
        <v>1049.4</v>
      </c>
      <c r="U39" t="n">
        <v>1181.5</v>
      </c>
      <c r="V39" t="n">
        <v>1109.3</v>
      </c>
      <c r="W39" t="n">
        <v>1107.5</v>
      </c>
      <c r="X39" t="n">
        <v>1121.9</v>
      </c>
      <c r="Y39" t="n">
        <v>1239.5</v>
      </c>
      <c r="Z39" t="n">
        <v>1530.9</v>
      </c>
      <c r="AA39" t="n">
        <v>1643.2</v>
      </c>
      <c r="AB39" t="n">
        <v>1767.8</v>
      </c>
      <c r="AC39" t="n">
        <v>1949.3</v>
      </c>
      <c r="AD39" t="n">
        <v>2179.3</v>
      </c>
      <c r="AE39" t="n">
        <v>2273.2</v>
      </c>
      <c r="AF39" t="n">
        <v>2232.6</v>
      </c>
    </row>
    <row r="40">
      <c r="A40" t="s">
        <v>30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380.3</v>
      </c>
      <c r="H40" t="n">
        <v>375.1</v>
      </c>
      <c r="I40" t="n">
        <v>405.7</v>
      </c>
      <c r="J40" t="n">
        <v>462</v>
      </c>
      <c r="K40" t="n">
        <v>579.9</v>
      </c>
      <c r="L40" t="n">
        <v>418.6</v>
      </c>
      <c r="M40" t="n">
        <v>603.4</v>
      </c>
      <c r="N40" t="n">
        <v>460.1</v>
      </c>
      <c r="O40" t="n">
        <v>471</v>
      </c>
      <c r="P40" t="n">
        <v>400.2</v>
      </c>
      <c r="Q40" t="n">
        <v>613.2</v>
      </c>
      <c r="R40" t="n">
        <v>491.7</v>
      </c>
      <c r="S40" t="n">
        <v>541.5</v>
      </c>
      <c r="T40" t="n">
        <v>782.4</v>
      </c>
      <c r="U40" t="n">
        <v>608.4</v>
      </c>
      <c r="V40" t="n">
        <v>500.9</v>
      </c>
      <c r="W40" t="n">
        <v>235</v>
      </c>
      <c r="X40" t="n">
        <v>301.9</v>
      </c>
      <c r="Y40" t="n">
        <v>700.7</v>
      </c>
      <c r="Z40" t="n">
        <v>387.5</v>
      </c>
      <c r="AA40" t="n">
        <v>190.3</v>
      </c>
      <c r="AB40" t="n">
        <v>40.8</v>
      </c>
      <c r="AC40" t="n">
        <v>44</v>
      </c>
      <c r="AD40" t="n">
        <v>106.5</v>
      </c>
      <c r="AE40" t="n">
        <v>121.2</v>
      </c>
      <c r="AF40" t="n">
        <v>99.4</v>
      </c>
    </row>
    <row r="41">
      <c r="A41" t="s">
        <v>30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30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1150.7</v>
      </c>
      <c r="H42" t="n">
        <v>1150.2</v>
      </c>
      <c r="I42" t="n">
        <v>1229.5</v>
      </c>
      <c r="J42" t="n">
        <v>1387</v>
      </c>
      <c r="K42" t="n">
        <v>1544.2</v>
      </c>
      <c r="L42" t="n">
        <v>1570.7</v>
      </c>
      <c r="M42" t="n">
        <v>1577.7</v>
      </c>
      <c r="N42" t="n">
        <v>1468.9</v>
      </c>
      <c r="O42" t="n">
        <v>1525.4</v>
      </c>
      <c r="P42" t="n">
        <v>1498.9</v>
      </c>
      <c r="Q42" t="n">
        <v>1625.1</v>
      </c>
      <c r="R42" t="n">
        <v>1663.8</v>
      </c>
      <c r="S42" t="n">
        <v>1684</v>
      </c>
      <c r="T42" t="n">
        <v>1498</v>
      </c>
      <c r="U42" t="n">
        <v>1608.7</v>
      </c>
      <c r="V42" t="n">
        <v>1563.1</v>
      </c>
      <c r="W42" t="n">
        <v>1754.7</v>
      </c>
      <c r="X42" t="n">
        <v>1453.5</v>
      </c>
      <c r="Y42" t="n">
        <v>1875.8</v>
      </c>
      <c r="Z42" t="n">
        <v>1845.7</v>
      </c>
      <c r="AA42" t="n">
        <v>1895.7</v>
      </c>
      <c r="AB42" t="n">
        <v>2363.2</v>
      </c>
      <c r="AC42" t="n">
        <v>2268.9</v>
      </c>
      <c r="AD42" t="n">
        <v>2129</v>
      </c>
      <c r="AE42" t="n">
        <v>2067.9</v>
      </c>
      <c r="AF42" t="n">
        <v>2802.8</v>
      </c>
    </row>
    <row r="43">
      <c r="A43" t="s">
        <v>30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1591.2</v>
      </c>
      <c r="H43" t="n">
        <v>1579.7</v>
      </c>
      <c r="I43" t="n">
        <v>1682.6</v>
      </c>
      <c r="J43" t="n">
        <v>1907.6</v>
      </c>
      <c r="K43" t="n">
        <v>2120.5</v>
      </c>
      <c r="L43" t="n">
        <v>2145.4</v>
      </c>
      <c r="M43" t="n">
        <v>2206.2</v>
      </c>
      <c r="N43" t="n">
        <v>2013</v>
      </c>
      <c r="O43" t="n">
        <v>2085.1</v>
      </c>
      <c r="P43" t="n">
        <v>2010.6</v>
      </c>
      <c r="Q43" t="n">
        <v>2213.6</v>
      </c>
      <c r="R43" t="n">
        <v>2281.2</v>
      </c>
      <c r="S43" t="n">
        <v>2396.4</v>
      </c>
      <c r="T43" t="n">
        <v>2063</v>
      </c>
      <c r="U43" t="n">
        <v>2218.4</v>
      </c>
      <c r="V43" t="n">
        <v>2170.6</v>
      </c>
      <c r="W43" t="n">
        <v>2481</v>
      </c>
      <c r="X43" t="n">
        <v>2170.1</v>
      </c>
      <c r="Y43" t="n">
        <v>2675.9</v>
      </c>
      <c r="Z43" t="n">
        <v>2601.7</v>
      </c>
      <c r="AA43" t="n">
        <v>2889.9</v>
      </c>
      <c r="AB43" t="n">
        <v>3214.5</v>
      </c>
      <c r="AC43" t="n">
        <v>3244.8</v>
      </c>
      <c r="AD43" t="n">
        <v>3328.4</v>
      </c>
      <c r="AE43" t="n">
        <v>3056.7</v>
      </c>
      <c r="AF43" t="n">
        <v>3786.9</v>
      </c>
    </row>
    <row r="44">
      <c r="A44" t="s">
        <v>30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11410.2</v>
      </c>
      <c r="H44" t="n">
        <v>11625.8</v>
      </c>
      <c r="I44" t="n">
        <v>12801.9</v>
      </c>
      <c r="J44" t="n">
        <v>13653.7</v>
      </c>
      <c r="K44" t="n">
        <v>14461.9</v>
      </c>
      <c r="L44" t="n">
        <v>15618.7</v>
      </c>
      <c r="M44" t="n">
        <v>16234.4</v>
      </c>
      <c r="N44" t="n">
        <v>15783</v>
      </c>
      <c r="O44" t="n">
        <v>14556.5</v>
      </c>
      <c r="P44" t="n">
        <v>15079.1</v>
      </c>
      <c r="Q44" t="n">
        <v>15598.7</v>
      </c>
      <c r="R44" t="n">
        <v>16449.3</v>
      </c>
      <c r="S44" t="n">
        <v>16393.2</v>
      </c>
      <c r="T44" t="n">
        <v>15458</v>
      </c>
      <c r="U44" t="n">
        <v>15808.1</v>
      </c>
      <c r="V44" t="n">
        <v>15424</v>
      </c>
      <c r="W44" t="n">
        <v>17287</v>
      </c>
      <c r="X44" t="n">
        <v>18257.1</v>
      </c>
      <c r="Y44" t="n">
        <v>19504.8</v>
      </c>
      <c r="Z44" t="n">
        <v>20500.9</v>
      </c>
      <c r="AA44" t="n">
        <v>22183.7</v>
      </c>
      <c r="AB44" t="n">
        <v>22448.7</v>
      </c>
      <c r="AC44" t="n">
        <v>23045.1</v>
      </c>
      <c r="AD44" t="n">
        <v>23395.8</v>
      </c>
      <c r="AE44" t="n">
        <v>23206.9</v>
      </c>
      <c r="AF44" t="n">
        <v>25102.5</v>
      </c>
    </row>
    <row r="45">
      <c r="A45" t="s">
        <v>30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11404.4</v>
      </c>
      <c r="H45" t="n">
        <v>11620.1</v>
      </c>
      <c r="I45" t="n">
        <v>12795.5</v>
      </c>
      <c r="J45" t="n">
        <v>13646.7</v>
      </c>
      <c r="K45" t="n">
        <v>14454.4</v>
      </c>
      <c r="L45" t="n">
        <v>15610.9</v>
      </c>
      <c r="M45" t="n">
        <v>16227.1</v>
      </c>
      <c r="N45" t="n">
        <v>15776.1</v>
      </c>
      <c r="O45" t="n">
        <v>14549.4</v>
      </c>
      <c r="P45" t="n">
        <v>15072.1</v>
      </c>
      <c r="Q45" t="n">
        <v>15591.2</v>
      </c>
      <c r="R45" t="n">
        <v>16441.4</v>
      </c>
      <c r="S45" t="n">
        <v>16385.2</v>
      </c>
      <c r="T45" t="n">
        <v>15450.7</v>
      </c>
      <c r="U45" t="n">
        <v>15800.6</v>
      </c>
      <c r="V45" t="n">
        <v>15416.6</v>
      </c>
      <c r="W45" t="n">
        <v>17279.7</v>
      </c>
      <c r="X45" t="n">
        <v>18243.2</v>
      </c>
      <c r="Y45" t="n">
        <v>19480.6</v>
      </c>
      <c r="Z45" t="n">
        <v>20475.2</v>
      </c>
      <c r="AA45" t="n">
        <v>22165.2</v>
      </c>
      <c r="AB45" t="n">
        <v>22447</v>
      </c>
      <c r="AC45" t="n">
        <v>23041.3</v>
      </c>
      <c r="AD45" t="n">
        <v>23389.9</v>
      </c>
      <c r="AE45" t="n">
        <v>23198.4</v>
      </c>
      <c r="AF45" t="n">
        <v>25096.4</v>
      </c>
    </row>
    <row r="46">
      <c r="A46" t="s">
        <v>30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440.5</v>
      </c>
      <c r="H46" t="n">
        <v>429.5</v>
      </c>
      <c r="I46" t="n">
        <v>453.1</v>
      </c>
      <c r="J46" t="n">
        <v>520.6</v>
      </c>
      <c r="K46" t="n">
        <v>576.3</v>
      </c>
      <c r="L46" t="n">
        <v>574.7</v>
      </c>
      <c r="M46" t="n">
        <v>628.5</v>
      </c>
      <c r="N46" t="n">
        <v>544.1</v>
      </c>
      <c r="O46" t="n">
        <v>559.7</v>
      </c>
      <c r="P46" t="n">
        <v>511.7</v>
      </c>
      <c r="Q46" t="n">
        <v>588.5</v>
      </c>
      <c r="R46" t="n">
        <v>617.4</v>
      </c>
      <c r="S46" t="n">
        <v>712.4</v>
      </c>
      <c r="T46" t="n">
        <v>565</v>
      </c>
      <c r="U46" t="n">
        <v>609.7</v>
      </c>
      <c r="V46" t="n">
        <v>607.5</v>
      </c>
      <c r="W46" t="n">
        <v>726.3</v>
      </c>
      <c r="X46" t="n">
        <v>716.6</v>
      </c>
      <c r="Y46" t="n">
        <v>800.1</v>
      </c>
      <c r="Z46" t="n">
        <v>756</v>
      </c>
      <c r="AA46" t="n">
        <v>994.2</v>
      </c>
      <c r="AB46" t="n">
        <v>851.3</v>
      </c>
      <c r="AC46" t="n">
        <v>975.9</v>
      </c>
      <c r="AD46" t="n">
        <v>1199.4</v>
      </c>
      <c r="AE46" t="n">
        <v>988.8</v>
      </c>
      <c r="AF46" t="n">
        <v>984.1</v>
      </c>
    </row>
    <row r="47">
      <c r="A47" t="s">
        <v>30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1023.5</v>
      </c>
      <c r="H47" t="n">
        <v>1104.4</v>
      </c>
      <c r="I47" t="n">
        <v>1131.5</v>
      </c>
      <c r="J47" t="n">
        <v>1216.7</v>
      </c>
      <c r="K47" t="n">
        <v>1254.1</v>
      </c>
      <c r="L47" t="n">
        <v>1427.5</v>
      </c>
      <c r="M47" t="n">
        <v>1439.8</v>
      </c>
      <c r="N47" t="n">
        <v>1512.5</v>
      </c>
      <c r="O47" t="n">
        <v>1589.6</v>
      </c>
      <c r="P47" t="n">
        <v>1655.8</v>
      </c>
      <c r="Q47" t="n">
        <v>1406.9</v>
      </c>
      <c r="R47" t="n">
        <v>1469.9</v>
      </c>
      <c r="S47" t="n">
        <v>1442.1</v>
      </c>
      <c r="T47" t="n">
        <v>1616.1</v>
      </c>
      <c r="U47" t="n">
        <v>1745.1</v>
      </c>
      <c r="V47" t="n">
        <v>1747.8</v>
      </c>
      <c r="W47" t="n">
        <v>1662.9</v>
      </c>
      <c r="X47" t="n">
        <v>1744.3</v>
      </c>
      <c r="Y47" t="n">
        <v>1693</v>
      </c>
      <c r="Z47" t="n">
        <v>1703.8</v>
      </c>
      <c r="AA47" t="n">
        <v>1737.7</v>
      </c>
      <c r="AB47" t="n">
        <v>1580.2</v>
      </c>
      <c r="AC47" t="n">
        <v>1670.8</v>
      </c>
      <c r="AD47" t="n">
        <v>1847.8</v>
      </c>
      <c r="AE47" t="n">
        <v>2194</v>
      </c>
      <c r="AF47" t="n">
        <v>2664.8</v>
      </c>
    </row>
    <row r="48">
      <c r="A48" t="s">
        <v>30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1656.6</v>
      </c>
      <c r="H48" t="n">
        <v>1834.5</v>
      </c>
      <c r="I48" t="n">
        <v>1877.6</v>
      </c>
      <c r="J48" t="n">
        <v>2024.3</v>
      </c>
      <c r="K48" t="n">
        <v>2136.7</v>
      </c>
      <c r="L48" t="n">
        <v>2349.4</v>
      </c>
      <c r="M48" t="n">
        <v>2412.3</v>
      </c>
      <c r="N48" t="n">
        <v>2439.8</v>
      </c>
      <c r="O48" t="n">
        <v>2543.5</v>
      </c>
      <c r="P48" t="n">
        <v>2648.2</v>
      </c>
      <c r="Q48" t="n">
        <v>2443.7</v>
      </c>
      <c r="R48" t="n">
        <v>2585.9</v>
      </c>
      <c r="S48" t="n">
        <v>2489.7</v>
      </c>
      <c r="T48" t="n">
        <v>2752.3</v>
      </c>
      <c r="U48" t="n">
        <v>2841.7</v>
      </c>
      <c r="V48" t="n">
        <v>2810.3</v>
      </c>
      <c r="W48" t="n">
        <v>2829.5</v>
      </c>
      <c r="X48" t="n">
        <v>2668.3</v>
      </c>
      <c r="Y48" t="n">
        <v>2613.3</v>
      </c>
      <c r="Z48" t="n">
        <v>2691.8</v>
      </c>
      <c r="AA48" t="n">
        <v>2580.4</v>
      </c>
      <c r="AB48" t="n">
        <v>2471.5</v>
      </c>
      <c r="AC48" t="n">
        <v>2699.4</v>
      </c>
      <c r="AD48" t="n">
        <v>2790.3</v>
      </c>
      <c r="AE48" t="n">
        <v>3179.5</v>
      </c>
      <c r="AF48" t="n">
        <v>3664.9</v>
      </c>
    </row>
    <row r="49">
      <c r="A49" t="s">
        <v>30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139.3</v>
      </c>
      <c r="H49" t="n">
        <v>157.8</v>
      </c>
      <c r="I49" t="n">
        <v>164.2</v>
      </c>
      <c r="J49" t="n">
        <v>173</v>
      </c>
      <c r="K49" t="n">
        <v>191.9</v>
      </c>
      <c r="L49" t="n">
        <v>203.5</v>
      </c>
      <c r="M49" t="n">
        <v>231.8</v>
      </c>
      <c r="N49" t="n">
        <v>241.4</v>
      </c>
      <c r="O49" t="n">
        <v>268.2</v>
      </c>
      <c r="P49" t="n">
        <v>276.8</v>
      </c>
      <c r="Q49" t="n">
        <v>331.2</v>
      </c>
      <c r="R49" t="n">
        <v>352.8</v>
      </c>
      <c r="S49" t="n">
        <v>369.2</v>
      </c>
      <c r="T49" t="n">
        <v>385.7</v>
      </c>
      <c r="U49" t="n">
        <v>371.9</v>
      </c>
      <c r="V49" t="n">
        <v>379.6</v>
      </c>
      <c r="W49" t="n">
        <v>388.3</v>
      </c>
      <c r="X49" t="n">
        <v>384.2</v>
      </c>
      <c r="Y49" t="n">
        <v>460.3</v>
      </c>
      <c r="Z49" t="n">
        <v>436.1</v>
      </c>
      <c r="AA49" t="n">
        <v>435.9</v>
      </c>
      <c r="AB49" t="n">
        <v>431.3</v>
      </c>
      <c r="AC49" t="n">
        <v>561.6</v>
      </c>
      <c r="AD49" t="n">
        <v>440.6</v>
      </c>
      <c r="AE49" t="n">
        <v>497.6</v>
      </c>
      <c r="AF49" t="n">
        <v>530.4</v>
      </c>
    </row>
    <row r="50">
      <c r="A50" t="s">
        <v>30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493.7</v>
      </c>
      <c r="H50" t="n">
        <v>572.3</v>
      </c>
      <c r="I50" t="n">
        <v>581.9</v>
      </c>
      <c r="J50" t="n">
        <v>634.5</v>
      </c>
      <c r="K50" t="n">
        <v>690.7</v>
      </c>
      <c r="L50" t="n">
        <v>718.3</v>
      </c>
      <c r="M50" t="n">
        <v>740.8</v>
      </c>
      <c r="N50" t="n">
        <v>686</v>
      </c>
      <c r="O50" t="n">
        <v>685.7</v>
      </c>
      <c r="P50" t="n">
        <v>715.6</v>
      </c>
      <c r="Q50" t="n">
        <v>705.6</v>
      </c>
      <c r="R50" t="n">
        <v>763.2</v>
      </c>
      <c r="S50" t="n">
        <v>678.4</v>
      </c>
      <c r="T50" t="n">
        <v>750.5</v>
      </c>
      <c r="U50" t="n">
        <v>724.7</v>
      </c>
      <c r="V50" t="n">
        <v>682.9</v>
      </c>
      <c r="W50" t="n">
        <v>778.2</v>
      </c>
      <c r="X50" t="n">
        <v>539.7</v>
      </c>
      <c r="Y50" t="n">
        <v>460</v>
      </c>
      <c r="Z50" t="n">
        <v>551.8</v>
      </c>
      <c r="AA50" t="n">
        <v>406.7</v>
      </c>
      <c r="AB50" t="n">
        <v>460</v>
      </c>
      <c r="AC50" t="n">
        <v>467.1</v>
      </c>
      <c r="AD50" t="n">
        <v>501.9</v>
      </c>
      <c r="AE50" t="n">
        <v>487.9</v>
      </c>
      <c r="AF50" t="n">
        <v>469.7</v>
      </c>
    </row>
    <row r="51">
      <c r="A51" t="s">
        <v>30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470.8</v>
      </c>
      <c r="H51" t="n">
        <v>536.3</v>
      </c>
      <c r="I51" t="n">
        <v>551.2</v>
      </c>
      <c r="J51" t="n">
        <v>594.4</v>
      </c>
      <c r="K51" t="n">
        <v>656.9</v>
      </c>
      <c r="L51" t="n">
        <v>660</v>
      </c>
      <c r="M51" t="n">
        <v>679.3</v>
      </c>
      <c r="N51" t="n">
        <v>656.1</v>
      </c>
      <c r="O51" t="n">
        <v>634.2</v>
      </c>
      <c r="P51" t="n">
        <v>664.6</v>
      </c>
      <c r="Q51" t="n">
        <v>661.3</v>
      </c>
      <c r="R51" t="n">
        <v>710.9</v>
      </c>
      <c r="S51" t="n">
        <v>617.5</v>
      </c>
      <c r="T51" t="n">
        <v>713.1</v>
      </c>
      <c r="U51" t="n">
        <v>690.1</v>
      </c>
      <c r="V51" t="n">
        <v>634</v>
      </c>
      <c r="W51" t="n">
        <v>697.3</v>
      </c>
      <c r="X51" t="n">
        <v>441.3</v>
      </c>
      <c r="Y51" t="n">
        <v>310</v>
      </c>
      <c r="Z51" t="n">
        <v>361.4</v>
      </c>
      <c r="AA51" t="n">
        <v>269.1</v>
      </c>
      <c r="AB51" t="n">
        <v>330.9</v>
      </c>
      <c r="AC51" t="n">
        <v>357.1</v>
      </c>
      <c r="AD51" t="n">
        <v>389.9</v>
      </c>
      <c r="AE51" t="n">
        <v>356.6</v>
      </c>
      <c r="AF51" t="n">
        <v>380.6</v>
      </c>
    </row>
    <row r="52">
      <c r="A52" t="s">
        <v>30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22.9</v>
      </c>
      <c r="H52" t="n">
        <v>36</v>
      </c>
      <c r="I52" t="n">
        <v>30.7</v>
      </c>
      <c r="J52" t="n">
        <v>40.1</v>
      </c>
      <c r="K52" t="n">
        <v>33.8</v>
      </c>
      <c r="L52" t="n">
        <v>58.3</v>
      </c>
      <c r="M52" t="n">
        <v>61.5</v>
      </c>
      <c r="N52" t="n">
        <v>29.9</v>
      </c>
      <c r="O52" t="n">
        <v>51.5</v>
      </c>
      <c r="P52" t="n">
        <v>51</v>
      </c>
      <c r="Q52" t="n">
        <v>44.3</v>
      </c>
      <c r="R52" t="n">
        <v>52.3</v>
      </c>
      <c r="S52" t="n">
        <v>60.9</v>
      </c>
      <c r="T52" t="n">
        <v>37.4</v>
      </c>
      <c r="U52" t="n">
        <v>34.6</v>
      </c>
      <c r="V52" t="n">
        <v>48.9</v>
      </c>
      <c r="W52" t="n">
        <v>80.9</v>
      </c>
      <c r="X52" t="n">
        <v>98.4</v>
      </c>
      <c r="Y52" t="n">
        <v>150</v>
      </c>
      <c r="Z52" t="n">
        <v>190.4</v>
      </c>
      <c r="AA52" t="n">
        <v>137.6</v>
      </c>
      <c r="AB52" t="n">
        <v>129.1</v>
      </c>
      <c r="AC52" t="n">
        <v>110</v>
      </c>
      <c r="AD52" t="n">
        <v>112</v>
      </c>
      <c r="AE52" t="n">
        <v>131.3</v>
      </c>
      <c r="AF52" t="n">
        <v>89.1</v>
      </c>
    </row>
    <row r="53">
      <c r="A53" t="s">
        <v>30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403.6</v>
      </c>
      <c r="H53" t="n">
        <v>468.9</v>
      </c>
      <c r="I53" t="n">
        <v>490.2</v>
      </c>
      <c r="J53" t="n">
        <v>512</v>
      </c>
      <c r="K53" t="n">
        <v>542.5</v>
      </c>
      <c r="L53" t="n">
        <v>526.1</v>
      </c>
      <c r="M53" t="n">
        <v>668.7</v>
      </c>
      <c r="N53" t="n">
        <v>595</v>
      </c>
      <c r="O53" t="n">
        <v>436.3</v>
      </c>
      <c r="P53" t="n">
        <v>825.5</v>
      </c>
      <c r="Q53" t="n">
        <v>551.6</v>
      </c>
      <c r="R53" t="n">
        <v>646.5</v>
      </c>
      <c r="S53" t="n">
        <v>528</v>
      </c>
      <c r="T53" t="n">
        <v>599.3</v>
      </c>
      <c r="U53" t="n">
        <v>620.8</v>
      </c>
      <c r="V53" t="n">
        <v>583.7</v>
      </c>
      <c r="W53" t="n">
        <v>376.3</v>
      </c>
      <c r="X53" t="n">
        <v>698.9</v>
      </c>
      <c r="Y53" t="n">
        <v>433.4</v>
      </c>
      <c r="Z53" t="n">
        <v>370.5</v>
      </c>
      <c r="AA53" t="n">
        <v>367.1</v>
      </c>
      <c r="AB53" t="n">
        <v>529.2</v>
      </c>
      <c r="AC53" t="n">
        <v>533</v>
      </c>
      <c r="AD53" t="n">
        <v>787.2</v>
      </c>
      <c r="AE53" t="n">
        <v>767.8</v>
      </c>
      <c r="AF53" t="n">
        <v>624</v>
      </c>
    </row>
    <row r="54">
      <c r="A54" t="s">
        <v>30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441.1</v>
      </c>
      <c r="H54" t="n">
        <v>511.5</v>
      </c>
      <c r="I54" t="n">
        <v>533.6</v>
      </c>
      <c r="J54" t="n">
        <v>562.4</v>
      </c>
      <c r="K54" t="n">
        <v>591.9</v>
      </c>
      <c r="L54" t="n">
        <v>584.1</v>
      </c>
      <c r="M54" t="n">
        <v>727.6</v>
      </c>
      <c r="N54" t="n">
        <v>647.6</v>
      </c>
      <c r="O54" t="n">
        <v>485.3</v>
      </c>
      <c r="P54" t="n">
        <v>877.5</v>
      </c>
      <c r="Q54" t="n">
        <v>603.8</v>
      </c>
      <c r="R54" t="n">
        <v>704.2</v>
      </c>
      <c r="S54" t="n">
        <v>618.8</v>
      </c>
      <c r="T54" t="n">
        <v>649</v>
      </c>
      <c r="U54" t="n">
        <v>675.5</v>
      </c>
      <c r="V54" t="n">
        <v>637.4</v>
      </c>
      <c r="W54" t="n">
        <v>430.4</v>
      </c>
      <c r="X54" t="n">
        <v>770.5</v>
      </c>
      <c r="Y54" t="n">
        <v>524.6</v>
      </c>
      <c r="Z54" t="n">
        <v>443.7</v>
      </c>
      <c r="AA54" t="n">
        <v>475.4</v>
      </c>
      <c r="AB54" t="n">
        <v>616</v>
      </c>
      <c r="AC54" t="n">
        <v>649.9</v>
      </c>
      <c r="AD54" t="n">
        <v>944.2</v>
      </c>
      <c r="AE54" t="n">
        <v>854</v>
      </c>
      <c r="AF54" t="n">
        <v>743</v>
      </c>
    </row>
    <row r="55">
      <c r="A55" t="s">
        <v>30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37.5</v>
      </c>
      <c r="H55" t="n">
        <v>42.6</v>
      </c>
      <c r="I55" t="n">
        <v>43.4</v>
      </c>
      <c r="J55" t="n">
        <v>50.4</v>
      </c>
      <c r="K55" t="n">
        <v>49.4</v>
      </c>
      <c r="L55" t="n">
        <v>58</v>
      </c>
      <c r="M55" t="n">
        <v>58.9</v>
      </c>
      <c r="N55" t="n">
        <v>52.6</v>
      </c>
      <c r="O55" t="n">
        <v>49</v>
      </c>
      <c r="P55" t="n">
        <v>52</v>
      </c>
      <c r="Q55" t="n">
        <v>52.2</v>
      </c>
      <c r="R55" t="n">
        <v>57.7</v>
      </c>
      <c r="S55" t="n">
        <v>90.8</v>
      </c>
      <c r="T55" t="n">
        <v>49.7</v>
      </c>
      <c r="U55" t="n">
        <v>54.7</v>
      </c>
      <c r="V55" t="n">
        <v>53.7</v>
      </c>
      <c r="W55" t="n">
        <v>54.1</v>
      </c>
      <c r="X55" t="n">
        <v>71.6</v>
      </c>
      <c r="Y55" t="n">
        <v>91.2</v>
      </c>
      <c r="Z55" t="n">
        <v>73.2</v>
      </c>
      <c r="AA55" t="n">
        <v>108.3</v>
      </c>
      <c r="AB55" t="n">
        <v>86.8</v>
      </c>
      <c r="AC55" t="n">
        <v>116.9</v>
      </c>
      <c r="AD55" t="n">
        <v>157</v>
      </c>
      <c r="AE55" t="n">
        <v>86.2</v>
      </c>
      <c r="AF55" t="n">
        <v>119</v>
      </c>
    </row>
    <row r="56">
      <c r="A56" t="s">
        <v>30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30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13447</v>
      </c>
      <c r="H57" t="n">
        <v>13835.4</v>
      </c>
      <c r="I57" t="n">
        <v>15085.2</v>
      </c>
      <c r="J57" t="n">
        <v>16139.9</v>
      </c>
      <c r="K57" t="n">
        <v>17178.5</v>
      </c>
      <c r="L57" t="n">
        <v>18386.6</v>
      </c>
      <c r="M57" t="n">
        <v>19250.2</v>
      </c>
      <c r="N57" t="n">
        <v>18683</v>
      </c>
      <c r="O57" t="n">
        <v>17571</v>
      </c>
      <c r="P57" t="n">
        <v>18127.5</v>
      </c>
      <c r="Q57" t="n">
        <v>18655.6</v>
      </c>
      <c r="R57" t="n">
        <v>19526.9</v>
      </c>
      <c r="S57" t="n">
        <v>19424.4</v>
      </c>
      <c r="T57" t="n">
        <v>18992.7</v>
      </c>
      <c r="U57" t="n">
        <v>19258.2</v>
      </c>
      <c r="V57" t="n">
        <v>18735.2</v>
      </c>
      <c r="W57" t="n">
        <v>20351.4</v>
      </c>
      <c r="X57" t="n">
        <v>21227.2</v>
      </c>
      <c r="Y57" t="n">
        <v>22818.8</v>
      </c>
      <c r="Z57" t="n">
        <v>23580.1</v>
      </c>
      <c r="AA57" t="n">
        <v>24954.3</v>
      </c>
      <c r="AB57" t="n">
        <v>24961</v>
      </c>
      <c r="AC57" t="n">
        <v>25788.6</v>
      </c>
      <c r="AD57" t="n">
        <v>26292.6</v>
      </c>
      <c r="AE57" t="n">
        <v>26507.6</v>
      </c>
      <c r="AF57" t="n">
        <v>28866.8</v>
      </c>
    </row>
    <row r="58">
      <c r="A58" t="s">
        <v>30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13447</v>
      </c>
      <c r="H58" t="n">
        <v>13835.4</v>
      </c>
      <c r="I58" t="n">
        <v>15085.2</v>
      </c>
      <c r="J58" t="n">
        <v>16139.9</v>
      </c>
      <c r="K58" t="n">
        <v>17178.5</v>
      </c>
      <c r="L58" t="n">
        <v>18386.6</v>
      </c>
      <c r="M58" t="n">
        <v>19250.2</v>
      </c>
      <c r="N58" t="n">
        <v>18683</v>
      </c>
      <c r="O58" t="n">
        <v>17571</v>
      </c>
      <c r="P58" t="n">
        <v>18127.5</v>
      </c>
      <c r="Q58" t="n">
        <v>18655.6</v>
      </c>
      <c r="R58" t="n">
        <v>19526.9</v>
      </c>
      <c r="S58" t="n">
        <v>19424.4</v>
      </c>
      <c r="T58" t="n">
        <v>18992.7</v>
      </c>
      <c r="U58" t="n">
        <v>19258.2</v>
      </c>
      <c r="V58" t="n">
        <v>18735.2</v>
      </c>
      <c r="W58" t="n">
        <v>20351.4</v>
      </c>
      <c r="X58" t="n">
        <v>21227.2</v>
      </c>
      <c r="Y58" t="n">
        <v>22818.8</v>
      </c>
      <c r="Z58" t="n">
        <v>23580.1</v>
      </c>
      <c r="AA58" t="n">
        <v>24954.3</v>
      </c>
      <c r="AB58" t="n">
        <v>24961</v>
      </c>
      <c r="AC58" t="n">
        <v>25788.6</v>
      </c>
      <c r="AD58" t="n">
        <v>26292.6</v>
      </c>
      <c r="AE58" t="n">
        <v>26507.6</v>
      </c>
      <c r="AF58" t="n">
        <v>28866.8</v>
      </c>
    </row>
    <row r="59">
      <c r="A59" t="s">
        <v>30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32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203.1</v>
      </c>
      <c r="H2" t="n">
        <v>291.1</v>
      </c>
      <c r="I2" t="n">
        <v>271.8</v>
      </c>
      <c r="J2" t="n">
        <v>368.1</v>
      </c>
      <c r="K2" t="n">
        <v>352.7</v>
      </c>
      <c r="L2" t="n">
        <v>346.9</v>
      </c>
      <c r="M2" t="n">
        <v>448.7</v>
      </c>
      <c r="N2" t="n">
        <v>359.9</v>
      </c>
      <c r="O2" t="n">
        <v>446.2</v>
      </c>
      <c r="P2" t="n">
        <v>406.3</v>
      </c>
      <c r="Q2" t="n">
        <v>416.3</v>
      </c>
      <c r="R2" t="n">
        <v>414.7</v>
      </c>
      <c r="S2" t="n">
        <v>383</v>
      </c>
      <c r="T2" t="n">
        <v>285.6</v>
      </c>
      <c r="U2" t="n">
        <v>268.8</v>
      </c>
      <c r="V2" t="n">
        <v>340.6</v>
      </c>
      <c r="W2" t="n">
        <v>147.5</v>
      </c>
      <c r="X2" t="n">
        <v>132.3</v>
      </c>
      <c r="Y2" t="n">
        <v>133</v>
      </c>
      <c r="Z2" t="n">
        <v>147.2</v>
      </c>
      <c r="AA2" t="n">
        <v>217</v>
      </c>
      <c r="AB2" t="n">
        <v>254</v>
      </c>
      <c r="AC2" t="n">
        <v>262.8</v>
      </c>
      <c r="AD2" t="n">
        <v>273.3</v>
      </c>
      <c r="AE2" t="n">
        <v>262.6</v>
      </c>
      <c r="AF2" t="n">
        <v>279.4</v>
      </c>
    </row>
    <row r="3">
      <c r="A3" t="s">
        <v>32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20</v>
      </c>
      <c r="H3" t="n">
        <v>19.4</v>
      </c>
      <c r="I3" t="n">
        <v>14.7</v>
      </c>
      <c r="J3" t="n">
        <v>28.7</v>
      </c>
      <c r="K3" t="n">
        <v>25.2</v>
      </c>
      <c r="L3" t="n">
        <v>25.7</v>
      </c>
      <c r="M3" t="n">
        <v>30.5</v>
      </c>
      <c r="N3" t="n">
        <v>23.6</v>
      </c>
      <c r="O3" t="n">
        <v>28.4</v>
      </c>
      <c r="P3" t="n">
        <v>30.6</v>
      </c>
      <c r="Q3" t="n">
        <v>28.8</v>
      </c>
      <c r="R3" t="n">
        <v>30.4</v>
      </c>
      <c r="S3" t="n">
        <v>30</v>
      </c>
      <c r="T3" t="n">
        <v>22</v>
      </c>
      <c r="U3" t="n">
        <v>21.9</v>
      </c>
      <c r="V3" t="n">
        <v>23.7</v>
      </c>
      <c r="W3" t="n">
        <v>6.5</v>
      </c>
      <c r="X3" t="n">
        <v>7.8</v>
      </c>
      <c r="Y3" t="n">
        <v>12.3</v>
      </c>
      <c r="Z3" t="n">
        <v>12.3</v>
      </c>
      <c r="AA3" t="n">
        <v>20.5</v>
      </c>
      <c r="AB3" t="n">
        <v>18.6</v>
      </c>
      <c r="AC3" t="n">
        <v>22.1</v>
      </c>
      <c r="AD3" t="n">
        <v>22.6</v>
      </c>
      <c r="AE3" t="n">
        <v>21.1</v>
      </c>
      <c r="AF3" t="n">
        <v>34.6</v>
      </c>
    </row>
    <row r="4">
      <c r="A4" t="s">
        <v>32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1125.6</v>
      </c>
      <c r="H4" t="n">
        <v>1009.8</v>
      </c>
      <c r="I4" t="n">
        <v>1371</v>
      </c>
      <c r="J4" t="n">
        <v>1532.7</v>
      </c>
      <c r="K4" t="n">
        <v>1800.2</v>
      </c>
      <c r="L4" t="n">
        <v>1828.3</v>
      </c>
      <c r="M4" t="n">
        <v>2003.9</v>
      </c>
      <c r="N4" t="n">
        <v>1752</v>
      </c>
      <c r="O4" t="n">
        <v>2044.8</v>
      </c>
      <c r="P4" t="n">
        <v>1883.1</v>
      </c>
      <c r="Q4" t="n">
        <v>2026.1</v>
      </c>
      <c r="R4" t="n">
        <v>1963.3</v>
      </c>
      <c r="S4" t="n">
        <v>2044.1</v>
      </c>
      <c r="T4" t="n">
        <v>1330.4</v>
      </c>
      <c r="U4" t="n">
        <v>1319.6</v>
      </c>
      <c r="V4" t="n">
        <v>1607.6</v>
      </c>
      <c r="W4" t="n">
        <v>1214.7</v>
      </c>
      <c r="X4" t="n">
        <v>730.9</v>
      </c>
      <c r="Y4" t="n">
        <v>845.1</v>
      </c>
      <c r="Z4" t="n">
        <v>916.3</v>
      </c>
      <c r="AA4" t="n">
        <v>1636.7</v>
      </c>
      <c r="AB4" t="n">
        <v>1589.6</v>
      </c>
      <c r="AC4" t="n">
        <v>1407.4</v>
      </c>
      <c r="AD4" t="n">
        <v>906.8</v>
      </c>
      <c r="AE4" t="n">
        <v>548.6</v>
      </c>
      <c r="AF4" t="n">
        <v>1597.4</v>
      </c>
    </row>
    <row r="5">
      <c r="A5" t="s">
        <v>32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142.1</v>
      </c>
      <c r="H5" t="n">
        <v>91.4</v>
      </c>
      <c r="I5" t="n">
        <v>195.2</v>
      </c>
      <c r="J5" t="n">
        <v>174.5</v>
      </c>
      <c r="K5" t="n">
        <v>228.4</v>
      </c>
      <c r="L5" t="n">
        <v>204.6</v>
      </c>
      <c r="M5" t="n">
        <v>234.3</v>
      </c>
      <c r="N5" t="n">
        <v>206.8</v>
      </c>
      <c r="O5" t="n">
        <v>235.4</v>
      </c>
      <c r="P5" t="n">
        <v>240.2</v>
      </c>
      <c r="Q5" t="n">
        <v>222.4</v>
      </c>
      <c r="R5" t="n">
        <v>236.5</v>
      </c>
      <c r="S5" t="n">
        <v>229.1</v>
      </c>
      <c r="T5" t="n">
        <v>153.4</v>
      </c>
      <c r="U5" t="n">
        <v>161.5</v>
      </c>
      <c r="V5" t="n">
        <v>186.6</v>
      </c>
      <c r="W5" t="n">
        <v>114.1</v>
      </c>
      <c r="X5" t="n">
        <v>108.8</v>
      </c>
      <c r="Y5" t="n">
        <v>135.6</v>
      </c>
      <c r="Z5" t="n">
        <v>142.3</v>
      </c>
      <c r="AA5" t="n">
        <v>196.3</v>
      </c>
      <c r="AB5" t="n">
        <v>203.3</v>
      </c>
      <c r="AC5" t="n">
        <v>189.6</v>
      </c>
      <c r="AD5" t="n">
        <v>185.9</v>
      </c>
      <c r="AE5" t="n">
        <v>157.1</v>
      </c>
      <c r="AF5" t="n">
        <v>179.1</v>
      </c>
    </row>
    <row r="6">
      <c r="A6" t="s">
        <v>32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113.4</v>
      </c>
      <c r="H6" t="n">
        <v>97</v>
      </c>
      <c r="I6" t="n">
        <v>183.8</v>
      </c>
      <c r="J6" t="n">
        <v>157.7</v>
      </c>
      <c r="K6" t="n">
        <v>177.4</v>
      </c>
      <c r="L6" t="n">
        <v>194.6</v>
      </c>
      <c r="M6" t="n">
        <v>197.1</v>
      </c>
      <c r="N6" t="n">
        <v>195.9</v>
      </c>
      <c r="O6" t="n">
        <v>201.8</v>
      </c>
      <c r="P6" t="n">
        <v>213.7</v>
      </c>
      <c r="Q6" t="n">
        <v>197</v>
      </c>
      <c r="R6" t="n">
        <v>208.3</v>
      </c>
      <c r="S6" t="n">
        <v>207.4</v>
      </c>
      <c r="T6" t="n">
        <v>133.5</v>
      </c>
      <c r="U6" t="n">
        <v>129</v>
      </c>
      <c r="V6" t="n">
        <v>165.1</v>
      </c>
      <c r="W6" t="n">
        <v>64.8</v>
      </c>
      <c r="X6" t="n">
        <v>78.3</v>
      </c>
      <c r="Y6" t="n">
        <v>94.7</v>
      </c>
      <c r="Z6" t="n">
        <v>102.8</v>
      </c>
      <c r="AA6" t="n">
        <v>143.6</v>
      </c>
      <c r="AB6" t="n">
        <v>160.4</v>
      </c>
      <c r="AC6" t="n">
        <v>143.5</v>
      </c>
      <c r="AD6" t="n">
        <v>132.3</v>
      </c>
      <c r="AE6" t="n">
        <v>88.7</v>
      </c>
      <c r="AF6" t="n">
        <v>115.5</v>
      </c>
    </row>
    <row r="7">
      <c r="A7" t="s">
        <v>32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101.8</v>
      </c>
      <c r="H7" t="n">
        <v>67</v>
      </c>
      <c r="I7" t="n">
        <v>104.2</v>
      </c>
      <c r="J7" t="n">
        <v>152.8</v>
      </c>
      <c r="K7" t="n">
        <v>144.1</v>
      </c>
      <c r="L7" t="n">
        <v>144.3</v>
      </c>
      <c r="M7" t="n">
        <v>151.9</v>
      </c>
      <c r="N7" t="n">
        <v>151.8</v>
      </c>
      <c r="O7" t="n">
        <v>170</v>
      </c>
      <c r="P7" t="n">
        <v>148.2</v>
      </c>
      <c r="Q7" t="n">
        <v>147.4</v>
      </c>
      <c r="R7" t="n">
        <v>162.5</v>
      </c>
      <c r="S7" t="n">
        <v>160.6</v>
      </c>
      <c r="T7" t="n">
        <v>105.3</v>
      </c>
      <c r="U7" t="n">
        <v>103.3</v>
      </c>
      <c r="V7" t="n">
        <v>125.5</v>
      </c>
      <c r="W7" t="n">
        <v>50.6</v>
      </c>
      <c r="X7" t="n">
        <v>55.8</v>
      </c>
      <c r="Y7" t="n">
        <v>66</v>
      </c>
      <c r="Z7" t="n">
        <v>78.1</v>
      </c>
      <c r="AA7" t="n">
        <v>120.6</v>
      </c>
      <c r="AB7" t="n">
        <v>121.7</v>
      </c>
      <c r="AC7" t="n">
        <v>117.7</v>
      </c>
      <c r="AD7" t="n">
        <v>121</v>
      </c>
      <c r="AE7" t="n">
        <v>93.8</v>
      </c>
      <c r="AF7" t="n">
        <v>118</v>
      </c>
    </row>
    <row r="8">
      <c r="A8" t="s">
        <v>32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3.4</v>
      </c>
      <c r="H8" t="n">
        <v>5.4</v>
      </c>
      <c r="I8" t="n">
        <v>5.2</v>
      </c>
      <c r="J8" t="n">
        <v>5.9</v>
      </c>
      <c r="K8" t="n">
        <v>9</v>
      </c>
      <c r="L8" t="n">
        <v>7.1</v>
      </c>
      <c r="M8" t="n">
        <v>9.4</v>
      </c>
      <c r="N8" t="n">
        <v>8.4</v>
      </c>
      <c r="O8" t="n">
        <v>9.5</v>
      </c>
      <c r="P8" t="n">
        <v>9.2</v>
      </c>
      <c r="Q8" t="n">
        <v>9.7</v>
      </c>
      <c r="R8" t="n">
        <v>8.6</v>
      </c>
      <c r="S8" t="n">
        <v>8.9</v>
      </c>
      <c r="T8" t="n">
        <v>6.7</v>
      </c>
      <c r="U8" t="n">
        <v>7</v>
      </c>
      <c r="V8" t="n">
        <v>7.8</v>
      </c>
      <c r="W8" t="n">
        <v>4.6</v>
      </c>
      <c r="X8" t="n">
        <v>-0.6</v>
      </c>
      <c r="Y8" t="n">
        <v>3.6</v>
      </c>
      <c r="Z8" t="n">
        <v>3.9</v>
      </c>
      <c r="AA8" t="n">
        <v>6.3</v>
      </c>
      <c r="AB8" t="n">
        <v>7.6</v>
      </c>
      <c r="AC8" t="n">
        <v>6.7</v>
      </c>
      <c r="AD8" t="n">
        <v>4.8</v>
      </c>
      <c r="AE8" t="n">
        <v>6.8</v>
      </c>
      <c r="AF8" t="n">
        <v>10.4</v>
      </c>
    </row>
    <row r="9">
      <c r="A9" t="s">
        <v>32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22.5</v>
      </c>
      <c r="H9" t="n">
        <v>38.9</v>
      </c>
      <c r="I9" t="n">
        <v>36.8</v>
      </c>
      <c r="J9" t="n">
        <v>41.1</v>
      </c>
      <c r="K9" t="n">
        <v>56</v>
      </c>
      <c r="L9" t="n">
        <v>44.4</v>
      </c>
      <c r="M9" t="n">
        <v>56.1</v>
      </c>
      <c r="N9" t="n">
        <v>53.6</v>
      </c>
      <c r="O9" t="n">
        <v>63</v>
      </c>
      <c r="P9" t="n">
        <v>43.6</v>
      </c>
      <c r="Q9" t="n">
        <v>55.2</v>
      </c>
      <c r="R9" t="n">
        <v>52.8</v>
      </c>
      <c r="S9" t="n">
        <v>55.4</v>
      </c>
      <c r="T9" t="n">
        <v>35.2</v>
      </c>
      <c r="U9" t="n">
        <v>35.6</v>
      </c>
      <c r="V9" t="n">
        <v>44</v>
      </c>
      <c r="W9" t="n">
        <v>21.4</v>
      </c>
      <c r="X9" t="n">
        <v>21.7</v>
      </c>
      <c r="Y9" t="n">
        <v>23.7</v>
      </c>
      <c r="Z9" t="n">
        <v>31.4</v>
      </c>
      <c r="AA9" t="n">
        <v>39</v>
      </c>
      <c r="AB9" t="n">
        <v>45.1</v>
      </c>
      <c r="AC9" t="n">
        <v>36.2</v>
      </c>
      <c r="AD9" t="n">
        <v>39.6</v>
      </c>
      <c r="AE9" t="n">
        <v>34.2</v>
      </c>
      <c r="AF9" t="n">
        <v>40.1</v>
      </c>
    </row>
    <row r="10">
      <c r="A10" t="s">
        <v>32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28.5</v>
      </c>
      <c r="H10" t="n">
        <v>45.9</v>
      </c>
      <c r="I10" t="n">
        <v>44.4</v>
      </c>
      <c r="J10" t="n">
        <v>50.1</v>
      </c>
      <c r="K10" t="n">
        <v>66.8</v>
      </c>
      <c r="L10" t="n">
        <v>56.1</v>
      </c>
      <c r="M10" t="n">
        <v>69.2</v>
      </c>
      <c r="N10" t="n">
        <v>63.9</v>
      </c>
      <c r="O10" t="n">
        <v>78</v>
      </c>
      <c r="P10" t="n">
        <v>53</v>
      </c>
      <c r="Q10" t="n">
        <v>68.8</v>
      </c>
      <c r="R10" t="n">
        <v>64.1</v>
      </c>
      <c r="S10" t="n">
        <v>67.6</v>
      </c>
      <c r="T10" t="n">
        <v>42.7</v>
      </c>
      <c r="U10" t="n">
        <v>43.2</v>
      </c>
      <c r="V10" t="n">
        <v>54.4</v>
      </c>
      <c r="W10" t="n">
        <v>25.7</v>
      </c>
      <c r="X10" t="n">
        <v>25.9</v>
      </c>
      <c r="Y10" t="n">
        <v>26.8</v>
      </c>
      <c r="Z10" t="n">
        <v>36.1</v>
      </c>
      <c r="AA10" t="n">
        <v>44.1</v>
      </c>
      <c r="AB10" t="n">
        <v>50</v>
      </c>
      <c r="AC10" t="n">
        <v>40.7</v>
      </c>
      <c r="AD10" t="n">
        <v>45.6</v>
      </c>
      <c r="AE10" t="n">
        <v>38.5</v>
      </c>
      <c r="AF10" t="n">
        <v>46.9</v>
      </c>
    </row>
    <row r="11">
      <c r="A11" t="s">
        <v>32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6</v>
      </c>
      <c r="H11" t="n">
        <v>7</v>
      </c>
      <c r="I11" t="n">
        <v>7.6</v>
      </c>
      <c r="J11" t="n">
        <v>9</v>
      </c>
      <c r="K11" t="n">
        <v>10.8</v>
      </c>
      <c r="L11" t="n">
        <v>11.7</v>
      </c>
      <c r="M11" t="n">
        <v>13.1</v>
      </c>
      <c r="N11" t="n">
        <v>10.3</v>
      </c>
      <c r="O11" t="n">
        <v>15</v>
      </c>
      <c r="P11" t="n">
        <v>9.4</v>
      </c>
      <c r="Q11" t="n">
        <v>13.6</v>
      </c>
      <c r="R11" t="n">
        <v>11.3</v>
      </c>
      <c r="S11" t="n">
        <v>12.2</v>
      </c>
      <c r="T11" t="n">
        <v>7.5</v>
      </c>
      <c r="U11" t="n">
        <v>7.6</v>
      </c>
      <c r="V11" t="n">
        <v>10.4</v>
      </c>
      <c r="W11" t="n">
        <v>4.3</v>
      </c>
      <c r="X11" t="n">
        <v>4.2</v>
      </c>
      <c r="Y11" t="n">
        <v>3.1</v>
      </c>
      <c r="Z11" t="n">
        <v>4.7</v>
      </c>
      <c r="AA11" t="n">
        <v>5.1</v>
      </c>
      <c r="AB11" t="n">
        <v>4.9</v>
      </c>
      <c r="AC11" t="n">
        <v>4.5</v>
      </c>
      <c r="AD11" t="n">
        <v>6</v>
      </c>
      <c r="AE11" t="n">
        <v>4.3</v>
      </c>
      <c r="AF11" t="n">
        <v>6.8</v>
      </c>
    </row>
    <row r="12">
      <c r="A12" t="s">
        <v>32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86.9</v>
      </c>
      <c r="H12" t="n">
        <v>109.4</v>
      </c>
      <c r="I12" t="n">
        <v>122.3</v>
      </c>
      <c r="J12" t="n">
        <v>165.5</v>
      </c>
      <c r="K12" t="n">
        <v>159.2</v>
      </c>
      <c r="L12" t="n">
        <v>163.5</v>
      </c>
      <c r="M12" t="n">
        <v>196.4</v>
      </c>
      <c r="N12" t="n">
        <v>175.4</v>
      </c>
      <c r="O12" t="n">
        <v>199.7</v>
      </c>
      <c r="P12" t="n">
        <v>174.3</v>
      </c>
      <c r="Q12" t="n">
        <v>203.6</v>
      </c>
      <c r="R12" t="n">
        <v>188.1</v>
      </c>
      <c r="S12" t="n">
        <v>204.1</v>
      </c>
      <c r="T12" t="n">
        <v>135.3</v>
      </c>
      <c r="U12" t="n">
        <v>134.9</v>
      </c>
      <c r="V12" t="n">
        <v>157.5</v>
      </c>
      <c r="W12" t="n">
        <v>77.4</v>
      </c>
      <c r="X12" t="n">
        <v>65</v>
      </c>
      <c r="Y12" t="n">
        <v>82.8</v>
      </c>
      <c r="Z12" t="n">
        <v>89.5</v>
      </c>
      <c r="AA12" t="n">
        <v>142.3</v>
      </c>
      <c r="AB12" t="n">
        <v>164.5</v>
      </c>
      <c r="AC12" t="n">
        <v>154.8</v>
      </c>
      <c r="AD12" t="n">
        <v>171.5</v>
      </c>
      <c r="AE12" t="n">
        <v>166</v>
      </c>
      <c r="AF12" t="n">
        <v>216.7</v>
      </c>
    </row>
    <row r="13">
      <c r="A13" t="s">
        <v>32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265.2</v>
      </c>
      <c r="H13" t="n">
        <v>152.6</v>
      </c>
      <c r="I13" t="n">
        <v>262.4</v>
      </c>
      <c r="J13" t="n">
        <v>306.8</v>
      </c>
      <c r="K13" t="n">
        <v>317.4</v>
      </c>
      <c r="L13" t="n">
        <v>349.3</v>
      </c>
      <c r="M13" t="n">
        <v>372.6</v>
      </c>
      <c r="N13" t="n">
        <v>317.6</v>
      </c>
      <c r="O13" t="n">
        <v>386.4</v>
      </c>
      <c r="P13" t="n">
        <v>319.9</v>
      </c>
      <c r="Q13" t="n">
        <v>369.7</v>
      </c>
      <c r="R13" t="n">
        <v>372</v>
      </c>
      <c r="S13" t="n">
        <v>390</v>
      </c>
      <c r="T13" t="n">
        <v>252.1</v>
      </c>
      <c r="U13" t="n">
        <v>246.1</v>
      </c>
      <c r="V13" t="n">
        <v>299.5</v>
      </c>
      <c r="W13" t="n">
        <v>122</v>
      </c>
      <c r="X13" t="n">
        <v>134.1</v>
      </c>
      <c r="Y13" t="n">
        <v>161.1</v>
      </c>
      <c r="Z13" t="n">
        <v>174.8</v>
      </c>
      <c r="AA13" t="n">
        <v>280.4</v>
      </c>
      <c r="AB13" t="n">
        <v>310.6</v>
      </c>
      <c r="AC13" t="n">
        <v>298.4</v>
      </c>
      <c r="AD13" t="n">
        <v>292.9</v>
      </c>
      <c r="AE13" t="n">
        <v>237</v>
      </c>
      <c r="AF13" t="n">
        <v>313.9</v>
      </c>
    </row>
    <row r="14">
      <c r="A14" t="s">
        <v>32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24.6</v>
      </c>
      <c r="H14" t="n">
        <v>20</v>
      </c>
      <c r="I14" t="n">
        <v>19.7</v>
      </c>
      <c r="J14" t="n">
        <v>26.5</v>
      </c>
      <c r="K14" t="n">
        <v>36.4</v>
      </c>
      <c r="L14" t="n">
        <v>36.4</v>
      </c>
      <c r="M14" t="n">
        <v>37.1</v>
      </c>
      <c r="N14" t="n">
        <v>32</v>
      </c>
      <c r="O14" t="n">
        <v>35.7</v>
      </c>
      <c r="P14" t="n">
        <v>38.4</v>
      </c>
      <c r="Q14" t="n">
        <v>36.3</v>
      </c>
      <c r="R14" t="n">
        <v>37.4</v>
      </c>
      <c r="S14" t="n">
        <v>37.3</v>
      </c>
      <c r="T14" t="n">
        <v>23.8</v>
      </c>
      <c r="U14" t="n">
        <v>23.2</v>
      </c>
      <c r="V14" t="n">
        <v>29.9</v>
      </c>
      <c r="W14" t="n">
        <v>17.1</v>
      </c>
      <c r="X14" t="n">
        <v>13.7</v>
      </c>
      <c r="Y14" t="n">
        <v>14.1</v>
      </c>
      <c r="Z14" t="n">
        <v>17.6</v>
      </c>
      <c r="AA14" t="n">
        <v>24.9</v>
      </c>
      <c r="AB14" t="n">
        <v>27.2</v>
      </c>
      <c r="AC14" t="n">
        <v>23.2</v>
      </c>
      <c r="AD14" t="n">
        <v>24</v>
      </c>
      <c r="AE14" t="n">
        <v>18.6</v>
      </c>
      <c r="AF14" t="n">
        <v>23.6</v>
      </c>
    </row>
    <row r="15">
      <c r="A15" t="s">
        <v>32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51.5</v>
      </c>
      <c r="H15" t="n">
        <v>72.7</v>
      </c>
      <c r="I15" t="n">
        <v>52.4</v>
      </c>
      <c r="J15" t="n">
        <v>88.6</v>
      </c>
      <c r="K15" t="n">
        <v>94.4</v>
      </c>
      <c r="L15" t="n">
        <v>92.9</v>
      </c>
      <c r="M15" t="n">
        <v>104.5</v>
      </c>
      <c r="N15" t="n">
        <v>85.7</v>
      </c>
      <c r="O15" t="n">
        <v>104.9</v>
      </c>
      <c r="P15" t="n">
        <v>98.7</v>
      </c>
      <c r="Q15" t="n">
        <v>106.3</v>
      </c>
      <c r="R15" t="n">
        <v>98.8</v>
      </c>
      <c r="S15" t="n">
        <v>104</v>
      </c>
      <c r="T15" t="n">
        <v>65.7</v>
      </c>
      <c r="U15" t="n">
        <v>64.8</v>
      </c>
      <c r="V15" t="n">
        <v>82.1</v>
      </c>
      <c r="W15" t="n">
        <v>34.1</v>
      </c>
      <c r="X15" t="n">
        <v>36.3</v>
      </c>
      <c r="Y15" t="n">
        <v>41.1</v>
      </c>
      <c r="Z15" t="n">
        <v>47.5</v>
      </c>
      <c r="AA15" t="n">
        <v>69.9</v>
      </c>
      <c r="AB15" t="n">
        <v>74.9</v>
      </c>
      <c r="AC15" t="n">
        <v>67.1</v>
      </c>
      <c r="AD15" t="n">
        <v>68.5</v>
      </c>
      <c r="AE15" t="n">
        <v>51</v>
      </c>
      <c r="AF15" t="n">
        <v>64.3</v>
      </c>
    </row>
    <row r="16">
      <c r="A16" t="s">
        <v>32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26.9</v>
      </c>
      <c r="H16" t="n">
        <v>52.7</v>
      </c>
      <c r="I16" t="n">
        <v>32.7</v>
      </c>
      <c r="J16" t="n">
        <v>62.1</v>
      </c>
      <c r="K16" t="n">
        <v>58</v>
      </c>
      <c r="L16" t="n">
        <v>56.5</v>
      </c>
      <c r="M16" t="n">
        <v>67.4</v>
      </c>
      <c r="N16" t="n">
        <v>53.7</v>
      </c>
      <c r="O16" t="n">
        <v>69.2</v>
      </c>
      <c r="P16" t="n">
        <v>60.3</v>
      </c>
      <c r="Q16" t="n">
        <v>70</v>
      </c>
      <c r="R16" t="n">
        <v>61.4</v>
      </c>
      <c r="S16" t="n">
        <v>66.7</v>
      </c>
      <c r="T16" t="n">
        <v>41.9</v>
      </c>
      <c r="U16" t="n">
        <v>41.6</v>
      </c>
      <c r="V16" t="n">
        <v>52.2</v>
      </c>
      <c r="W16" t="n">
        <v>17</v>
      </c>
      <c r="X16" t="n">
        <v>22.6</v>
      </c>
      <c r="Y16" t="n">
        <v>27</v>
      </c>
      <c r="Z16" t="n">
        <v>29.9</v>
      </c>
      <c r="AA16" t="n">
        <v>45</v>
      </c>
      <c r="AB16" t="n">
        <v>47.7</v>
      </c>
      <c r="AC16" t="n">
        <v>43.9</v>
      </c>
      <c r="AD16" t="n">
        <v>44.5</v>
      </c>
      <c r="AE16" t="n">
        <v>32.4</v>
      </c>
      <c r="AF16" t="n">
        <v>40.7</v>
      </c>
    </row>
    <row r="17">
      <c r="A17" t="s">
        <v>32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108.6</v>
      </c>
      <c r="H17" t="n">
        <v>168.8</v>
      </c>
      <c r="I17" t="n">
        <v>129.2</v>
      </c>
      <c r="J17" t="n">
        <v>142.2</v>
      </c>
      <c r="K17" t="n">
        <v>226.4</v>
      </c>
      <c r="L17" t="n">
        <v>230.4</v>
      </c>
      <c r="M17" t="n">
        <v>253.4</v>
      </c>
      <c r="N17" t="n">
        <v>209.9</v>
      </c>
      <c r="O17" t="n">
        <v>250.1</v>
      </c>
      <c r="P17" t="n">
        <v>226.9</v>
      </c>
      <c r="Q17" t="n">
        <v>272.3</v>
      </c>
      <c r="R17" t="n">
        <v>232.3</v>
      </c>
      <c r="S17" t="n">
        <v>260.9</v>
      </c>
      <c r="T17" t="n">
        <v>166.8</v>
      </c>
      <c r="U17" t="n">
        <v>164.3</v>
      </c>
      <c r="V17" t="n">
        <v>202.4</v>
      </c>
      <c r="W17" t="n">
        <v>91</v>
      </c>
      <c r="X17" t="n">
        <v>101.4</v>
      </c>
      <c r="Y17" t="n">
        <v>120.2</v>
      </c>
      <c r="Z17" t="n">
        <v>130.4</v>
      </c>
      <c r="AA17" t="n">
        <v>197.5</v>
      </c>
      <c r="AB17" t="n">
        <v>217.9</v>
      </c>
      <c r="AC17" t="n">
        <v>202.8</v>
      </c>
      <c r="AD17" t="n">
        <v>203.8</v>
      </c>
      <c r="AE17" t="n">
        <v>164.6</v>
      </c>
      <c r="AF17" t="n">
        <v>204</v>
      </c>
    </row>
    <row r="18">
      <c r="A18" t="s">
        <v>32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70.1</v>
      </c>
      <c r="H18" t="n">
        <v>78.9</v>
      </c>
      <c r="I18" t="n">
        <v>75.6</v>
      </c>
      <c r="J18" t="n">
        <v>87</v>
      </c>
      <c r="K18" t="n">
        <v>123.1</v>
      </c>
      <c r="L18" t="n">
        <v>134.9</v>
      </c>
      <c r="M18" t="n">
        <v>134.5</v>
      </c>
      <c r="N18" t="n">
        <v>102.2</v>
      </c>
      <c r="O18" t="n">
        <v>143.6</v>
      </c>
      <c r="P18" t="n">
        <v>153.3</v>
      </c>
      <c r="Q18" t="n">
        <v>141.5</v>
      </c>
      <c r="R18" t="n">
        <v>132</v>
      </c>
      <c r="S18" t="n">
        <v>137.7</v>
      </c>
      <c r="T18" t="n">
        <v>91.5</v>
      </c>
      <c r="U18" t="n">
        <v>88</v>
      </c>
      <c r="V18" t="n">
        <v>111.3</v>
      </c>
      <c r="W18" t="n">
        <v>523</v>
      </c>
      <c r="X18" t="n">
        <v>11.8</v>
      </c>
      <c r="Y18" t="n">
        <v>-32.5</v>
      </c>
      <c r="Z18" t="n">
        <v>-50.6</v>
      </c>
      <c r="AA18" t="n">
        <v>185.9</v>
      </c>
      <c r="AB18" t="n">
        <v>19.8</v>
      </c>
      <c r="AC18" t="n">
        <v>-62.7</v>
      </c>
      <c r="AD18" t="n">
        <v>-582.1</v>
      </c>
      <c r="AE18" t="n">
        <v>-671.5</v>
      </c>
      <c r="AF18" t="n">
        <v>70.7</v>
      </c>
    </row>
    <row r="19">
      <c r="A19" t="s">
        <v>32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154.1</v>
      </c>
      <c r="H19" t="n">
        <v>120.7</v>
      </c>
      <c r="I19" t="n">
        <v>196.3</v>
      </c>
      <c r="J19" t="n">
        <v>201.6</v>
      </c>
      <c r="K19" t="n">
        <v>254</v>
      </c>
      <c r="L19" t="n">
        <v>250.6</v>
      </c>
      <c r="M19" t="n">
        <v>280.6</v>
      </c>
      <c r="N19" t="n">
        <v>234.4</v>
      </c>
      <c r="O19" t="n">
        <v>265.4</v>
      </c>
      <c r="P19" t="n">
        <v>245.7</v>
      </c>
      <c r="Q19" t="n">
        <v>287.4</v>
      </c>
      <c r="R19" t="n">
        <v>260.1</v>
      </c>
      <c r="S19" t="n">
        <v>273.8</v>
      </c>
      <c r="T19" t="n">
        <v>177.4</v>
      </c>
      <c r="U19" t="n">
        <v>177.5</v>
      </c>
      <c r="V19" t="n">
        <v>215.4</v>
      </c>
      <c r="W19" t="n">
        <v>107.4</v>
      </c>
      <c r="X19" t="n">
        <v>114.1</v>
      </c>
      <c r="Y19" t="n">
        <v>145.7</v>
      </c>
      <c r="Z19" t="n">
        <v>161.5</v>
      </c>
      <c r="AA19" t="n">
        <v>249.8</v>
      </c>
      <c r="AB19" t="n">
        <v>258.9</v>
      </c>
      <c r="AC19" t="n">
        <v>248.8</v>
      </c>
      <c r="AD19" t="n">
        <v>262.6</v>
      </c>
      <c r="AE19" t="n">
        <v>216.6</v>
      </c>
      <c r="AF19" t="n">
        <v>257.9</v>
      </c>
    </row>
    <row r="20">
      <c r="A20" t="s">
        <v>32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53.5</v>
      </c>
      <c r="H20" t="n">
        <v>31.8</v>
      </c>
      <c r="I20" t="n">
        <v>42.9</v>
      </c>
      <c r="J20" t="n">
        <v>86.5</v>
      </c>
      <c r="K20" t="n">
        <v>72.6</v>
      </c>
      <c r="L20" t="n">
        <v>70.5</v>
      </c>
      <c r="M20" t="n">
        <v>73.5</v>
      </c>
      <c r="N20" t="n">
        <v>67</v>
      </c>
      <c r="O20" t="n">
        <v>65.6</v>
      </c>
      <c r="P20" t="n">
        <v>59.7</v>
      </c>
      <c r="Q20" t="n">
        <v>59.1</v>
      </c>
      <c r="R20" t="n">
        <v>85.7</v>
      </c>
      <c r="S20" t="n">
        <v>76.4</v>
      </c>
      <c r="T20" t="n">
        <v>55</v>
      </c>
      <c r="U20" t="n">
        <v>54.5</v>
      </c>
      <c r="V20" t="n">
        <v>60.2</v>
      </c>
      <c r="W20" t="n">
        <v>41.7</v>
      </c>
      <c r="X20" t="n">
        <v>18.8</v>
      </c>
      <c r="Y20" t="n">
        <v>21.4</v>
      </c>
      <c r="Z20" t="n">
        <v>26.2</v>
      </c>
      <c r="AA20" t="n">
        <v>49.7</v>
      </c>
      <c r="AB20" t="n">
        <v>44.4</v>
      </c>
      <c r="AC20" t="n">
        <v>47.1</v>
      </c>
      <c r="AD20" t="n">
        <v>33.3</v>
      </c>
      <c r="AE20" t="n">
        <v>45.5</v>
      </c>
      <c r="AF20" t="n">
        <v>39.4</v>
      </c>
    </row>
    <row r="21">
      <c r="A21" t="s">
        <v>32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214.7</v>
      </c>
      <c r="H21" t="n">
        <v>224.1</v>
      </c>
      <c r="I21" t="n">
        <v>287.8</v>
      </c>
      <c r="J21" t="n">
        <v>318.1</v>
      </c>
      <c r="K21" t="n">
        <v>344.3</v>
      </c>
      <c r="L21" t="n">
        <v>369.8</v>
      </c>
      <c r="M21" t="n">
        <v>393.1</v>
      </c>
      <c r="N21" t="n">
        <v>356.9</v>
      </c>
      <c r="O21" t="n">
        <v>364.7</v>
      </c>
      <c r="P21" t="n">
        <v>362.2</v>
      </c>
      <c r="Q21" t="n">
        <v>389.1</v>
      </c>
      <c r="R21" t="n">
        <v>399.2</v>
      </c>
      <c r="S21" t="n">
        <v>393.4</v>
      </c>
      <c r="T21" t="n">
        <v>285.8</v>
      </c>
      <c r="U21" t="n">
        <v>303.7</v>
      </c>
      <c r="V21" t="n">
        <v>325.1</v>
      </c>
      <c r="W21" t="n">
        <v>258.2</v>
      </c>
      <c r="X21" t="n">
        <v>237.4</v>
      </c>
      <c r="Y21" t="n">
        <v>245.4</v>
      </c>
      <c r="Z21" t="n">
        <v>287.2</v>
      </c>
      <c r="AA21" t="n">
        <v>354</v>
      </c>
      <c r="AB21" t="n">
        <v>361.2</v>
      </c>
      <c r="AC21" t="n">
        <v>434.5</v>
      </c>
      <c r="AD21" t="n">
        <v>486.1</v>
      </c>
      <c r="AE21" t="n">
        <v>507.9</v>
      </c>
      <c r="AF21" t="n">
        <v>559.5</v>
      </c>
    </row>
    <row r="22">
      <c r="A22" t="s">
        <v>32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161.2</v>
      </c>
      <c r="H22" t="n">
        <v>192.3</v>
      </c>
      <c r="I22" t="n">
        <v>244.9</v>
      </c>
      <c r="J22" t="n">
        <v>231.6</v>
      </c>
      <c r="K22" t="n">
        <v>271.7</v>
      </c>
      <c r="L22" t="n">
        <v>299.3</v>
      </c>
      <c r="M22" t="n">
        <v>319.6</v>
      </c>
      <c r="N22" t="n">
        <v>289.9</v>
      </c>
      <c r="O22" t="n">
        <v>299.1</v>
      </c>
      <c r="P22" t="n">
        <v>302.5</v>
      </c>
      <c r="Q22" t="n">
        <v>330</v>
      </c>
      <c r="R22" t="n">
        <v>313.5</v>
      </c>
      <c r="S22" t="n">
        <v>317</v>
      </c>
      <c r="T22" t="n">
        <v>230.8</v>
      </c>
      <c r="U22" t="n">
        <v>249.2</v>
      </c>
      <c r="V22" t="n">
        <v>264.9</v>
      </c>
      <c r="W22" t="n">
        <v>216.5</v>
      </c>
      <c r="X22" t="n">
        <v>218.6</v>
      </c>
      <c r="Y22" t="n">
        <v>224</v>
      </c>
      <c r="Z22" t="n">
        <v>261</v>
      </c>
      <c r="AA22" t="n">
        <v>304.3</v>
      </c>
      <c r="AB22" t="n">
        <v>316.8</v>
      </c>
      <c r="AC22" t="n">
        <v>387.4</v>
      </c>
      <c r="AD22" t="n">
        <v>452.8</v>
      </c>
      <c r="AE22" t="n">
        <v>462.4</v>
      </c>
      <c r="AF22" t="n">
        <v>520.1</v>
      </c>
    </row>
    <row r="23">
      <c r="A23" t="s">
        <v>32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776.2</v>
      </c>
      <c r="H23" t="n">
        <v>667.8</v>
      </c>
      <c r="I23" t="n">
        <v>1198</v>
      </c>
      <c r="J23" t="n">
        <v>988.3</v>
      </c>
      <c r="K23" t="n">
        <v>1222.8</v>
      </c>
      <c r="L23" t="n">
        <v>1352.2</v>
      </c>
      <c r="M23" t="n">
        <v>1625.7</v>
      </c>
      <c r="N23" t="n">
        <v>1453.2</v>
      </c>
      <c r="O23" t="n">
        <v>1581.6</v>
      </c>
      <c r="P23" t="n">
        <v>1392</v>
      </c>
      <c r="Q23" t="n">
        <v>1603</v>
      </c>
      <c r="R23" t="n">
        <v>1547.6</v>
      </c>
      <c r="S23" t="n">
        <v>1560.1</v>
      </c>
      <c r="T23" t="n">
        <v>1056.5</v>
      </c>
      <c r="U23" t="n">
        <v>1070</v>
      </c>
      <c r="V23" t="n">
        <v>1228.3</v>
      </c>
      <c r="W23" t="n">
        <v>591.8</v>
      </c>
      <c r="X23" t="n">
        <v>571.1</v>
      </c>
      <c r="Y23" t="n">
        <v>604.1</v>
      </c>
      <c r="Z23" t="n">
        <v>711.4</v>
      </c>
      <c r="AA23" t="n">
        <v>1265.2</v>
      </c>
      <c r="AB23" t="n">
        <v>1301.2</v>
      </c>
      <c r="AC23" t="n">
        <v>1390.1</v>
      </c>
      <c r="AD23" t="n">
        <v>1469.8</v>
      </c>
      <c r="AE23" t="n">
        <v>1412.3</v>
      </c>
      <c r="AF23" t="n">
        <v>1834.4</v>
      </c>
    </row>
    <row r="24">
      <c r="A24" t="s">
        <v>32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1724.9</v>
      </c>
      <c r="H24" t="n">
        <v>1728</v>
      </c>
      <c r="I24" t="n">
        <v>2300.9</v>
      </c>
      <c r="J24" t="n">
        <v>2934.2</v>
      </c>
      <c r="K24" t="n">
        <v>2936</v>
      </c>
      <c r="L24" t="n">
        <v>3045.8</v>
      </c>
      <c r="M24" t="n">
        <v>3243.6</v>
      </c>
      <c r="N24" t="n">
        <v>3002.7</v>
      </c>
      <c r="O24" t="n">
        <v>3449.3</v>
      </c>
      <c r="P24" t="n">
        <v>3339.3</v>
      </c>
      <c r="Q24" t="n">
        <v>3428.3</v>
      </c>
      <c r="R24" t="n">
        <v>3470.9</v>
      </c>
      <c r="S24" t="n">
        <v>3165.2</v>
      </c>
      <c r="T24" t="n">
        <v>2354.9</v>
      </c>
      <c r="U24" t="n">
        <v>2227.6</v>
      </c>
      <c r="V24" t="n">
        <v>2676.5</v>
      </c>
      <c r="W24" t="n">
        <v>941.3</v>
      </c>
      <c r="X24" t="n">
        <v>1609.1</v>
      </c>
      <c r="Y24" t="n">
        <v>1740</v>
      </c>
      <c r="Z24" t="n">
        <v>1901.6</v>
      </c>
      <c r="AA24" t="n">
        <v>2773.6</v>
      </c>
      <c r="AB24" t="n">
        <v>2737.8</v>
      </c>
      <c r="AC24" t="n">
        <v>2400.3</v>
      </c>
      <c r="AD24" t="n">
        <v>2458.9</v>
      </c>
      <c r="AE24" t="n">
        <v>2030.3</v>
      </c>
      <c r="AF24" t="n">
        <v>2540.7</v>
      </c>
    </row>
    <row r="25">
      <c r="A25" t="s">
        <v>32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32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3932.6</v>
      </c>
      <c r="H28" t="n">
        <v>4607.6</v>
      </c>
      <c r="I28" t="n">
        <v>4760.8</v>
      </c>
      <c r="J28" t="n">
        <v>5772.1</v>
      </c>
      <c r="K28" t="n">
        <v>5800.6</v>
      </c>
      <c r="L28" t="n">
        <v>5946.2</v>
      </c>
      <c r="M28" t="n">
        <v>6693.2</v>
      </c>
      <c r="N28" t="n">
        <v>6956</v>
      </c>
      <c r="O28" t="n">
        <v>6787.4</v>
      </c>
      <c r="P28" t="n">
        <v>6354.2</v>
      </c>
      <c r="Q28" t="n">
        <v>7464.4</v>
      </c>
      <c r="R28" t="n">
        <v>6568.9</v>
      </c>
      <c r="S28" t="n">
        <v>7742.8</v>
      </c>
      <c r="T28" t="n">
        <v>8190.7</v>
      </c>
      <c r="U28" t="n">
        <v>6894.4</v>
      </c>
      <c r="V28" t="n">
        <v>6991</v>
      </c>
      <c r="W28" t="n">
        <v>5584.1</v>
      </c>
      <c r="X28" t="n">
        <v>4488</v>
      </c>
      <c r="Y28" t="n">
        <v>4919.9</v>
      </c>
      <c r="Z28" t="n">
        <v>6581.2</v>
      </c>
      <c r="AA28" t="n">
        <v>5866.3</v>
      </c>
      <c r="AB28" t="n">
        <v>6184.2</v>
      </c>
      <c r="AC28" t="n">
        <v>7275.7</v>
      </c>
      <c r="AD28" t="n">
        <v>8009.8</v>
      </c>
      <c r="AE28" t="n">
        <v>6464.7</v>
      </c>
      <c r="AF28" t="n">
        <v>8173.4</v>
      </c>
    </row>
    <row r="29">
      <c r="A29" t="s">
        <v>32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32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108.6</v>
      </c>
      <c r="H34" t="n">
        <v>163.5</v>
      </c>
      <c r="I34" t="n">
        <v>191</v>
      </c>
      <c r="J34" t="n">
        <v>269.8</v>
      </c>
      <c r="K34" t="n">
        <v>260.2</v>
      </c>
      <c r="L34" t="n">
        <v>287.2</v>
      </c>
      <c r="M34" t="n">
        <v>265.9</v>
      </c>
      <c r="N34" t="n">
        <v>236</v>
      </c>
      <c r="O34" t="n">
        <v>323.3</v>
      </c>
      <c r="P34" t="n">
        <v>270.9</v>
      </c>
      <c r="Q34" t="n">
        <v>298</v>
      </c>
      <c r="R34" t="n">
        <v>283.9</v>
      </c>
      <c r="S34" t="n">
        <v>280.9</v>
      </c>
      <c r="T34" t="n">
        <v>183.3</v>
      </c>
      <c r="U34" t="n">
        <v>179.1</v>
      </c>
      <c r="V34" t="n">
        <v>235.8</v>
      </c>
      <c r="W34" t="n">
        <v>60.6</v>
      </c>
      <c r="X34" t="n">
        <v>106.6</v>
      </c>
      <c r="Y34" t="n">
        <v>123.1</v>
      </c>
      <c r="Z34" t="n">
        <v>154.4</v>
      </c>
      <c r="AA34" t="n">
        <v>244.4</v>
      </c>
      <c r="AB34" t="n">
        <v>309.8</v>
      </c>
      <c r="AC34" t="n">
        <v>271.2</v>
      </c>
      <c r="AD34" t="n">
        <v>274.8</v>
      </c>
      <c r="AE34" t="n">
        <v>185.7</v>
      </c>
      <c r="AF34" t="n">
        <v>207.2</v>
      </c>
    </row>
    <row r="35">
      <c r="A35" t="s">
        <v>32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100.9</v>
      </c>
      <c r="H35" t="n">
        <v>109.6</v>
      </c>
      <c r="I35" t="n">
        <v>114.6</v>
      </c>
      <c r="J35" t="n">
        <v>130.4</v>
      </c>
      <c r="K35" t="n">
        <v>169.2</v>
      </c>
      <c r="L35" t="n">
        <v>170</v>
      </c>
      <c r="M35" t="n">
        <v>210.3</v>
      </c>
      <c r="N35" t="n">
        <v>178.5</v>
      </c>
      <c r="O35" t="n">
        <v>222.2</v>
      </c>
      <c r="P35" t="n">
        <v>189.7</v>
      </c>
      <c r="Q35" t="n">
        <v>185.5</v>
      </c>
      <c r="R35" t="n">
        <v>208.3</v>
      </c>
      <c r="S35" t="n">
        <v>190.2</v>
      </c>
      <c r="T35" t="n">
        <v>124.4</v>
      </c>
      <c r="U35" t="n">
        <v>120</v>
      </c>
      <c r="V35" t="n">
        <v>161.7</v>
      </c>
      <c r="W35" t="n">
        <v>56.9</v>
      </c>
      <c r="X35" t="n">
        <v>71.6</v>
      </c>
      <c r="Y35" t="n">
        <v>232</v>
      </c>
      <c r="Z35" t="n">
        <v>377</v>
      </c>
      <c r="AA35" t="n">
        <v>427</v>
      </c>
      <c r="AB35" t="n">
        <v>310.5</v>
      </c>
      <c r="AC35" t="n">
        <v>327.6</v>
      </c>
      <c r="AD35" t="n">
        <v>370.8</v>
      </c>
      <c r="AE35" t="n">
        <v>356</v>
      </c>
      <c r="AF35" t="n">
        <v>363.7</v>
      </c>
    </row>
    <row r="36">
      <c r="A36" t="s">
        <v>32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15.4</v>
      </c>
      <c r="H36" t="n">
        <v>16.4</v>
      </c>
      <c r="I36" t="n">
        <v>24.5</v>
      </c>
      <c r="J36" t="n">
        <v>20.3</v>
      </c>
      <c r="K36" t="n">
        <v>26.6</v>
      </c>
      <c r="L36" t="n">
        <v>33.5</v>
      </c>
      <c r="M36" t="n">
        <v>26.9</v>
      </c>
      <c r="N36" t="n">
        <v>28.3</v>
      </c>
      <c r="O36" t="n">
        <v>31.4</v>
      </c>
      <c r="P36" t="n">
        <v>31.3</v>
      </c>
      <c r="Q36" t="n">
        <v>29.2</v>
      </c>
      <c r="R36" t="n">
        <v>32</v>
      </c>
      <c r="S36" t="n">
        <v>29.5</v>
      </c>
      <c r="T36" t="n">
        <v>19.5</v>
      </c>
      <c r="U36" t="n">
        <v>19</v>
      </c>
      <c r="V36" t="n">
        <v>25</v>
      </c>
      <c r="W36" t="n">
        <v>8.6</v>
      </c>
      <c r="X36" t="n">
        <v>10.1</v>
      </c>
      <c r="Y36" t="n">
        <v>10.3</v>
      </c>
      <c r="Z36" t="n">
        <v>12.8</v>
      </c>
      <c r="AA36" t="n">
        <v>14.4</v>
      </c>
      <c r="AB36" t="n">
        <v>17.9</v>
      </c>
      <c r="AC36" t="n">
        <v>22.9</v>
      </c>
      <c r="AD36" t="n">
        <v>21.1</v>
      </c>
      <c r="AE36" t="n">
        <v>14.5</v>
      </c>
      <c r="AF36" t="n">
        <v>19.8</v>
      </c>
    </row>
    <row r="37">
      <c r="A37" t="s">
        <v>32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3.2</v>
      </c>
      <c r="H37" t="n">
        <v>5.5</v>
      </c>
      <c r="I37" t="n">
        <v>5.1</v>
      </c>
      <c r="J37" t="n">
        <v>5.7</v>
      </c>
      <c r="K37" t="n">
        <v>5.3</v>
      </c>
      <c r="L37" t="n">
        <v>5.2</v>
      </c>
      <c r="M37" t="n">
        <v>8.8</v>
      </c>
      <c r="N37" t="n">
        <v>8</v>
      </c>
      <c r="O37" t="n">
        <v>5.5</v>
      </c>
      <c r="P37" t="n">
        <v>6.3</v>
      </c>
      <c r="Q37" t="n">
        <v>6.5</v>
      </c>
      <c r="R37" t="n">
        <v>7.9</v>
      </c>
      <c r="S37" t="n">
        <v>5</v>
      </c>
      <c r="T37" t="n">
        <v>3.2</v>
      </c>
      <c r="U37" t="n">
        <v>4.7</v>
      </c>
      <c r="V37" t="n">
        <v>6.1</v>
      </c>
      <c r="W37" t="n">
        <v>7.2</v>
      </c>
      <c r="X37" t="n">
        <v>4.3</v>
      </c>
      <c r="Y37" t="n">
        <v>125.6</v>
      </c>
      <c r="Z37" t="n">
        <v>246.7</v>
      </c>
      <c r="AA37" t="n">
        <v>234.8</v>
      </c>
      <c r="AB37" t="n">
        <v>119.9</v>
      </c>
      <c r="AC37" t="n">
        <v>110.6</v>
      </c>
      <c r="AD37" t="n">
        <v>137</v>
      </c>
      <c r="AE37" t="n">
        <v>141.8</v>
      </c>
      <c r="AF37" t="n">
        <v>141.7</v>
      </c>
    </row>
    <row r="38">
      <c r="A38" t="s">
        <v>32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82.3</v>
      </c>
      <c r="H38" t="n">
        <v>87.7</v>
      </c>
      <c r="I38" t="n">
        <v>85</v>
      </c>
      <c r="J38" t="n">
        <v>104.4</v>
      </c>
      <c r="K38" t="n">
        <v>137.3</v>
      </c>
      <c r="L38" t="n">
        <v>131.3</v>
      </c>
      <c r="M38" t="n">
        <v>174.6</v>
      </c>
      <c r="N38" t="n">
        <v>142.2</v>
      </c>
      <c r="O38" t="n">
        <v>185.3</v>
      </c>
      <c r="P38" t="n">
        <v>152.1</v>
      </c>
      <c r="Q38" t="n">
        <v>149.8</v>
      </c>
      <c r="R38" t="n">
        <v>168.4</v>
      </c>
      <c r="S38" t="n">
        <v>155.7</v>
      </c>
      <c r="T38" t="n">
        <v>101.7</v>
      </c>
      <c r="U38" t="n">
        <v>96.3</v>
      </c>
      <c r="V38" t="n">
        <v>130.6</v>
      </c>
      <c r="W38" t="n">
        <v>41.1</v>
      </c>
      <c r="X38" t="n">
        <v>57.2</v>
      </c>
      <c r="Y38" t="n">
        <v>96.1</v>
      </c>
      <c r="Z38" t="n">
        <v>117.5</v>
      </c>
      <c r="AA38" t="n">
        <v>177.8</v>
      </c>
      <c r="AB38" t="n">
        <v>172.7</v>
      </c>
      <c r="AC38" t="n">
        <v>194.1</v>
      </c>
      <c r="AD38" t="n">
        <v>212.7</v>
      </c>
      <c r="AE38" t="n">
        <v>199.7</v>
      </c>
      <c r="AF38" t="n">
        <v>202.2</v>
      </c>
    </row>
    <row r="39">
      <c r="A39" t="s">
        <v>32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152.4</v>
      </c>
      <c r="H39" t="n">
        <v>249.5</v>
      </c>
      <c r="I39" t="n">
        <v>175.5</v>
      </c>
      <c r="J39" t="n">
        <v>211.4</v>
      </c>
      <c r="K39" t="n">
        <v>257.7</v>
      </c>
      <c r="L39" t="n">
        <v>263.6</v>
      </c>
      <c r="M39" t="n">
        <v>266.8</v>
      </c>
      <c r="N39" t="n">
        <v>311.8</v>
      </c>
      <c r="O39" t="n">
        <v>274.9</v>
      </c>
      <c r="P39" t="n">
        <v>285.2</v>
      </c>
      <c r="Q39" t="n">
        <v>289.7</v>
      </c>
      <c r="R39" t="n">
        <v>298.9</v>
      </c>
      <c r="S39" t="n">
        <v>281.6</v>
      </c>
      <c r="T39" t="n">
        <v>249.5</v>
      </c>
      <c r="U39" t="n">
        <v>160.8</v>
      </c>
      <c r="V39" t="n">
        <v>249</v>
      </c>
      <c r="W39" t="n">
        <v>209.9</v>
      </c>
      <c r="X39" t="n">
        <v>165.9</v>
      </c>
      <c r="Y39" t="n">
        <v>174.3</v>
      </c>
      <c r="Z39" t="n">
        <v>206.7</v>
      </c>
      <c r="AA39" t="n">
        <v>285.7</v>
      </c>
      <c r="AB39" t="n">
        <v>290.9</v>
      </c>
      <c r="AC39" t="n">
        <v>265.4</v>
      </c>
      <c r="AD39" t="n">
        <v>280.1</v>
      </c>
      <c r="AE39" t="n">
        <v>237.4</v>
      </c>
      <c r="AF39" t="n">
        <v>265.4</v>
      </c>
    </row>
    <row r="40">
      <c r="A40" t="s">
        <v>32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134.2</v>
      </c>
      <c r="H40" t="n">
        <v>148.2</v>
      </c>
      <c r="I40" t="n">
        <v>154.6</v>
      </c>
      <c r="J40" t="n">
        <v>183.5</v>
      </c>
      <c r="K40" t="n">
        <v>150.7</v>
      </c>
      <c r="L40" t="n">
        <v>365.3</v>
      </c>
      <c r="M40" t="n">
        <v>256.9</v>
      </c>
      <c r="N40" t="n">
        <v>235.9</v>
      </c>
      <c r="O40" t="n">
        <v>276.6</v>
      </c>
      <c r="P40" t="n">
        <v>229.5</v>
      </c>
      <c r="Q40" t="n">
        <v>251.1</v>
      </c>
      <c r="R40" t="n">
        <v>282.9</v>
      </c>
      <c r="S40" t="n">
        <v>229.4</v>
      </c>
      <c r="T40" t="n">
        <v>157.7</v>
      </c>
      <c r="U40" t="n">
        <v>182.7</v>
      </c>
      <c r="V40" t="n">
        <v>219.9</v>
      </c>
      <c r="W40" t="n">
        <v>-15.4</v>
      </c>
      <c r="X40" t="n">
        <v>58.6</v>
      </c>
      <c r="Y40" t="n">
        <v>91.5</v>
      </c>
      <c r="Z40" t="n">
        <v>95</v>
      </c>
      <c r="AA40" t="n">
        <v>142.8</v>
      </c>
      <c r="AB40" t="n">
        <v>216.6</v>
      </c>
      <c r="AC40" t="n">
        <v>192.4</v>
      </c>
      <c r="AD40" t="n">
        <v>232.2</v>
      </c>
      <c r="AE40" t="n">
        <v>192.9</v>
      </c>
      <c r="AF40" t="n">
        <v>247.7</v>
      </c>
    </row>
    <row r="41">
      <c r="A41" t="s">
        <v>32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32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244.8</v>
      </c>
      <c r="H42" t="n">
        <v>263.9</v>
      </c>
      <c r="I42" t="n">
        <v>257.7</v>
      </c>
      <c r="J42" t="n">
        <v>313.6</v>
      </c>
      <c r="K42" t="n">
        <v>475.8</v>
      </c>
      <c r="L42" t="n">
        <v>405</v>
      </c>
      <c r="M42" t="n">
        <v>442.8</v>
      </c>
      <c r="N42" t="n">
        <v>448.9</v>
      </c>
      <c r="O42" t="n">
        <v>429.7</v>
      </c>
      <c r="P42" t="n">
        <v>478.6</v>
      </c>
      <c r="Q42" t="n">
        <v>490.8</v>
      </c>
      <c r="R42" t="n">
        <v>447.2</v>
      </c>
      <c r="S42" t="n">
        <v>455.1</v>
      </c>
      <c r="T42" t="n">
        <v>299.9</v>
      </c>
      <c r="U42" t="n">
        <v>291.1</v>
      </c>
      <c r="V42" t="n">
        <v>403.6</v>
      </c>
      <c r="W42" t="n">
        <v>12.4</v>
      </c>
      <c r="X42" t="n">
        <v>160.2</v>
      </c>
      <c r="Y42" t="n">
        <v>149.9</v>
      </c>
      <c r="Z42" t="n">
        <v>197</v>
      </c>
      <c r="AA42" t="n">
        <v>301.2</v>
      </c>
      <c r="AB42" t="n">
        <v>366.6</v>
      </c>
      <c r="AC42" t="n">
        <v>311.9</v>
      </c>
      <c r="AD42" t="n">
        <v>330.5</v>
      </c>
      <c r="AE42" t="n">
        <v>277.2</v>
      </c>
      <c r="AF42" t="n">
        <v>336.1</v>
      </c>
    </row>
    <row r="43">
      <c r="A43" t="s">
        <v>32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2584.1</v>
      </c>
      <c r="H43" t="n">
        <v>2800.1</v>
      </c>
      <c r="I43" t="n">
        <v>2762.8</v>
      </c>
      <c r="J43" t="n">
        <v>3397.1</v>
      </c>
      <c r="K43" t="n">
        <v>4826.3</v>
      </c>
      <c r="L43" t="n">
        <v>4658.4</v>
      </c>
      <c r="M43" t="n">
        <v>4421.7</v>
      </c>
      <c r="N43" t="n">
        <v>3829.5</v>
      </c>
      <c r="O43" t="n">
        <v>3936.8</v>
      </c>
      <c r="P43" t="n">
        <v>4667</v>
      </c>
      <c r="Q43" t="n">
        <v>4357.9</v>
      </c>
      <c r="R43" t="n">
        <v>5388.5</v>
      </c>
      <c r="S43" t="n">
        <v>5421.1</v>
      </c>
      <c r="T43" t="n">
        <v>3643.9</v>
      </c>
      <c r="U43" t="n">
        <v>3327.8</v>
      </c>
      <c r="V43" t="n">
        <v>4028.7</v>
      </c>
      <c r="W43" t="n">
        <v>3670.4</v>
      </c>
      <c r="X43" t="n">
        <v>2723.9</v>
      </c>
      <c r="Y43" t="n">
        <v>3071.3</v>
      </c>
      <c r="Z43" t="n">
        <v>3712.5</v>
      </c>
      <c r="AA43" t="n">
        <v>4662.3</v>
      </c>
      <c r="AB43" t="n">
        <v>7002.9</v>
      </c>
      <c r="AC43" t="n">
        <v>6313.5</v>
      </c>
      <c r="AD43" t="n">
        <v>6812.3</v>
      </c>
      <c r="AE43" t="n">
        <v>4607.3</v>
      </c>
      <c r="AF43" t="n">
        <v>5449.5</v>
      </c>
    </row>
    <row r="44">
      <c r="A44" t="s">
        <v>32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11084.4</v>
      </c>
      <c r="H44" t="n">
        <v>12057.8</v>
      </c>
      <c r="I44" t="n">
        <v>13683.5</v>
      </c>
      <c r="J44" t="n">
        <v>16168.4</v>
      </c>
      <c r="K44" t="n">
        <v>18242.7</v>
      </c>
      <c r="L44" t="n">
        <v>18596.2</v>
      </c>
      <c r="M44" t="n">
        <v>19891</v>
      </c>
      <c r="N44" t="n">
        <v>18737.2</v>
      </c>
      <c r="O44" t="n">
        <v>19776.7</v>
      </c>
      <c r="P44" t="n">
        <v>19453.1</v>
      </c>
      <c r="Q44" t="n">
        <v>20795.8</v>
      </c>
      <c r="R44" t="n">
        <v>20869.7</v>
      </c>
      <c r="S44" t="n">
        <v>21762.2</v>
      </c>
      <c r="T44" t="n">
        <v>17928.9</v>
      </c>
      <c r="U44" t="n">
        <v>16083.6</v>
      </c>
      <c r="V44" t="n">
        <v>18103.8</v>
      </c>
      <c r="W44" t="n">
        <v>12867.9</v>
      </c>
      <c r="X44" t="n">
        <v>10979.9</v>
      </c>
      <c r="Y44" t="n">
        <v>12251.9</v>
      </c>
      <c r="Z44" t="n">
        <v>15179.1</v>
      </c>
      <c r="AA44" t="n">
        <v>17989.1</v>
      </c>
      <c r="AB44" t="n">
        <v>20617.9</v>
      </c>
      <c r="AC44" t="n">
        <v>20610.1</v>
      </c>
      <c r="AD44" t="n">
        <v>21594.1</v>
      </c>
      <c r="AE44" t="n">
        <v>16832.2</v>
      </c>
      <c r="AF44" t="n">
        <v>21516.5</v>
      </c>
    </row>
    <row r="45">
      <c r="A45" t="s">
        <v>32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10881.3</v>
      </c>
      <c r="H45" t="n">
        <v>11766.7</v>
      </c>
      <c r="I45" t="n">
        <v>13411.7</v>
      </c>
      <c r="J45" t="n">
        <v>15800.3</v>
      </c>
      <c r="K45" t="n">
        <v>17890</v>
      </c>
      <c r="L45" t="n">
        <v>18249.3</v>
      </c>
      <c r="M45" t="n">
        <v>19442.3</v>
      </c>
      <c r="N45" t="n">
        <v>18377.3</v>
      </c>
      <c r="O45" t="n">
        <v>19330.5</v>
      </c>
      <c r="P45" t="n">
        <v>19046.8</v>
      </c>
      <c r="Q45" t="n">
        <v>20379.5</v>
      </c>
      <c r="R45" t="n">
        <v>20455</v>
      </c>
      <c r="S45" t="n">
        <v>21379.2</v>
      </c>
      <c r="T45" t="n">
        <v>17643.3</v>
      </c>
      <c r="U45" t="n">
        <v>15814.8</v>
      </c>
      <c r="V45" t="n">
        <v>17763.2</v>
      </c>
      <c r="W45" t="n">
        <v>12720.4</v>
      </c>
      <c r="X45" t="n">
        <v>10847.6</v>
      </c>
      <c r="Y45" t="n">
        <v>12118.9</v>
      </c>
      <c r="Z45" t="n">
        <v>15031.9</v>
      </c>
      <c r="AA45" t="n">
        <v>17772.1</v>
      </c>
      <c r="AB45" t="n">
        <v>20363.9</v>
      </c>
      <c r="AC45" t="n">
        <v>20347.3</v>
      </c>
      <c r="AD45" t="n">
        <v>21320.8</v>
      </c>
      <c r="AE45" t="n">
        <v>16569.6</v>
      </c>
      <c r="AF45" t="n">
        <v>21237.1</v>
      </c>
    </row>
    <row r="46">
      <c r="A46" t="s">
        <v>32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2339.3</v>
      </c>
      <c r="H46" t="n">
        <v>2536.2</v>
      </c>
      <c r="I46" t="n">
        <v>2505.1</v>
      </c>
      <c r="J46" t="n">
        <v>3083.5</v>
      </c>
      <c r="K46" t="n">
        <v>4350.5</v>
      </c>
      <c r="L46" t="n">
        <v>4253.4</v>
      </c>
      <c r="M46" t="n">
        <v>3978.9</v>
      </c>
      <c r="N46" t="n">
        <v>3380.6</v>
      </c>
      <c r="O46" t="n">
        <v>3507.1</v>
      </c>
      <c r="P46" t="n">
        <v>4188.4</v>
      </c>
      <c r="Q46" t="n">
        <v>3867.1</v>
      </c>
      <c r="R46" t="n">
        <v>4941.3</v>
      </c>
      <c r="S46" t="n">
        <v>4966</v>
      </c>
      <c r="T46" t="n">
        <v>3344</v>
      </c>
      <c r="U46" t="n">
        <v>3036.7</v>
      </c>
      <c r="V46" t="n">
        <v>3625.1</v>
      </c>
      <c r="W46" t="n">
        <v>3658</v>
      </c>
      <c r="X46" t="n">
        <v>2563.7</v>
      </c>
      <c r="Y46" t="n">
        <v>2921.4</v>
      </c>
      <c r="Z46" t="n">
        <v>3515.5</v>
      </c>
      <c r="AA46" t="n">
        <v>4361.1</v>
      </c>
      <c r="AB46" t="n">
        <v>6636.3</v>
      </c>
      <c r="AC46" t="n">
        <v>6001.6</v>
      </c>
      <c r="AD46" t="n">
        <v>6481.8</v>
      </c>
      <c r="AE46" t="n">
        <v>4330.1</v>
      </c>
      <c r="AF46" t="n">
        <v>5113.4</v>
      </c>
    </row>
    <row r="47">
      <c r="A47" t="s">
        <v>32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430</v>
      </c>
      <c r="H47" t="n">
        <v>459.4</v>
      </c>
      <c r="I47" t="n">
        <v>563.6</v>
      </c>
      <c r="J47" t="n">
        <v>720.5</v>
      </c>
      <c r="K47" t="n">
        <v>446.8</v>
      </c>
      <c r="L47" t="n">
        <v>570.2</v>
      </c>
      <c r="M47" t="n">
        <v>666.5</v>
      </c>
      <c r="N47" t="n">
        <v>930.4</v>
      </c>
      <c r="O47" t="n">
        <v>664.5</v>
      </c>
      <c r="P47" t="n">
        <v>1284.9</v>
      </c>
      <c r="Q47" t="n">
        <v>668.3</v>
      </c>
      <c r="R47" t="n">
        <v>1227.2</v>
      </c>
      <c r="S47" t="n">
        <v>931.1</v>
      </c>
      <c r="T47" t="n">
        <v>1012.3</v>
      </c>
      <c r="U47" t="n">
        <v>964</v>
      </c>
      <c r="V47" t="n">
        <v>903</v>
      </c>
      <c r="W47" t="n">
        <v>1127.8</v>
      </c>
      <c r="X47" t="n">
        <v>639.3</v>
      </c>
      <c r="Y47" t="n">
        <v>418.8</v>
      </c>
      <c r="Z47" t="n">
        <v>280.4</v>
      </c>
      <c r="AA47" t="n">
        <v>354.1</v>
      </c>
      <c r="AB47" t="n">
        <v>528.4</v>
      </c>
      <c r="AC47" t="n">
        <v>485.5</v>
      </c>
      <c r="AD47" t="n">
        <v>654.6</v>
      </c>
      <c r="AE47" t="n">
        <v>722.7</v>
      </c>
      <c r="AF47" t="n">
        <v>923.7</v>
      </c>
    </row>
    <row r="48">
      <c r="A48" t="s">
        <v>32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614.5</v>
      </c>
      <c r="H48" t="n">
        <v>639.8</v>
      </c>
      <c r="I48" t="n">
        <v>817.6</v>
      </c>
      <c r="J48" t="n">
        <v>1021.6</v>
      </c>
      <c r="K48" t="n">
        <v>763.2</v>
      </c>
      <c r="L48" t="n">
        <v>878.7</v>
      </c>
      <c r="M48" t="n">
        <v>1003.9</v>
      </c>
      <c r="N48" t="n">
        <v>1249.4</v>
      </c>
      <c r="O48" t="n">
        <v>1019.1</v>
      </c>
      <c r="P48" t="n">
        <v>1661</v>
      </c>
      <c r="Q48" t="n">
        <v>1033.3</v>
      </c>
      <c r="R48" t="n">
        <v>1632.4</v>
      </c>
      <c r="S48" t="n">
        <v>1267.2</v>
      </c>
      <c r="T48" t="n">
        <v>1316.6</v>
      </c>
      <c r="U48" t="n">
        <v>1189.2</v>
      </c>
      <c r="V48" t="n">
        <v>1185.1</v>
      </c>
      <c r="W48" t="n">
        <v>1278.5</v>
      </c>
      <c r="X48" t="n">
        <v>821.7</v>
      </c>
      <c r="Y48" t="n">
        <v>609.8</v>
      </c>
      <c r="Z48" t="n">
        <v>481.3</v>
      </c>
      <c r="AA48" t="n">
        <v>602.4</v>
      </c>
      <c r="AB48" t="n">
        <v>876</v>
      </c>
      <c r="AC48" t="n">
        <v>813.6</v>
      </c>
      <c r="AD48" t="n">
        <v>993.3</v>
      </c>
      <c r="AE48" t="n">
        <v>1123.8</v>
      </c>
      <c r="AF48" t="n">
        <v>1298.1</v>
      </c>
    </row>
    <row r="49">
      <c r="A49" t="s">
        <v>32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64</v>
      </c>
      <c r="H49" t="n">
        <v>58.4</v>
      </c>
      <c r="I49" t="n">
        <v>63.5</v>
      </c>
      <c r="J49" t="n">
        <v>91.2</v>
      </c>
      <c r="K49" t="n">
        <v>85.2</v>
      </c>
      <c r="L49" t="n">
        <v>94</v>
      </c>
      <c r="M49" t="n">
        <v>97.4</v>
      </c>
      <c r="N49" t="n">
        <v>86</v>
      </c>
      <c r="O49" t="n">
        <v>79.9</v>
      </c>
      <c r="P49" t="n">
        <v>110.1</v>
      </c>
      <c r="Q49" t="n">
        <v>115</v>
      </c>
      <c r="R49" t="n">
        <v>115.6</v>
      </c>
      <c r="S49" t="n">
        <v>131.9</v>
      </c>
      <c r="T49" t="n">
        <v>88.4</v>
      </c>
      <c r="U49" t="n">
        <v>46.3</v>
      </c>
      <c r="V49" t="n">
        <v>76.1</v>
      </c>
      <c r="W49" t="n">
        <v>53.8</v>
      </c>
      <c r="X49" t="n">
        <v>45.4</v>
      </c>
      <c r="Y49" t="n">
        <v>64.2</v>
      </c>
      <c r="Z49" t="n">
        <v>56.7</v>
      </c>
      <c r="AA49" t="n">
        <v>62.8</v>
      </c>
      <c r="AB49" t="n">
        <v>96.5</v>
      </c>
      <c r="AC49" t="n">
        <v>114.2</v>
      </c>
      <c r="AD49" t="n">
        <v>112.1</v>
      </c>
      <c r="AE49" t="n">
        <v>183.1</v>
      </c>
      <c r="AF49" t="n">
        <v>132.1</v>
      </c>
    </row>
    <row r="50">
      <c r="A50" t="s">
        <v>32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120.5</v>
      </c>
      <c r="H50" t="n">
        <v>122</v>
      </c>
      <c r="I50" t="n">
        <v>190.6</v>
      </c>
      <c r="J50" t="n">
        <v>209.9</v>
      </c>
      <c r="K50" t="n">
        <v>231.2</v>
      </c>
      <c r="L50" t="n">
        <v>214.5</v>
      </c>
      <c r="M50" t="n">
        <v>239.9</v>
      </c>
      <c r="N50" t="n">
        <v>233</v>
      </c>
      <c r="O50" t="n">
        <v>274.6</v>
      </c>
      <c r="P50" t="n">
        <v>265.9</v>
      </c>
      <c r="Q50" t="n">
        <v>250</v>
      </c>
      <c r="R50" t="n">
        <v>289.5</v>
      </c>
      <c r="S50" t="n">
        <v>204.2</v>
      </c>
      <c r="T50" t="n">
        <v>215.9</v>
      </c>
      <c r="U50" t="n">
        <v>178.9</v>
      </c>
      <c r="V50" t="n">
        <v>206.1</v>
      </c>
      <c r="W50" t="n">
        <v>96.9</v>
      </c>
      <c r="X50" t="n">
        <v>137</v>
      </c>
      <c r="Y50" t="n">
        <v>126.8</v>
      </c>
      <c r="Z50" t="n">
        <v>144.3</v>
      </c>
      <c r="AA50" t="n">
        <v>185.4</v>
      </c>
      <c r="AB50" t="n">
        <v>251.1</v>
      </c>
      <c r="AC50" t="n">
        <v>213.8</v>
      </c>
      <c r="AD50" t="n">
        <v>226.7</v>
      </c>
      <c r="AE50" t="n">
        <v>218.1</v>
      </c>
      <c r="AF50" t="n">
        <v>242.4</v>
      </c>
    </row>
    <row r="51">
      <c r="A51" t="s">
        <v>32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81</v>
      </c>
      <c r="H51" t="n">
        <v>82.8</v>
      </c>
      <c r="I51" t="n">
        <v>128.7</v>
      </c>
      <c r="J51" t="n">
        <v>140.6</v>
      </c>
      <c r="K51" t="n">
        <v>142</v>
      </c>
      <c r="L51" t="n">
        <v>141.6</v>
      </c>
      <c r="M51" t="n">
        <v>172.6</v>
      </c>
      <c r="N51" t="n">
        <v>164.6</v>
      </c>
      <c r="O51" t="n">
        <v>181.2</v>
      </c>
      <c r="P51" t="n">
        <v>182.6</v>
      </c>
      <c r="Q51" t="n">
        <v>176.5</v>
      </c>
      <c r="R51" t="n">
        <v>192.1</v>
      </c>
      <c r="S51" t="n">
        <v>139.6</v>
      </c>
      <c r="T51" t="n">
        <v>149.3</v>
      </c>
      <c r="U51" t="n">
        <v>126.4</v>
      </c>
      <c r="V51" t="n">
        <v>137.4</v>
      </c>
      <c r="W51" t="n">
        <v>41.8</v>
      </c>
      <c r="X51" t="n">
        <v>85.7</v>
      </c>
      <c r="Y51" t="n">
        <v>80.2</v>
      </c>
      <c r="Z51" t="n">
        <v>92.8</v>
      </c>
      <c r="AA51" t="n">
        <v>118.5</v>
      </c>
      <c r="AB51" t="n">
        <v>126.5</v>
      </c>
      <c r="AC51" t="n">
        <v>132.1</v>
      </c>
      <c r="AD51" t="n">
        <v>145.1</v>
      </c>
      <c r="AE51" t="n">
        <v>136.1</v>
      </c>
      <c r="AF51" t="n">
        <v>165.6</v>
      </c>
    </row>
    <row r="52">
      <c r="A52" t="s">
        <v>32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39.5</v>
      </c>
      <c r="H52" t="n">
        <v>39.2</v>
      </c>
      <c r="I52" t="n">
        <v>61.9</v>
      </c>
      <c r="J52" t="n">
        <v>69.3</v>
      </c>
      <c r="K52" t="n">
        <v>89.2</v>
      </c>
      <c r="L52" t="n">
        <v>72.9</v>
      </c>
      <c r="M52" t="n">
        <v>67.3</v>
      </c>
      <c r="N52" t="n">
        <v>68.4</v>
      </c>
      <c r="O52" t="n">
        <v>93.4</v>
      </c>
      <c r="P52" t="n">
        <v>83.3</v>
      </c>
      <c r="Q52" t="n">
        <v>73.5</v>
      </c>
      <c r="R52" t="n">
        <v>97.4</v>
      </c>
      <c r="S52" t="n">
        <v>64.6</v>
      </c>
      <c r="T52" t="n">
        <v>66.6</v>
      </c>
      <c r="U52" t="n">
        <v>52.5</v>
      </c>
      <c r="V52" t="n">
        <v>68.7</v>
      </c>
      <c r="W52" t="n">
        <v>55.1</v>
      </c>
      <c r="X52" t="n">
        <v>51.3</v>
      </c>
      <c r="Y52" t="n">
        <v>46.6</v>
      </c>
      <c r="Z52" t="n">
        <v>51.5</v>
      </c>
      <c r="AA52" t="n">
        <v>66.9</v>
      </c>
      <c r="AB52" t="n">
        <v>124.6</v>
      </c>
      <c r="AC52" t="n">
        <v>81.7</v>
      </c>
      <c r="AD52" t="n">
        <v>81.6</v>
      </c>
      <c r="AE52" t="n">
        <v>82</v>
      </c>
      <c r="AF52" t="n">
        <v>76.8</v>
      </c>
    </row>
    <row r="53">
      <c r="A53" t="s">
        <v>32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63.6</v>
      </c>
      <c r="H53" t="n">
        <v>83.2</v>
      </c>
      <c r="I53" t="n">
        <v>104.4</v>
      </c>
      <c r="J53" t="n">
        <v>96.8</v>
      </c>
      <c r="K53" t="n">
        <v>124.8</v>
      </c>
      <c r="L53" t="n">
        <v>138.9</v>
      </c>
      <c r="M53" t="n">
        <v>105.9</v>
      </c>
      <c r="N53" t="n">
        <v>117.8</v>
      </c>
      <c r="O53" t="n">
        <v>130.7</v>
      </c>
      <c r="P53" t="n">
        <v>111.8</v>
      </c>
      <c r="Q53" t="n">
        <v>112.9</v>
      </c>
      <c r="R53" t="n">
        <v>128.3</v>
      </c>
      <c r="S53" t="n">
        <v>103</v>
      </c>
      <c r="T53" t="n">
        <v>93.3</v>
      </c>
      <c r="U53" t="n">
        <v>78.9</v>
      </c>
      <c r="V53" t="n">
        <v>96.4</v>
      </c>
      <c r="W53" t="n">
        <v>50.9</v>
      </c>
      <c r="X53" t="n">
        <v>46.7</v>
      </c>
      <c r="Y53" t="n">
        <v>52.9</v>
      </c>
      <c r="Z53" t="n">
        <v>66.9</v>
      </c>
      <c r="AA53" t="n">
        <v>87.1</v>
      </c>
      <c r="AB53" t="n">
        <v>92.3</v>
      </c>
      <c r="AC53" t="n">
        <v>98.1</v>
      </c>
      <c r="AD53" t="n">
        <v>88.8</v>
      </c>
      <c r="AE53" t="n">
        <v>79.2</v>
      </c>
      <c r="AF53" t="n">
        <v>81.4</v>
      </c>
    </row>
    <row r="54">
      <c r="A54" t="s">
        <v>32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141.3</v>
      </c>
      <c r="H54" t="n">
        <v>187.3</v>
      </c>
      <c r="I54" t="n">
        <v>234.6</v>
      </c>
      <c r="J54" t="n">
        <v>217.5</v>
      </c>
      <c r="K54" t="n">
        <v>247.5</v>
      </c>
      <c r="L54" t="n">
        <v>302.1</v>
      </c>
      <c r="M54" t="n">
        <v>287.6</v>
      </c>
      <c r="N54" t="n">
        <v>277.1</v>
      </c>
      <c r="O54" t="n">
        <v>317.1</v>
      </c>
      <c r="P54" t="n">
        <v>272.6</v>
      </c>
      <c r="Q54" t="n">
        <v>308.7</v>
      </c>
      <c r="R54" t="n">
        <v>295.1</v>
      </c>
      <c r="S54" t="n">
        <v>269.8</v>
      </c>
      <c r="T54" t="n">
        <v>201.9</v>
      </c>
      <c r="U54" t="n">
        <v>189.9</v>
      </c>
      <c r="V54" t="n">
        <v>235.8</v>
      </c>
      <c r="W54" t="n">
        <v>126</v>
      </c>
      <c r="X54" t="n">
        <v>135.3</v>
      </c>
      <c r="Y54" t="n">
        <v>151.4</v>
      </c>
      <c r="Z54" t="n">
        <v>171.3</v>
      </c>
      <c r="AA54" t="n">
        <v>236.4</v>
      </c>
      <c r="AB54" t="n">
        <v>257.2</v>
      </c>
      <c r="AC54" t="n">
        <v>239.5</v>
      </c>
      <c r="AD54" t="n">
        <v>228.8</v>
      </c>
      <c r="AE54" t="n">
        <v>198.3</v>
      </c>
      <c r="AF54" t="n">
        <v>211.3</v>
      </c>
    </row>
    <row r="55">
      <c r="A55" t="s">
        <v>32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77.7</v>
      </c>
      <c r="H55" t="n">
        <v>104.1</v>
      </c>
      <c r="I55" t="n">
        <v>130.2</v>
      </c>
      <c r="J55" t="n">
        <v>120.7</v>
      </c>
      <c r="K55" t="n">
        <v>122.7</v>
      </c>
      <c r="L55" t="n">
        <v>163.2</v>
      </c>
      <c r="M55" t="n">
        <v>181.7</v>
      </c>
      <c r="N55" t="n">
        <v>159.3</v>
      </c>
      <c r="O55" t="n">
        <v>186.4</v>
      </c>
      <c r="P55" t="n">
        <v>160.8</v>
      </c>
      <c r="Q55" t="n">
        <v>195.8</v>
      </c>
      <c r="R55" t="n">
        <v>166.8</v>
      </c>
      <c r="S55" t="n">
        <v>166.8</v>
      </c>
      <c r="T55" t="n">
        <v>108.6</v>
      </c>
      <c r="U55" t="n">
        <v>111</v>
      </c>
      <c r="V55" t="n">
        <v>139.4</v>
      </c>
      <c r="W55" t="n">
        <v>75.1</v>
      </c>
      <c r="X55" t="n">
        <v>88.6</v>
      </c>
      <c r="Y55" t="n">
        <v>98.5</v>
      </c>
      <c r="Z55" t="n">
        <v>104.4</v>
      </c>
      <c r="AA55" t="n">
        <v>149.3</v>
      </c>
      <c r="AB55" t="n">
        <v>164.9</v>
      </c>
      <c r="AC55" t="n">
        <v>141.4</v>
      </c>
      <c r="AD55" t="n">
        <v>140</v>
      </c>
      <c r="AE55" t="n">
        <v>119.1</v>
      </c>
      <c r="AF55" t="n">
        <v>129.9</v>
      </c>
    </row>
    <row r="56">
      <c r="A56" t="s">
        <v>32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32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11833.1</v>
      </c>
      <c r="H57" t="n">
        <v>12845.8</v>
      </c>
      <c r="I57" t="n">
        <v>14655.8</v>
      </c>
      <c r="J57" t="n">
        <v>17373.5</v>
      </c>
      <c r="K57" t="n">
        <v>19156.6</v>
      </c>
      <c r="L57" t="n">
        <v>19840.2</v>
      </c>
      <c r="M57" t="n">
        <v>21151.7</v>
      </c>
      <c r="N57" t="n">
        <v>20222.5</v>
      </c>
      <c r="O57" t="n">
        <v>21072.3</v>
      </c>
      <c r="P57" t="n">
        <v>21343.5</v>
      </c>
      <c r="Q57" t="n">
        <v>22080.2</v>
      </c>
      <c r="R57" t="n">
        <v>22784.9</v>
      </c>
      <c r="S57" t="n">
        <v>23258.8</v>
      </c>
      <c r="T57" t="n">
        <v>19403.2</v>
      </c>
      <c r="U57" t="n">
        <v>17455.5</v>
      </c>
      <c r="V57" t="n">
        <v>19508.9</v>
      </c>
      <c r="W57" t="n">
        <v>14131</v>
      </c>
      <c r="X57" t="n">
        <v>11860.2</v>
      </c>
      <c r="Y57" t="n">
        <v>12953.2</v>
      </c>
      <c r="Z57" t="n">
        <v>15755.5</v>
      </c>
      <c r="AA57" t="n">
        <v>18734.2</v>
      </c>
      <c r="AB57" t="n">
        <v>21710.5</v>
      </c>
      <c r="AC57" t="n">
        <v>21616</v>
      </c>
      <c r="AD57" t="n">
        <v>22819.7</v>
      </c>
      <c r="AE57" t="n">
        <v>18149</v>
      </c>
      <c r="AF57" t="n">
        <v>23062.4</v>
      </c>
    </row>
    <row r="58">
      <c r="A58" t="s">
        <v>32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11833.1</v>
      </c>
      <c r="H58" t="n">
        <v>12845.8</v>
      </c>
      <c r="I58" t="n">
        <v>14655.8</v>
      </c>
      <c r="J58" t="n">
        <v>17373.5</v>
      </c>
      <c r="K58" t="n">
        <v>19156.6</v>
      </c>
      <c r="L58" t="n">
        <v>19840.2</v>
      </c>
      <c r="M58" t="n">
        <v>21151.7</v>
      </c>
      <c r="N58" t="n">
        <v>20222.5</v>
      </c>
      <c r="O58" t="n">
        <v>21072.3</v>
      </c>
      <c r="P58" t="n">
        <v>21343.5</v>
      </c>
      <c r="Q58" t="n">
        <v>22080.2</v>
      </c>
      <c r="R58" t="n">
        <v>22784.9</v>
      </c>
      <c r="S58" t="n">
        <v>23258.8</v>
      </c>
      <c r="T58" t="n">
        <v>19403.2</v>
      </c>
      <c r="U58" t="n">
        <v>17455.5</v>
      </c>
      <c r="V58" t="n">
        <v>19508.9</v>
      </c>
      <c r="W58" t="n">
        <v>14131</v>
      </c>
      <c r="X58" t="n">
        <v>11860.2</v>
      </c>
      <c r="Y58" t="n">
        <v>12953.2</v>
      </c>
      <c r="Z58" t="n">
        <v>15755.5</v>
      </c>
      <c r="AA58" t="n">
        <v>18734.2</v>
      </c>
      <c r="AB58" t="n">
        <v>21710.5</v>
      </c>
      <c r="AC58" t="n">
        <v>21616</v>
      </c>
      <c r="AD58" t="n">
        <v>22819.7</v>
      </c>
      <c r="AE58" t="n">
        <v>18149</v>
      </c>
      <c r="AF58" t="n">
        <v>23062.4</v>
      </c>
    </row>
    <row r="59">
      <c r="A59" t="s">
        <v>32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34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2925.4</v>
      </c>
      <c r="H2" t="n">
        <v>3219.8</v>
      </c>
      <c r="I2" t="n">
        <v>3571.5</v>
      </c>
      <c r="J2" t="n">
        <v>3730.5</v>
      </c>
      <c r="K2" t="n">
        <v>4244.4</v>
      </c>
      <c r="L2" t="n">
        <v>3914.6</v>
      </c>
      <c r="M2" t="n">
        <v>3911.5</v>
      </c>
      <c r="N2" t="n">
        <v>3923.8</v>
      </c>
      <c r="O2" t="n">
        <v>4500.8</v>
      </c>
      <c r="P2" t="n">
        <v>4554.3</v>
      </c>
      <c r="Q2" t="n">
        <v>4951.1</v>
      </c>
      <c r="R2" t="n">
        <v>4858.5</v>
      </c>
      <c r="S2" t="n">
        <v>4410.4</v>
      </c>
      <c r="T2" t="n">
        <v>3843.8</v>
      </c>
      <c r="U2" t="n">
        <v>4669.7</v>
      </c>
      <c r="V2" t="n">
        <v>4499</v>
      </c>
      <c r="W2" t="n">
        <v>4348.3</v>
      </c>
      <c r="X2" t="n">
        <v>4124.8</v>
      </c>
      <c r="Y2" t="n">
        <v>4593.7</v>
      </c>
      <c r="Z2" t="n">
        <v>4511.6</v>
      </c>
      <c r="AA2" t="n">
        <v>4823</v>
      </c>
      <c r="AB2" t="n">
        <v>5385.1</v>
      </c>
      <c r="AC2" t="n">
        <v>6106.9</v>
      </c>
      <c r="AD2" t="n">
        <v>6134.5</v>
      </c>
      <c r="AE2" t="n">
        <v>5495.6</v>
      </c>
      <c r="AF2" t="n">
        <v>6775.8</v>
      </c>
    </row>
    <row r="3">
      <c r="A3" t="s">
        <v>34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330.5</v>
      </c>
      <c r="H3" t="n">
        <v>385</v>
      </c>
      <c r="I3" t="n">
        <v>328.4</v>
      </c>
      <c r="J3" t="n">
        <v>383.7</v>
      </c>
      <c r="K3" t="n">
        <v>434</v>
      </c>
      <c r="L3" t="n">
        <v>364.2</v>
      </c>
      <c r="M3" t="n">
        <v>454.4</v>
      </c>
      <c r="N3" t="n">
        <v>323.8</v>
      </c>
      <c r="O3" t="n">
        <v>388.3</v>
      </c>
      <c r="P3" t="n">
        <v>532.4</v>
      </c>
      <c r="Q3" t="n">
        <v>436.4</v>
      </c>
      <c r="R3" t="n">
        <v>577.5</v>
      </c>
      <c r="S3" t="n">
        <v>414.5</v>
      </c>
      <c r="T3" t="n">
        <v>292.5</v>
      </c>
      <c r="U3" t="n">
        <v>475.6</v>
      </c>
      <c r="V3" t="n">
        <v>451.3</v>
      </c>
      <c r="W3" t="n">
        <v>315.9</v>
      </c>
      <c r="X3" t="n">
        <v>371.5</v>
      </c>
      <c r="Y3" t="n">
        <v>326.1</v>
      </c>
      <c r="Z3" t="n">
        <v>442.2</v>
      </c>
      <c r="AA3" t="n">
        <v>451.8</v>
      </c>
      <c r="AB3" t="n">
        <v>296.2</v>
      </c>
      <c r="AC3" t="n">
        <v>572.7</v>
      </c>
      <c r="AD3" t="n">
        <v>424.9</v>
      </c>
      <c r="AE3" t="n">
        <v>319.1</v>
      </c>
      <c r="AF3" t="n">
        <v>414.3</v>
      </c>
    </row>
    <row r="4">
      <c r="A4" t="s">
        <v>34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20713.7</v>
      </c>
      <c r="H4" t="n">
        <v>21220.2</v>
      </c>
      <c r="I4" t="n">
        <v>24002.2</v>
      </c>
      <c r="J4" t="n">
        <v>26333.2</v>
      </c>
      <c r="K4" t="n">
        <v>28366.3</v>
      </c>
      <c r="L4" t="n">
        <v>29099.6</v>
      </c>
      <c r="M4" t="n">
        <v>30698.7</v>
      </c>
      <c r="N4" t="n">
        <v>29794.5</v>
      </c>
      <c r="O4" t="n">
        <v>30363</v>
      </c>
      <c r="P4" t="n">
        <v>30729.7</v>
      </c>
      <c r="Q4" t="n">
        <v>33697.4</v>
      </c>
      <c r="R4" t="n">
        <v>34945.4</v>
      </c>
      <c r="S4" t="n">
        <v>34422</v>
      </c>
      <c r="T4" t="n">
        <v>28595.2</v>
      </c>
      <c r="U4" t="n">
        <v>32059.1</v>
      </c>
      <c r="V4" t="n">
        <v>31292.6</v>
      </c>
      <c r="W4" t="n">
        <v>31050</v>
      </c>
      <c r="X4" t="n">
        <v>30211.8</v>
      </c>
      <c r="Y4" t="n">
        <v>32214.3</v>
      </c>
      <c r="Z4" t="n">
        <v>33925.9</v>
      </c>
      <c r="AA4" t="n">
        <v>36306.4</v>
      </c>
      <c r="AB4" t="n">
        <v>38029.5</v>
      </c>
      <c r="AC4" t="n">
        <v>42788.1</v>
      </c>
      <c r="AD4" t="n">
        <v>39871.9</v>
      </c>
      <c r="AE4" t="n">
        <v>35948.3</v>
      </c>
      <c r="AF4" t="n">
        <v>42359.1</v>
      </c>
    </row>
    <row r="5">
      <c r="A5" t="s">
        <v>34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3265.8</v>
      </c>
      <c r="H5" t="n">
        <v>3636</v>
      </c>
      <c r="I5" t="n">
        <v>3123.3</v>
      </c>
      <c r="J5" t="n">
        <v>4710</v>
      </c>
      <c r="K5" t="n">
        <v>4496.2</v>
      </c>
      <c r="L5" t="n">
        <v>4459.9</v>
      </c>
      <c r="M5" t="n">
        <v>4722.1</v>
      </c>
      <c r="N5" t="n">
        <v>4128.8</v>
      </c>
      <c r="O5" t="n">
        <v>5243.2</v>
      </c>
      <c r="P5" t="n">
        <v>4512.1</v>
      </c>
      <c r="Q5" t="n">
        <v>5564.6</v>
      </c>
      <c r="R5" t="n">
        <v>5269.7</v>
      </c>
      <c r="S5" t="n">
        <v>5243.8</v>
      </c>
      <c r="T5" t="n">
        <v>4014.9</v>
      </c>
      <c r="U5" t="n">
        <v>5035.1</v>
      </c>
      <c r="V5" t="n">
        <v>4910.8</v>
      </c>
      <c r="W5" t="n">
        <v>4968.2</v>
      </c>
      <c r="X5" t="n">
        <v>4706.3</v>
      </c>
      <c r="Y5" t="n">
        <v>4950.3</v>
      </c>
      <c r="Z5" t="n">
        <v>4737.1</v>
      </c>
      <c r="AA5" t="n">
        <v>5255.8</v>
      </c>
      <c r="AB5" t="n">
        <v>5678.2</v>
      </c>
      <c r="AC5" t="n">
        <v>7408.2</v>
      </c>
      <c r="AD5" t="n">
        <v>6064.2</v>
      </c>
      <c r="AE5" t="n">
        <v>4940.5</v>
      </c>
      <c r="AF5" t="n">
        <v>6361.4</v>
      </c>
    </row>
    <row r="6">
      <c r="A6" t="s">
        <v>34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1420.2</v>
      </c>
      <c r="H6" t="n">
        <v>1279.7</v>
      </c>
      <c r="I6" t="n">
        <v>1924.3</v>
      </c>
      <c r="J6" t="n">
        <v>1559.6</v>
      </c>
      <c r="K6" t="n">
        <v>1759.3</v>
      </c>
      <c r="L6" t="n">
        <v>1812</v>
      </c>
      <c r="M6" t="n">
        <v>2158.4</v>
      </c>
      <c r="N6" t="n">
        <v>2220.5</v>
      </c>
      <c r="O6" t="n">
        <v>2090.7</v>
      </c>
      <c r="P6" t="n">
        <v>2134.3</v>
      </c>
      <c r="Q6" t="n">
        <v>2059.5</v>
      </c>
      <c r="R6" t="n">
        <v>2204</v>
      </c>
      <c r="S6" t="n">
        <v>2444.2</v>
      </c>
      <c r="T6" t="n">
        <v>1866.9</v>
      </c>
      <c r="U6" t="n">
        <v>2128.3</v>
      </c>
      <c r="V6" t="n">
        <v>1939.8</v>
      </c>
      <c r="W6" t="n">
        <v>1932</v>
      </c>
      <c r="X6" t="n">
        <v>1918.7</v>
      </c>
      <c r="Y6" t="n">
        <v>2065.1</v>
      </c>
      <c r="Z6" t="n">
        <v>1872.2</v>
      </c>
      <c r="AA6" t="n">
        <v>2138.3</v>
      </c>
      <c r="AB6" t="n">
        <v>2692.4</v>
      </c>
      <c r="AC6" t="n">
        <v>3099.1</v>
      </c>
      <c r="AD6" t="n">
        <v>2414.8</v>
      </c>
      <c r="AE6" t="n">
        <v>1910</v>
      </c>
      <c r="AF6" t="n">
        <v>2121</v>
      </c>
    </row>
    <row r="7">
      <c r="A7" t="s">
        <v>34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1577.5</v>
      </c>
      <c r="H7" t="n">
        <v>1315.2</v>
      </c>
      <c r="I7" t="n">
        <v>1928.3</v>
      </c>
      <c r="J7" t="n">
        <v>1943.6</v>
      </c>
      <c r="K7" t="n">
        <v>2093.9</v>
      </c>
      <c r="L7" t="n">
        <v>2300.2</v>
      </c>
      <c r="M7" t="n">
        <v>2213</v>
      </c>
      <c r="N7" t="n">
        <v>2226.1</v>
      </c>
      <c r="O7" t="n">
        <v>2291.6</v>
      </c>
      <c r="P7" t="n">
        <v>2468.6</v>
      </c>
      <c r="Q7" t="n">
        <v>2579.4</v>
      </c>
      <c r="R7" t="n">
        <v>2634.9</v>
      </c>
      <c r="S7" t="n">
        <v>2477.2</v>
      </c>
      <c r="T7" t="n">
        <v>1995.3</v>
      </c>
      <c r="U7" t="n">
        <v>2379.6</v>
      </c>
      <c r="V7" t="n">
        <v>2350.5</v>
      </c>
      <c r="W7" t="n">
        <v>2413.4</v>
      </c>
      <c r="X7" t="n">
        <v>2013.8</v>
      </c>
      <c r="Y7" t="n">
        <v>2173</v>
      </c>
      <c r="Z7" t="n">
        <v>2583.7</v>
      </c>
      <c r="AA7" t="n">
        <v>2625.1</v>
      </c>
      <c r="AB7" t="n">
        <v>2805.7</v>
      </c>
      <c r="AC7" t="n">
        <v>3397.6</v>
      </c>
      <c r="AD7" t="n">
        <v>2840.1</v>
      </c>
      <c r="AE7" t="n">
        <v>2388.2</v>
      </c>
      <c r="AF7" t="n">
        <v>2869.7</v>
      </c>
    </row>
    <row r="8">
      <c r="A8" t="s">
        <v>34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792.5</v>
      </c>
      <c r="H8" t="n">
        <v>517.9</v>
      </c>
      <c r="I8" t="n">
        <v>1091.3</v>
      </c>
      <c r="J8" t="n">
        <v>635.2</v>
      </c>
      <c r="K8" t="n">
        <v>1040.3</v>
      </c>
      <c r="L8" t="n">
        <v>1202.7</v>
      </c>
      <c r="M8" t="n">
        <v>968.7</v>
      </c>
      <c r="N8" t="n">
        <v>872.1</v>
      </c>
      <c r="O8" t="n">
        <v>668.7</v>
      </c>
      <c r="P8" t="n">
        <v>794.7</v>
      </c>
      <c r="Q8" t="n">
        <v>889.6</v>
      </c>
      <c r="R8" t="n">
        <v>1123.5</v>
      </c>
      <c r="S8" t="n">
        <v>1002.5</v>
      </c>
      <c r="T8" t="n">
        <v>1230.8</v>
      </c>
      <c r="U8" t="n">
        <v>1009.3</v>
      </c>
      <c r="V8" t="n">
        <v>998.5</v>
      </c>
      <c r="W8" t="n">
        <v>1141.8</v>
      </c>
      <c r="X8" t="n">
        <v>946.5</v>
      </c>
      <c r="Y8" t="n">
        <v>907.6</v>
      </c>
      <c r="Z8" t="n">
        <v>694.2</v>
      </c>
      <c r="AA8" t="n">
        <v>856.4</v>
      </c>
      <c r="AB8" t="n">
        <v>848.1</v>
      </c>
      <c r="AC8" t="n">
        <v>693.8</v>
      </c>
      <c r="AD8" t="n">
        <v>946.2</v>
      </c>
      <c r="AE8" t="n">
        <v>656.4</v>
      </c>
      <c r="AF8" t="n">
        <v>652.3</v>
      </c>
    </row>
    <row r="9">
      <c r="A9" t="s">
        <v>34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1049.1</v>
      </c>
      <c r="H9" t="n">
        <v>1566</v>
      </c>
      <c r="I9" t="n">
        <v>1749</v>
      </c>
      <c r="J9" t="n">
        <v>1937.6</v>
      </c>
      <c r="K9" t="n">
        <v>1908.8</v>
      </c>
      <c r="L9" t="n">
        <v>1978.1</v>
      </c>
      <c r="M9" t="n">
        <v>1978</v>
      </c>
      <c r="N9" t="n">
        <v>2435.3</v>
      </c>
      <c r="O9" t="n">
        <v>1934.9</v>
      </c>
      <c r="P9" t="n">
        <v>1970.8</v>
      </c>
      <c r="Q9" t="n">
        <v>2437.5</v>
      </c>
      <c r="R9" t="n">
        <v>2420.1</v>
      </c>
      <c r="S9" t="n">
        <v>2110.1</v>
      </c>
      <c r="T9" t="n">
        <v>2148.7</v>
      </c>
      <c r="U9" t="n">
        <v>2195.1</v>
      </c>
      <c r="V9" t="n">
        <v>2189.2</v>
      </c>
      <c r="W9" t="n">
        <v>1916.5</v>
      </c>
      <c r="X9" t="n">
        <v>2169</v>
      </c>
      <c r="Y9" t="n">
        <v>2461.6</v>
      </c>
      <c r="Z9" t="n">
        <v>2269.4</v>
      </c>
      <c r="AA9" t="n">
        <v>2525</v>
      </c>
      <c r="AB9" t="n">
        <v>1883.3</v>
      </c>
      <c r="AC9" t="n">
        <v>2204.8</v>
      </c>
      <c r="AD9" t="n">
        <v>2083.1</v>
      </c>
      <c r="AE9" t="n">
        <v>2134.5</v>
      </c>
      <c r="AF9" t="n">
        <v>2341.1</v>
      </c>
    </row>
    <row r="10">
      <c r="A10" t="s">
        <v>34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1703.2</v>
      </c>
      <c r="H10" t="n">
        <v>2333.1</v>
      </c>
      <c r="I10" t="n">
        <v>2927.7</v>
      </c>
      <c r="J10" t="n">
        <v>3034.7</v>
      </c>
      <c r="K10" t="n">
        <v>2851.5</v>
      </c>
      <c r="L10" t="n">
        <v>2827.8</v>
      </c>
      <c r="M10" t="n">
        <v>3076.7</v>
      </c>
      <c r="N10" t="n">
        <v>3542.9</v>
      </c>
      <c r="O10" t="n">
        <v>2870.6</v>
      </c>
      <c r="P10" t="n">
        <v>3090.3</v>
      </c>
      <c r="Q10" t="n">
        <v>3556.4</v>
      </c>
      <c r="R10" t="n">
        <v>3493.7</v>
      </c>
      <c r="S10" t="n">
        <v>2987.5</v>
      </c>
      <c r="T10" t="n">
        <v>3127.9</v>
      </c>
      <c r="U10" t="n">
        <v>3264.1</v>
      </c>
      <c r="V10" t="n">
        <v>3256.3</v>
      </c>
      <c r="W10" t="n">
        <v>2984.2</v>
      </c>
      <c r="X10" t="n">
        <v>3398.3</v>
      </c>
      <c r="Y10" t="n">
        <v>3884.6</v>
      </c>
      <c r="Z10" t="n">
        <v>3668.1</v>
      </c>
      <c r="AA10" t="n">
        <v>4131.4</v>
      </c>
      <c r="AB10" t="n">
        <v>4046.6</v>
      </c>
      <c r="AC10" t="n">
        <v>4085.3</v>
      </c>
      <c r="AD10" t="n">
        <v>3712.1</v>
      </c>
      <c r="AE10" t="n">
        <v>4035.6</v>
      </c>
      <c r="AF10" t="n">
        <v>4247.3</v>
      </c>
    </row>
    <row r="11">
      <c r="A11" t="s">
        <v>34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654.1</v>
      </c>
      <c r="H11" t="n">
        <v>767.1</v>
      </c>
      <c r="I11" t="n">
        <v>1178.7</v>
      </c>
      <c r="J11" t="n">
        <v>1097.1</v>
      </c>
      <c r="K11" t="n">
        <v>942.7</v>
      </c>
      <c r="L11" t="n">
        <v>849.7</v>
      </c>
      <c r="M11" t="n">
        <v>1098.7</v>
      </c>
      <c r="N11" t="n">
        <v>1107.6</v>
      </c>
      <c r="O11" t="n">
        <v>935.7</v>
      </c>
      <c r="P11" t="n">
        <v>1119.5</v>
      </c>
      <c r="Q11" t="n">
        <v>1118.9</v>
      </c>
      <c r="R11" t="n">
        <v>1073.6</v>
      </c>
      <c r="S11" t="n">
        <v>877.4</v>
      </c>
      <c r="T11" t="n">
        <v>979.2</v>
      </c>
      <c r="U11" t="n">
        <v>1069</v>
      </c>
      <c r="V11" t="n">
        <v>1067.1</v>
      </c>
      <c r="W11" t="n">
        <v>1067.7</v>
      </c>
      <c r="X11" t="n">
        <v>1229.3</v>
      </c>
      <c r="Y11" t="n">
        <v>1423</v>
      </c>
      <c r="Z11" t="n">
        <v>1398.7</v>
      </c>
      <c r="AA11" t="n">
        <v>1606.4</v>
      </c>
      <c r="AB11" t="n">
        <v>2163.3</v>
      </c>
      <c r="AC11" t="n">
        <v>1880.5</v>
      </c>
      <c r="AD11" t="n">
        <v>1629</v>
      </c>
      <c r="AE11" t="n">
        <v>1901.1</v>
      </c>
      <c r="AF11" t="n">
        <v>1906.2</v>
      </c>
    </row>
    <row r="12">
      <c r="A12" t="s">
        <v>34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1617.8</v>
      </c>
      <c r="H12" t="n">
        <v>1756.3</v>
      </c>
      <c r="I12" t="n">
        <v>1615.1</v>
      </c>
      <c r="J12" t="n">
        <v>2408.5</v>
      </c>
      <c r="K12" t="n">
        <v>2627.3</v>
      </c>
      <c r="L12" t="n">
        <v>2551.1</v>
      </c>
      <c r="M12" t="n">
        <v>2607.2</v>
      </c>
      <c r="N12" t="n">
        <v>3148.2</v>
      </c>
      <c r="O12" t="n">
        <v>3175.3</v>
      </c>
      <c r="P12" t="n">
        <v>2792.1</v>
      </c>
      <c r="Q12" t="n">
        <v>3463.3</v>
      </c>
      <c r="R12" t="n">
        <v>3337.9</v>
      </c>
      <c r="S12" t="n">
        <v>3691.4</v>
      </c>
      <c r="T12" t="n">
        <v>2314.1</v>
      </c>
      <c r="U12" t="n">
        <v>3093.1</v>
      </c>
      <c r="V12" t="n">
        <v>3022.1</v>
      </c>
      <c r="W12" t="n">
        <v>2984.3</v>
      </c>
      <c r="X12" t="n">
        <v>2765.1</v>
      </c>
      <c r="Y12" t="n">
        <v>2902.3</v>
      </c>
      <c r="Z12" t="n">
        <v>3224.6</v>
      </c>
      <c r="AA12" t="n">
        <v>3477.2</v>
      </c>
      <c r="AB12" t="n">
        <v>3986.1</v>
      </c>
      <c r="AC12" t="n">
        <v>4237.2</v>
      </c>
      <c r="AD12" t="n">
        <v>4104.7</v>
      </c>
      <c r="AE12" t="n">
        <v>3538.2</v>
      </c>
      <c r="AF12" t="n">
        <v>4232.1</v>
      </c>
    </row>
    <row r="13">
      <c r="A13" t="s">
        <v>34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3565.2</v>
      </c>
      <c r="H13" t="n">
        <v>3194</v>
      </c>
      <c r="I13" t="n">
        <v>3916.6</v>
      </c>
      <c r="J13" t="n">
        <v>3869.2</v>
      </c>
      <c r="K13" t="n">
        <v>4232.7</v>
      </c>
      <c r="L13" t="n">
        <v>4513.6</v>
      </c>
      <c r="M13" t="n">
        <v>5210.4</v>
      </c>
      <c r="N13" t="n">
        <v>4853.6</v>
      </c>
      <c r="O13" t="n">
        <v>4817.4</v>
      </c>
      <c r="P13" t="n">
        <v>4519.7</v>
      </c>
      <c r="Q13" t="n">
        <v>4519.6</v>
      </c>
      <c r="R13" t="n">
        <v>5695</v>
      </c>
      <c r="S13" t="n">
        <v>5405.6</v>
      </c>
      <c r="T13" t="n">
        <v>4573.6</v>
      </c>
      <c r="U13" t="n">
        <v>5073.7</v>
      </c>
      <c r="V13" t="n">
        <v>4911</v>
      </c>
      <c r="W13" t="n">
        <v>4855.9</v>
      </c>
      <c r="X13" t="n">
        <v>4069.5</v>
      </c>
      <c r="Y13" t="n">
        <v>4675.9</v>
      </c>
      <c r="Z13" t="n">
        <v>5178.6</v>
      </c>
      <c r="AA13" t="n">
        <v>4941</v>
      </c>
      <c r="AB13" t="n">
        <v>5109.6</v>
      </c>
      <c r="AC13" t="n">
        <v>5938.2</v>
      </c>
      <c r="AD13" t="n">
        <v>6659.2</v>
      </c>
      <c r="AE13" t="n">
        <v>5599.5</v>
      </c>
      <c r="AF13" t="n">
        <v>7074.1</v>
      </c>
    </row>
    <row r="14">
      <c r="A14" t="s">
        <v>34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1060</v>
      </c>
      <c r="H14" t="n">
        <v>654.4</v>
      </c>
      <c r="I14" t="n">
        <v>1629</v>
      </c>
      <c r="J14" t="n">
        <v>1284.5</v>
      </c>
      <c r="K14" t="n">
        <v>1137.8</v>
      </c>
      <c r="L14" t="n">
        <v>1703.2</v>
      </c>
      <c r="M14" t="n">
        <v>966.9</v>
      </c>
      <c r="N14" t="n">
        <v>1148.7</v>
      </c>
      <c r="O14" t="n">
        <v>1313.7</v>
      </c>
      <c r="P14" t="n">
        <v>1460</v>
      </c>
      <c r="Q14" t="n">
        <v>1531.5</v>
      </c>
      <c r="R14" t="n">
        <v>1653.9</v>
      </c>
      <c r="S14" t="n">
        <v>1092.7</v>
      </c>
      <c r="T14" t="n">
        <v>1469.9</v>
      </c>
      <c r="U14" t="n">
        <v>1364.1</v>
      </c>
      <c r="V14" t="n">
        <v>1317.2</v>
      </c>
      <c r="W14" t="n">
        <v>1203</v>
      </c>
      <c r="X14" t="n">
        <v>826.9</v>
      </c>
      <c r="Y14" t="n">
        <v>880.9</v>
      </c>
      <c r="Z14" t="n">
        <v>791</v>
      </c>
      <c r="AA14" t="n">
        <v>953.1</v>
      </c>
      <c r="AB14" t="n">
        <v>1351.7</v>
      </c>
      <c r="AC14" t="n">
        <v>1511.6</v>
      </c>
      <c r="AD14" t="n">
        <v>1497.3</v>
      </c>
      <c r="AE14" t="n">
        <v>1559.7</v>
      </c>
      <c r="AF14" t="n">
        <v>1806.3</v>
      </c>
    </row>
    <row r="15">
      <c r="A15" t="s">
        <v>34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2288.5</v>
      </c>
      <c r="H15" t="n">
        <v>1626.6</v>
      </c>
      <c r="I15" t="n">
        <v>2620.4</v>
      </c>
      <c r="J15" t="n">
        <v>2405.9</v>
      </c>
      <c r="K15" t="n">
        <v>2417.9</v>
      </c>
      <c r="L15" t="n">
        <v>3034.7</v>
      </c>
      <c r="M15" t="n">
        <v>2259.1</v>
      </c>
      <c r="N15" t="n">
        <v>2357.9</v>
      </c>
      <c r="O15" t="n">
        <v>2710.5</v>
      </c>
      <c r="P15" t="n">
        <v>2839</v>
      </c>
      <c r="Q15" t="n">
        <v>2981.8</v>
      </c>
      <c r="R15" t="n">
        <v>3312.4</v>
      </c>
      <c r="S15" t="n">
        <v>2571.3</v>
      </c>
      <c r="T15" t="n">
        <v>2578.8</v>
      </c>
      <c r="U15" t="n">
        <v>2755.6</v>
      </c>
      <c r="V15" t="n">
        <v>2695.1</v>
      </c>
      <c r="W15" t="n">
        <v>2248</v>
      </c>
      <c r="X15" t="n">
        <v>1740.7</v>
      </c>
      <c r="Y15" t="n">
        <v>1812.2</v>
      </c>
      <c r="Z15" t="n">
        <v>1773.6</v>
      </c>
      <c r="AA15" t="n">
        <v>2064.4</v>
      </c>
      <c r="AB15" t="n">
        <v>2681.9</v>
      </c>
      <c r="AC15" t="n">
        <v>2812.8</v>
      </c>
      <c r="AD15" t="n">
        <v>2732.7</v>
      </c>
      <c r="AE15" t="n">
        <v>2696.4</v>
      </c>
      <c r="AF15" t="n">
        <v>3173.8</v>
      </c>
    </row>
    <row r="16">
      <c r="A16" t="s">
        <v>34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1228.5</v>
      </c>
      <c r="H16" t="n">
        <v>972.2</v>
      </c>
      <c r="I16" t="n">
        <v>991.4</v>
      </c>
      <c r="J16" t="n">
        <v>1121.4</v>
      </c>
      <c r="K16" t="n">
        <v>1280.1</v>
      </c>
      <c r="L16" t="n">
        <v>1331.5</v>
      </c>
      <c r="M16" t="n">
        <v>1292.2</v>
      </c>
      <c r="N16" t="n">
        <v>1209.2</v>
      </c>
      <c r="O16" t="n">
        <v>1396.8</v>
      </c>
      <c r="P16" t="n">
        <v>1379</v>
      </c>
      <c r="Q16" t="n">
        <v>1450.3</v>
      </c>
      <c r="R16" t="n">
        <v>1658.5</v>
      </c>
      <c r="S16" t="n">
        <v>1478.6</v>
      </c>
      <c r="T16" t="n">
        <v>1108.9</v>
      </c>
      <c r="U16" t="n">
        <v>1391.5</v>
      </c>
      <c r="V16" t="n">
        <v>1377.9</v>
      </c>
      <c r="W16" t="n">
        <v>1045</v>
      </c>
      <c r="X16" t="n">
        <v>913.8</v>
      </c>
      <c r="Y16" t="n">
        <v>931.3</v>
      </c>
      <c r="Z16" t="n">
        <v>982.6</v>
      </c>
      <c r="AA16" t="n">
        <v>1111.3</v>
      </c>
      <c r="AB16" t="n">
        <v>1330.2</v>
      </c>
      <c r="AC16" t="n">
        <v>1301.2</v>
      </c>
      <c r="AD16" t="n">
        <v>1235.4</v>
      </c>
      <c r="AE16" t="n">
        <v>1136.7</v>
      </c>
      <c r="AF16" t="n">
        <v>1367.5</v>
      </c>
    </row>
    <row r="17">
      <c r="A17" t="s">
        <v>34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1334.7</v>
      </c>
      <c r="H17" t="n">
        <v>1736.6</v>
      </c>
      <c r="I17" t="n">
        <v>1469.7</v>
      </c>
      <c r="J17" t="n">
        <v>1965.1</v>
      </c>
      <c r="K17" t="n">
        <v>2270.3</v>
      </c>
      <c r="L17" t="n">
        <v>2022.5</v>
      </c>
      <c r="M17" t="n">
        <v>2373.2</v>
      </c>
      <c r="N17" t="n">
        <v>1941.6</v>
      </c>
      <c r="O17" t="n">
        <v>2126.9</v>
      </c>
      <c r="P17" t="n">
        <v>2377.3</v>
      </c>
      <c r="Q17" t="n">
        <v>2307.5</v>
      </c>
      <c r="R17" t="n">
        <v>2594.1</v>
      </c>
      <c r="S17" t="n">
        <v>2768.3</v>
      </c>
      <c r="T17" t="n">
        <v>1883.1</v>
      </c>
      <c r="U17" t="n">
        <v>2293.5</v>
      </c>
      <c r="V17" t="n">
        <v>2262.7</v>
      </c>
      <c r="W17" t="n">
        <v>2111</v>
      </c>
      <c r="X17" t="n">
        <v>2348.3</v>
      </c>
      <c r="Y17" t="n">
        <v>2418.1</v>
      </c>
      <c r="Z17" t="n">
        <v>2698.5</v>
      </c>
      <c r="AA17" t="n">
        <v>2727.6</v>
      </c>
      <c r="AB17" t="n">
        <v>3147.3</v>
      </c>
      <c r="AC17" t="n">
        <v>3737.2</v>
      </c>
      <c r="AD17" t="n">
        <v>2773.2</v>
      </c>
      <c r="AE17" t="n">
        <v>2761.5</v>
      </c>
      <c r="AF17" t="n">
        <v>3435.3</v>
      </c>
    </row>
    <row r="18">
      <c r="A18" t="s">
        <v>34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2297.5</v>
      </c>
      <c r="H18" t="n">
        <v>2793.4</v>
      </c>
      <c r="I18" t="n">
        <v>2361.7</v>
      </c>
      <c r="J18" t="n">
        <v>2899.9</v>
      </c>
      <c r="K18" t="n">
        <v>3372.7</v>
      </c>
      <c r="L18" t="n">
        <v>3167</v>
      </c>
      <c r="M18" t="n">
        <v>3697.6</v>
      </c>
      <c r="N18" t="n">
        <v>3172.8</v>
      </c>
      <c r="O18" t="n">
        <v>3117.6</v>
      </c>
      <c r="P18" t="n">
        <v>3946.7</v>
      </c>
      <c r="Q18" t="n">
        <v>4371.2</v>
      </c>
      <c r="R18" t="n">
        <v>3719.5</v>
      </c>
      <c r="S18" t="n">
        <v>4519.8</v>
      </c>
      <c r="T18" t="n">
        <v>3714.1</v>
      </c>
      <c r="U18" t="n">
        <v>3685.7</v>
      </c>
      <c r="V18" t="n">
        <v>3616.7</v>
      </c>
      <c r="W18" t="n">
        <v>4288.5</v>
      </c>
      <c r="X18" t="n">
        <v>5202.6</v>
      </c>
      <c r="Y18" t="n">
        <v>5334</v>
      </c>
      <c r="Z18" t="n">
        <v>6254</v>
      </c>
      <c r="AA18" t="n">
        <v>6795.7</v>
      </c>
      <c r="AB18" t="n">
        <v>5614</v>
      </c>
      <c r="AC18" t="n">
        <v>5762.8</v>
      </c>
      <c r="AD18" t="n">
        <v>5894.6</v>
      </c>
      <c r="AE18" t="n">
        <v>5984.1</v>
      </c>
      <c r="AF18" t="n">
        <v>6371.4</v>
      </c>
    </row>
    <row r="19">
      <c r="A19" t="s">
        <v>34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850.8</v>
      </c>
      <c r="H19" t="n">
        <v>1031.4</v>
      </c>
      <c r="I19" t="n">
        <v>1023.8</v>
      </c>
      <c r="J19" t="n">
        <v>901.5</v>
      </c>
      <c r="K19" t="n">
        <v>1204.2</v>
      </c>
      <c r="L19" t="n">
        <v>1208.1</v>
      </c>
      <c r="M19" t="n">
        <v>1412.3</v>
      </c>
      <c r="N19" t="n">
        <v>1330</v>
      </c>
      <c r="O19" t="n">
        <v>1250.5</v>
      </c>
      <c r="P19" t="n">
        <v>1254.9</v>
      </c>
      <c r="Q19" t="n">
        <v>1404.5</v>
      </c>
      <c r="R19" t="n">
        <v>1560.7</v>
      </c>
      <c r="S19" t="n">
        <v>1310.4</v>
      </c>
      <c r="T19" t="n">
        <v>1295.7</v>
      </c>
      <c r="U19" t="n">
        <v>1341.1</v>
      </c>
      <c r="V19" t="n">
        <v>1329.1</v>
      </c>
      <c r="W19" t="n">
        <v>1122.7</v>
      </c>
      <c r="X19" t="n">
        <v>1102</v>
      </c>
      <c r="Y19" t="n">
        <v>1091.2</v>
      </c>
      <c r="Z19" t="n">
        <v>1241.3</v>
      </c>
      <c r="AA19" t="n">
        <v>1293.5</v>
      </c>
      <c r="AB19" t="n">
        <v>1419.6</v>
      </c>
      <c r="AC19" t="n">
        <v>1615.9</v>
      </c>
      <c r="AD19" t="n">
        <v>1730.1</v>
      </c>
      <c r="AE19" t="n">
        <v>1437.9</v>
      </c>
      <c r="AF19" t="n">
        <v>1820.7</v>
      </c>
    </row>
    <row r="20">
      <c r="A20" t="s">
        <v>34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4428.1</v>
      </c>
      <c r="H20" t="n">
        <v>5280.8</v>
      </c>
      <c r="I20" t="n">
        <v>6487.4</v>
      </c>
      <c r="J20" t="n">
        <v>6864.7</v>
      </c>
      <c r="K20" t="n">
        <v>6066.4</v>
      </c>
      <c r="L20" t="n">
        <v>5531.1</v>
      </c>
      <c r="M20" t="n">
        <v>6207.7</v>
      </c>
      <c r="N20" t="n">
        <v>6526.9</v>
      </c>
      <c r="O20" t="n">
        <v>5602.9</v>
      </c>
      <c r="P20" t="n">
        <v>6829.9</v>
      </c>
      <c r="Q20" t="n">
        <v>6893.7</v>
      </c>
      <c r="R20" t="n">
        <v>7316.7</v>
      </c>
      <c r="S20" t="n">
        <v>8665.6</v>
      </c>
      <c r="T20" t="n">
        <v>6117</v>
      </c>
      <c r="U20" t="n">
        <v>6816.4</v>
      </c>
      <c r="V20" t="n">
        <v>6763.3</v>
      </c>
      <c r="W20" t="n">
        <v>6461.2</v>
      </c>
      <c r="X20" t="n">
        <v>8021</v>
      </c>
      <c r="Y20" t="n">
        <v>5561</v>
      </c>
      <c r="Z20" t="n">
        <v>4049.8</v>
      </c>
      <c r="AA20" t="n">
        <v>5683.6</v>
      </c>
      <c r="AB20" t="n">
        <v>3095.3</v>
      </c>
      <c r="AC20" t="n">
        <v>3322.9</v>
      </c>
      <c r="AD20" t="n">
        <v>3142.3</v>
      </c>
      <c r="AE20" t="n">
        <v>3124.6</v>
      </c>
      <c r="AF20" t="n">
        <v>4083.5</v>
      </c>
    </row>
    <row r="21">
      <c r="A21" t="s">
        <v>34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5779.4</v>
      </c>
      <c r="H21" t="n">
        <v>6904.8</v>
      </c>
      <c r="I21" t="n">
        <v>8259.8</v>
      </c>
      <c r="J21" t="n">
        <v>8745</v>
      </c>
      <c r="K21" t="n">
        <v>7643.6</v>
      </c>
      <c r="L21" t="n">
        <v>7387.3</v>
      </c>
      <c r="M21" t="n">
        <v>8101.8</v>
      </c>
      <c r="N21" t="n">
        <v>8478</v>
      </c>
      <c r="O21" t="n">
        <v>7810.8</v>
      </c>
      <c r="P21" t="n">
        <v>8767.4</v>
      </c>
      <c r="Q21" t="n">
        <v>9360</v>
      </c>
      <c r="R21" t="n">
        <v>9656.7</v>
      </c>
      <c r="S21" t="n">
        <v>10782.7</v>
      </c>
      <c r="T21" t="n">
        <v>8110.7</v>
      </c>
      <c r="U21" t="n">
        <v>8995.9</v>
      </c>
      <c r="V21" t="n">
        <v>8905.2</v>
      </c>
      <c r="W21" t="n">
        <v>9262.1</v>
      </c>
      <c r="X21" t="n">
        <v>10014.4</v>
      </c>
      <c r="Y21" t="n">
        <v>7535.9</v>
      </c>
      <c r="Z21" t="n">
        <v>6502.6</v>
      </c>
      <c r="AA21" t="n">
        <v>8350.8</v>
      </c>
      <c r="AB21" t="n">
        <v>5940.7</v>
      </c>
      <c r="AC21" t="n">
        <v>6650.1</v>
      </c>
      <c r="AD21" t="n">
        <v>6642.2</v>
      </c>
      <c r="AE21" t="n">
        <v>6614.3</v>
      </c>
      <c r="AF21" t="n">
        <v>8113.2</v>
      </c>
    </row>
    <row r="22">
      <c r="A22" t="s">
        <v>34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1351.3</v>
      </c>
      <c r="H22" t="n">
        <v>1624</v>
      </c>
      <c r="I22" t="n">
        <v>1772.4</v>
      </c>
      <c r="J22" t="n">
        <v>1880.3</v>
      </c>
      <c r="K22" t="n">
        <v>1577.2</v>
      </c>
      <c r="L22" t="n">
        <v>1856.2</v>
      </c>
      <c r="M22" t="n">
        <v>1894.1</v>
      </c>
      <c r="N22" t="n">
        <v>1951.1</v>
      </c>
      <c r="O22" t="n">
        <v>2207.9</v>
      </c>
      <c r="P22" t="n">
        <v>1937.5</v>
      </c>
      <c r="Q22" t="n">
        <v>2466.3</v>
      </c>
      <c r="R22" t="n">
        <v>2340</v>
      </c>
      <c r="S22" t="n">
        <v>2117.1</v>
      </c>
      <c r="T22" t="n">
        <v>1993.7</v>
      </c>
      <c r="U22" t="n">
        <v>2179.5</v>
      </c>
      <c r="V22" t="n">
        <v>2141.9</v>
      </c>
      <c r="W22" t="n">
        <v>2800.9</v>
      </c>
      <c r="X22" t="n">
        <v>1993.4</v>
      </c>
      <c r="Y22" t="n">
        <v>1974.9</v>
      </c>
      <c r="Z22" t="n">
        <v>2452.8</v>
      </c>
      <c r="AA22" t="n">
        <v>2667.2</v>
      </c>
      <c r="AB22" t="n">
        <v>2845.4</v>
      </c>
      <c r="AC22" t="n">
        <v>3327.2</v>
      </c>
      <c r="AD22" t="n">
        <v>3499.9</v>
      </c>
      <c r="AE22" t="n">
        <v>3489.7</v>
      </c>
      <c r="AF22" t="n">
        <v>4029.7</v>
      </c>
    </row>
    <row r="23">
      <c r="A23" t="s">
        <v>34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3015.6</v>
      </c>
      <c r="H23" t="n">
        <v>3393.8</v>
      </c>
      <c r="I23" t="n">
        <v>4529.1</v>
      </c>
      <c r="J23" t="n">
        <v>3375.9</v>
      </c>
      <c r="K23" t="n">
        <v>4098.5</v>
      </c>
      <c r="L23" t="n">
        <v>4841.6</v>
      </c>
      <c r="M23" t="n">
        <v>4605.8</v>
      </c>
      <c r="N23" t="n">
        <v>5252.4</v>
      </c>
      <c r="O23" t="n">
        <v>4277.7</v>
      </c>
      <c r="P23" t="n">
        <v>4953.7</v>
      </c>
      <c r="Q23" t="n">
        <v>5584.9</v>
      </c>
      <c r="R23" t="n">
        <v>6024.7</v>
      </c>
      <c r="S23" t="n">
        <v>5363.8</v>
      </c>
      <c r="T23" t="n">
        <v>4001.4</v>
      </c>
      <c r="U23" t="n">
        <v>5249.8</v>
      </c>
      <c r="V23" t="n">
        <v>5005.2</v>
      </c>
      <c r="W23" t="n">
        <v>3478.2</v>
      </c>
      <c r="X23" t="n">
        <v>3164</v>
      </c>
      <c r="Y23" t="n">
        <v>3179.8</v>
      </c>
      <c r="Z23" t="n">
        <v>3181.7</v>
      </c>
      <c r="AA23" t="n">
        <v>3495.6</v>
      </c>
      <c r="AB23" t="n">
        <v>4830.4</v>
      </c>
      <c r="AC23" t="n">
        <v>3728.4</v>
      </c>
      <c r="AD23" t="n">
        <v>3905.8</v>
      </c>
      <c r="AE23" t="n">
        <v>3576.1</v>
      </c>
      <c r="AF23" t="n">
        <v>4463.3</v>
      </c>
    </row>
    <row r="24">
      <c r="A24" t="s">
        <v>34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5929.3</v>
      </c>
      <c r="H24" t="n">
        <v>7352</v>
      </c>
      <c r="I24" t="n">
        <v>6077</v>
      </c>
      <c r="J24" t="n">
        <v>6956.4</v>
      </c>
      <c r="K24" t="n">
        <v>8196.6</v>
      </c>
      <c r="L24" t="n">
        <v>7884.3</v>
      </c>
      <c r="M24" t="n">
        <v>8630</v>
      </c>
      <c r="N24" t="n">
        <v>7726.6</v>
      </c>
      <c r="O24" t="n">
        <v>8841</v>
      </c>
      <c r="P24" t="n">
        <v>9084</v>
      </c>
      <c r="Q24" t="n">
        <v>9721.5</v>
      </c>
      <c r="R24" t="n">
        <v>10451.5</v>
      </c>
      <c r="S24" t="n">
        <v>8727.8</v>
      </c>
      <c r="T24" t="n">
        <v>8284</v>
      </c>
      <c r="U24" t="n">
        <v>8929.7</v>
      </c>
      <c r="V24" t="n">
        <v>8960.3</v>
      </c>
      <c r="W24" t="n">
        <v>7349.1</v>
      </c>
      <c r="X24" t="n">
        <v>7497.2</v>
      </c>
      <c r="Y24" t="n">
        <v>6885.6</v>
      </c>
      <c r="Z24" t="n">
        <v>7744</v>
      </c>
      <c r="AA24" t="n">
        <v>8602.4</v>
      </c>
      <c r="AB24" t="n">
        <v>8991</v>
      </c>
      <c r="AC24" t="n">
        <v>10187.8</v>
      </c>
      <c r="AD24" t="n">
        <v>8992.5</v>
      </c>
      <c r="AE24" t="n">
        <v>8151.9</v>
      </c>
      <c r="AF24" t="n">
        <v>7726.7</v>
      </c>
    </row>
    <row r="25">
      <c r="A25" t="s">
        <v>34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34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34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34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1688.2</v>
      </c>
      <c r="H28" t="n">
        <v>2498.4</v>
      </c>
      <c r="I28" t="n">
        <v>2639</v>
      </c>
      <c r="J28" t="n">
        <v>3040.2</v>
      </c>
      <c r="K28" t="n">
        <v>2745.2</v>
      </c>
      <c r="L28" t="n">
        <v>2851.5</v>
      </c>
      <c r="M28" t="n">
        <v>3462.7</v>
      </c>
      <c r="N28" t="n">
        <v>2704.7</v>
      </c>
      <c r="O28" t="n">
        <v>3128.5</v>
      </c>
      <c r="P28" t="n">
        <v>3653.8</v>
      </c>
      <c r="Q28" t="n">
        <v>3714.1</v>
      </c>
      <c r="R28" t="n">
        <v>4252.7</v>
      </c>
      <c r="S28" t="n">
        <v>3278.9</v>
      </c>
      <c r="T28" t="n">
        <v>3936</v>
      </c>
      <c r="U28" t="n">
        <v>3638.5</v>
      </c>
      <c r="V28" t="n">
        <v>3478.7</v>
      </c>
      <c r="W28" t="n">
        <v>2744.4</v>
      </c>
      <c r="X28" t="n">
        <v>2744</v>
      </c>
      <c r="Y28" t="n">
        <v>3302.2</v>
      </c>
      <c r="Z28" t="n">
        <v>2410.6</v>
      </c>
      <c r="AA28" t="n">
        <v>2086.6</v>
      </c>
      <c r="AB28" t="n">
        <v>2495.1</v>
      </c>
      <c r="AC28" t="n">
        <v>2585.5</v>
      </c>
      <c r="AD28" t="n">
        <v>3285.7</v>
      </c>
      <c r="AE28" t="n">
        <v>2940.6</v>
      </c>
      <c r="AF28" t="n">
        <v>3160.9</v>
      </c>
    </row>
    <row r="29">
      <c r="A29" t="s">
        <v>34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34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34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34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34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34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2670.2</v>
      </c>
      <c r="H34" t="n">
        <v>1624.7</v>
      </c>
      <c r="I34" t="n">
        <v>2378.6</v>
      </c>
      <c r="J34" t="n">
        <v>2446.6</v>
      </c>
      <c r="K34" t="n">
        <v>3129.5</v>
      </c>
      <c r="L34" t="n">
        <v>3100.2</v>
      </c>
      <c r="M34" t="n">
        <v>3037.5</v>
      </c>
      <c r="N34" t="n">
        <v>2946.2</v>
      </c>
      <c r="O34" t="n">
        <v>3164.3</v>
      </c>
      <c r="P34" t="n">
        <v>3402.4</v>
      </c>
      <c r="Q34" t="n">
        <v>3400.1</v>
      </c>
      <c r="R34" t="n">
        <v>4035.1</v>
      </c>
      <c r="S34" t="n">
        <v>3651.8</v>
      </c>
      <c r="T34" t="n">
        <v>3153.3</v>
      </c>
      <c r="U34" t="n">
        <v>3181.3</v>
      </c>
      <c r="V34" t="n">
        <v>3215.5</v>
      </c>
      <c r="W34" t="n">
        <v>2661.7</v>
      </c>
      <c r="X34" t="n">
        <v>2644</v>
      </c>
      <c r="Y34" t="n">
        <v>2519.2</v>
      </c>
      <c r="Z34" t="n">
        <v>2137.6</v>
      </c>
      <c r="AA34" t="n">
        <v>2384.6</v>
      </c>
      <c r="AB34" t="n">
        <v>2164.4</v>
      </c>
      <c r="AC34" t="n">
        <v>2377.1</v>
      </c>
      <c r="AD34" t="n">
        <v>2653.1</v>
      </c>
      <c r="AE34" t="n">
        <v>2432.6</v>
      </c>
      <c r="AF34" t="n">
        <v>2771.5</v>
      </c>
    </row>
    <row r="35">
      <c r="A35" t="s">
        <v>34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426.2</v>
      </c>
      <c r="H35" t="n">
        <v>504.9</v>
      </c>
      <c r="I35" t="n">
        <v>490.7</v>
      </c>
      <c r="J35" t="n">
        <v>520.2</v>
      </c>
      <c r="K35" t="n">
        <v>531.9</v>
      </c>
      <c r="L35" t="n">
        <v>536.5</v>
      </c>
      <c r="M35" t="n">
        <v>601</v>
      </c>
      <c r="N35" t="n">
        <v>740.3</v>
      </c>
      <c r="O35" t="n">
        <v>702.2</v>
      </c>
      <c r="P35" t="n">
        <v>759.3</v>
      </c>
      <c r="Q35" t="n">
        <v>676.1</v>
      </c>
      <c r="R35" t="n">
        <v>846.8</v>
      </c>
      <c r="S35" t="n">
        <v>739</v>
      </c>
      <c r="T35" t="n">
        <v>688.2</v>
      </c>
      <c r="U35" t="n">
        <v>735.2</v>
      </c>
      <c r="V35" t="n">
        <v>651.3</v>
      </c>
      <c r="W35" t="n">
        <v>694.6</v>
      </c>
      <c r="X35" t="n">
        <v>675.2</v>
      </c>
      <c r="Y35" t="n">
        <v>651.4</v>
      </c>
      <c r="Z35" t="n">
        <v>637.5</v>
      </c>
      <c r="AA35" t="n">
        <v>603</v>
      </c>
      <c r="AB35" t="n">
        <v>789.1</v>
      </c>
      <c r="AC35" t="n">
        <v>873</v>
      </c>
      <c r="AD35" t="n">
        <v>889.9</v>
      </c>
      <c r="AE35" t="n">
        <v>945.6</v>
      </c>
      <c r="AF35" t="n">
        <v>1166.3</v>
      </c>
    </row>
    <row r="36">
      <c r="A36" t="s">
        <v>34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171.7</v>
      </c>
      <c r="H36" t="n">
        <v>206.5</v>
      </c>
      <c r="I36" t="n">
        <v>206.7</v>
      </c>
      <c r="J36" t="n">
        <v>203.9</v>
      </c>
      <c r="K36" t="n">
        <v>221.7</v>
      </c>
      <c r="L36" t="n">
        <v>187.9</v>
      </c>
      <c r="M36" t="n">
        <v>276</v>
      </c>
      <c r="N36" t="n">
        <v>246.7</v>
      </c>
      <c r="O36" t="n">
        <v>282.4</v>
      </c>
      <c r="P36" t="n">
        <v>278.6</v>
      </c>
      <c r="Q36" t="n">
        <v>300.6</v>
      </c>
      <c r="R36" t="n">
        <v>346.4</v>
      </c>
      <c r="S36" t="n">
        <v>303.1</v>
      </c>
      <c r="T36" t="n">
        <v>281.1</v>
      </c>
      <c r="U36" t="n">
        <v>325.8</v>
      </c>
      <c r="V36" t="n">
        <v>259.7</v>
      </c>
      <c r="W36" t="n">
        <v>213.6</v>
      </c>
      <c r="X36" t="n">
        <v>233.5</v>
      </c>
      <c r="Y36" t="n">
        <v>188.6</v>
      </c>
      <c r="Z36" t="n">
        <v>182.2</v>
      </c>
      <c r="AA36" t="n">
        <v>185.8</v>
      </c>
      <c r="AB36" t="n">
        <v>236.9</v>
      </c>
      <c r="AC36" t="n">
        <v>261.5</v>
      </c>
      <c r="AD36" t="n">
        <v>240</v>
      </c>
      <c r="AE36" t="n">
        <v>185.1</v>
      </c>
      <c r="AF36" t="n">
        <v>279.5</v>
      </c>
    </row>
    <row r="37">
      <c r="A37" t="s">
        <v>34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21.5</v>
      </c>
      <c r="H37" t="n">
        <v>43.8</v>
      </c>
      <c r="I37" t="n">
        <v>33.7</v>
      </c>
      <c r="J37" t="n">
        <v>36.8</v>
      </c>
      <c r="K37" t="n">
        <v>31.9</v>
      </c>
      <c r="L37" t="n">
        <v>37</v>
      </c>
      <c r="M37" t="n">
        <v>55.7</v>
      </c>
      <c r="N37" t="n">
        <v>28.7</v>
      </c>
      <c r="O37" t="n">
        <v>63.4</v>
      </c>
      <c r="P37" t="n">
        <v>51.3</v>
      </c>
      <c r="Q37" t="n">
        <v>46.1</v>
      </c>
      <c r="R37" t="n">
        <v>68.4</v>
      </c>
      <c r="S37" t="n">
        <v>61.2</v>
      </c>
      <c r="T37" t="n">
        <v>37.4</v>
      </c>
      <c r="U37" t="n">
        <v>44.8</v>
      </c>
      <c r="V37" t="n">
        <v>41.5</v>
      </c>
      <c r="W37" t="n">
        <v>61.2</v>
      </c>
      <c r="X37" t="n">
        <v>70</v>
      </c>
      <c r="Y37" t="n">
        <v>101.1</v>
      </c>
      <c r="Z37" t="n">
        <v>135.5</v>
      </c>
      <c r="AA37" t="n">
        <v>78.3</v>
      </c>
      <c r="AB37" t="n">
        <v>104.3</v>
      </c>
      <c r="AC37" t="n">
        <v>102.2</v>
      </c>
      <c r="AD37" t="n">
        <v>131.8</v>
      </c>
      <c r="AE37" t="n">
        <v>148.2</v>
      </c>
      <c r="AF37" t="n">
        <v>148.1</v>
      </c>
    </row>
    <row r="38">
      <c r="A38" t="s">
        <v>34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233</v>
      </c>
      <c r="H38" t="n">
        <v>254.6</v>
      </c>
      <c r="I38" t="n">
        <v>250.3</v>
      </c>
      <c r="J38" t="n">
        <v>279.5</v>
      </c>
      <c r="K38" t="n">
        <v>278.3</v>
      </c>
      <c r="L38" t="n">
        <v>311.6</v>
      </c>
      <c r="M38" t="n">
        <v>269.3</v>
      </c>
      <c r="N38" t="n">
        <v>464.9</v>
      </c>
      <c r="O38" t="n">
        <v>356.4</v>
      </c>
      <c r="P38" t="n">
        <v>429.4</v>
      </c>
      <c r="Q38" t="n">
        <v>329.4</v>
      </c>
      <c r="R38" t="n">
        <v>432</v>
      </c>
      <c r="S38" t="n">
        <v>374.7</v>
      </c>
      <c r="T38" t="n">
        <v>369.7</v>
      </c>
      <c r="U38" t="n">
        <v>364.6</v>
      </c>
      <c r="V38" t="n">
        <v>350.1</v>
      </c>
      <c r="W38" t="n">
        <v>419.8</v>
      </c>
      <c r="X38" t="n">
        <v>371.7</v>
      </c>
      <c r="Y38" t="n">
        <v>361.7</v>
      </c>
      <c r="Z38" t="n">
        <v>319.8</v>
      </c>
      <c r="AA38" t="n">
        <v>338.9</v>
      </c>
      <c r="AB38" t="n">
        <v>447.9</v>
      </c>
      <c r="AC38" t="n">
        <v>509.3</v>
      </c>
      <c r="AD38" t="n">
        <v>518.1</v>
      </c>
      <c r="AE38" t="n">
        <v>612.3</v>
      </c>
      <c r="AF38" t="n">
        <v>738.7</v>
      </c>
    </row>
    <row r="39">
      <c r="A39" t="s">
        <v>34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234.3</v>
      </c>
      <c r="H39" t="n">
        <v>221.9</v>
      </c>
      <c r="I39" t="n">
        <v>222</v>
      </c>
      <c r="J39" t="n">
        <v>218</v>
      </c>
      <c r="K39" t="n">
        <v>250.2</v>
      </c>
      <c r="L39" t="n">
        <v>262.9</v>
      </c>
      <c r="M39" t="n">
        <v>264.3</v>
      </c>
      <c r="N39" t="n">
        <v>233</v>
      </c>
      <c r="O39" t="n">
        <v>316.1</v>
      </c>
      <c r="P39" t="n">
        <v>323.3</v>
      </c>
      <c r="Q39" t="n">
        <v>323.4</v>
      </c>
      <c r="R39" t="n">
        <v>277.3</v>
      </c>
      <c r="S39" t="n">
        <v>347.1</v>
      </c>
      <c r="T39" t="n">
        <v>270.1</v>
      </c>
      <c r="U39" t="n">
        <v>320.5</v>
      </c>
      <c r="V39" t="n">
        <v>273.4</v>
      </c>
      <c r="W39" t="n">
        <v>261.8</v>
      </c>
      <c r="X39" t="n">
        <v>279.4</v>
      </c>
      <c r="Y39" t="n">
        <v>281.2</v>
      </c>
      <c r="Z39" t="n">
        <v>315.7</v>
      </c>
      <c r="AA39" t="n">
        <v>283.7</v>
      </c>
      <c r="AB39" t="n">
        <v>282.8</v>
      </c>
      <c r="AC39" t="n">
        <v>327.7</v>
      </c>
      <c r="AD39" t="n">
        <v>409.2</v>
      </c>
      <c r="AE39" t="n">
        <v>389.5</v>
      </c>
      <c r="AF39" t="n">
        <v>476.7</v>
      </c>
    </row>
    <row r="40">
      <c r="A40" t="s">
        <v>34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660</v>
      </c>
      <c r="H40" t="n">
        <v>689.3</v>
      </c>
      <c r="I40" t="n">
        <v>762.5</v>
      </c>
      <c r="J40" t="n">
        <v>838.5</v>
      </c>
      <c r="K40" t="n">
        <v>749.2</v>
      </c>
      <c r="L40" t="n">
        <v>838.6</v>
      </c>
      <c r="M40" t="n">
        <v>1103.2</v>
      </c>
      <c r="N40" t="n">
        <v>899.2</v>
      </c>
      <c r="O40" t="n">
        <v>744.5</v>
      </c>
      <c r="P40" t="n">
        <v>1301.9</v>
      </c>
      <c r="Q40" t="n">
        <v>996.3</v>
      </c>
      <c r="R40" t="n">
        <v>1086.1</v>
      </c>
      <c r="S40" t="n">
        <v>1156</v>
      </c>
      <c r="T40" t="n">
        <v>614.1</v>
      </c>
      <c r="U40" t="n">
        <v>1189.6</v>
      </c>
      <c r="V40" t="n">
        <v>962.3</v>
      </c>
      <c r="W40" t="n">
        <v>1237.4</v>
      </c>
      <c r="X40" t="n">
        <v>652</v>
      </c>
      <c r="Y40" t="n">
        <v>963.4</v>
      </c>
      <c r="Z40" t="n">
        <v>640.7</v>
      </c>
      <c r="AA40" t="n">
        <v>1183.1</v>
      </c>
      <c r="AB40" t="n">
        <v>835.8</v>
      </c>
      <c r="AC40" t="n">
        <v>1348.4</v>
      </c>
      <c r="AD40" t="n">
        <v>870</v>
      </c>
      <c r="AE40" t="n">
        <v>744.5</v>
      </c>
      <c r="AF40" t="n">
        <v>1047.8</v>
      </c>
    </row>
    <row r="41">
      <c r="A41" t="s">
        <v>34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34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1046.1</v>
      </c>
      <c r="H42" t="n">
        <v>1126.2</v>
      </c>
      <c r="I42" t="n">
        <v>1151.1</v>
      </c>
      <c r="J42" t="n">
        <v>1273.1</v>
      </c>
      <c r="K42" t="n">
        <v>1477.4</v>
      </c>
      <c r="L42" t="n">
        <v>1549.1</v>
      </c>
      <c r="M42" t="n">
        <v>1439.4</v>
      </c>
      <c r="N42" t="n">
        <v>1487.5</v>
      </c>
      <c r="O42" t="n">
        <v>1573.8</v>
      </c>
      <c r="P42" t="n">
        <v>1648.6</v>
      </c>
      <c r="Q42" t="n">
        <v>1789.3</v>
      </c>
      <c r="R42" t="n">
        <v>1817</v>
      </c>
      <c r="S42" t="n">
        <v>2066.1</v>
      </c>
      <c r="T42" t="n">
        <v>1378.6</v>
      </c>
      <c r="U42" t="n">
        <v>1649</v>
      </c>
      <c r="V42" t="n">
        <v>1494.9</v>
      </c>
      <c r="W42" t="n">
        <v>1512</v>
      </c>
      <c r="X42" t="n">
        <v>1973.8</v>
      </c>
      <c r="Y42" t="n">
        <v>1923</v>
      </c>
      <c r="Z42" t="n">
        <v>1472.8</v>
      </c>
      <c r="AA42" t="n">
        <v>1123.2</v>
      </c>
      <c r="AB42" t="n">
        <v>1337.6</v>
      </c>
      <c r="AC42" t="n">
        <v>1285.4</v>
      </c>
      <c r="AD42" t="n">
        <v>1322.3</v>
      </c>
      <c r="AE42" t="n">
        <v>1404.2</v>
      </c>
      <c r="AF42" t="n">
        <v>1578.4</v>
      </c>
    </row>
    <row r="43">
      <c r="A43" t="s">
        <v>34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2118</v>
      </c>
      <c r="H43" t="n">
        <v>2262.7</v>
      </c>
      <c r="I43" t="n">
        <v>2267.9</v>
      </c>
      <c r="J43" t="n">
        <v>2574.4</v>
      </c>
      <c r="K43" t="n">
        <v>2614.1</v>
      </c>
      <c r="L43" t="n">
        <v>3123.5</v>
      </c>
      <c r="M43" t="n">
        <v>2992</v>
      </c>
      <c r="N43" t="n">
        <v>2944.6</v>
      </c>
      <c r="O43" t="n">
        <v>3319.1</v>
      </c>
      <c r="P43" t="n">
        <v>3117.4</v>
      </c>
      <c r="Q43" t="n">
        <v>3302.8</v>
      </c>
      <c r="R43" t="n">
        <v>3715.6</v>
      </c>
      <c r="S43" t="n">
        <v>3689</v>
      </c>
      <c r="T43" t="n">
        <v>3088.9</v>
      </c>
      <c r="U43" t="n">
        <v>3317.2</v>
      </c>
      <c r="V43" t="n">
        <v>3155.2</v>
      </c>
      <c r="W43" t="n">
        <v>3301.4</v>
      </c>
      <c r="X43" t="n">
        <v>3174.6</v>
      </c>
      <c r="Y43" t="n">
        <v>3288.3</v>
      </c>
      <c r="Z43" t="n">
        <v>3087.7</v>
      </c>
      <c r="AA43" t="n">
        <v>2543.9</v>
      </c>
      <c r="AB43" t="n">
        <v>2426.9</v>
      </c>
      <c r="AC43" t="n">
        <v>2701.1</v>
      </c>
      <c r="AD43" t="n">
        <v>2660</v>
      </c>
      <c r="AE43" t="n">
        <v>3057.4</v>
      </c>
      <c r="AF43" t="n">
        <v>3154.2</v>
      </c>
    </row>
    <row r="44">
      <c r="A44" t="s">
        <v>34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47254.6</v>
      </c>
      <c r="H44" t="n">
        <v>51218.7</v>
      </c>
      <c r="I44" t="n">
        <v>56418.2</v>
      </c>
      <c r="J44" t="n">
        <v>59966.6</v>
      </c>
      <c r="K44" t="n">
        <v>63962.1</v>
      </c>
      <c r="L44" t="n">
        <v>65239.2</v>
      </c>
      <c r="M44" t="n">
        <v>68853.2</v>
      </c>
      <c r="N44" t="n">
        <v>66931.5</v>
      </c>
      <c r="O44" t="n">
        <v>68810.1</v>
      </c>
      <c r="P44" t="n">
        <v>72224.9</v>
      </c>
      <c r="Q44" t="n">
        <v>77582.4</v>
      </c>
      <c r="R44" t="n">
        <v>81973.7</v>
      </c>
      <c r="S44" t="n">
        <v>78018.1</v>
      </c>
      <c r="T44" t="n">
        <v>66022.1</v>
      </c>
      <c r="U44" t="n">
        <v>73715.9</v>
      </c>
      <c r="V44" t="n">
        <v>72121.9</v>
      </c>
      <c r="W44" t="n">
        <v>67211.6</v>
      </c>
      <c r="X44" t="n">
        <v>66686.6</v>
      </c>
      <c r="Y44" t="n">
        <v>66398</v>
      </c>
      <c r="Z44" t="n">
        <v>66590.8</v>
      </c>
      <c r="AA44" t="n">
        <v>72201.1</v>
      </c>
      <c r="AB44" t="n">
        <v>73864.3</v>
      </c>
      <c r="AC44" t="n">
        <v>81066.6</v>
      </c>
      <c r="AD44" t="n">
        <v>78088.7</v>
      </c>
      <c r="AE44" t="n">
        <v>71543.2</v>
      </c>
      <c r="AF44" t="n">
        <v>82772.7</v>
      </c>
    </row>
    <row r="45">
      <c r="A45" t="s">
        <v>34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44329.2</v>
      </c>
      <c r="H45" t="n">
        <v>47998.9</v>
      </c>
      <c r="I45" t="n">
        <v>52846.7</v>
      </c>
      <c r="J45" t="n">
        <v>56236.1</v>
      </c>
      <c r="K45" t="n">
        <v>59717.7</v>
      </c>
      <c r="L45" t="n">
        <v>61324.6</v>
      </c>
      <c r="M45" t="n">
        <v>64941.7</v>
      </c>
      <c r="N45" t="n">
        <v>63007.7</v>
      </c>
      <c r="O45" t="n">
        <v>64309.3</v>
      </c>
      <c r="P45" t="n">
        <v>67670.6</v>
      </c>
      <c r="Q45" t="n">
        <v>72631.3</v>
      </c>
      <c r="R45" t="n">
        <v>77115.2</v>
      </c>
      <c r="S45" t="n">
        <v>73607.7</v>
      </c>
      <c r="T45" t="n">
        <v>62178.3</v>
      </c>
      <c r="U45" t="n">
        <v>69046.2</v>
      </c>
      <c r="V45" t="n">
        <v>67622.9</v>
      </c>
      <c r="W45" t="n">
        <v>62863.3</v>
      </c>
      <c r="X45" t="n">
        <v>62561.8</v>
      </c>
      <c r="Y45" t="n">
        <v>61804.3</v>
      </c>
      <c r="Z45" t="n">
        <v>62079.2</v>
      </c>
      <c r="AA45" t="n">
        <v>67378.1</v>
      </c>
      <c r="AB45" t="n">
        <v>68479.2</v>
      </c>
      <c r="AC45" t="n">
        <v>74959.7</v>
      </c>
      <c r="AD45" t="n">
        <v>71954.2</v>
      </c>
      <c r="AE45" t="n">
        <v>66047.6</v>
      </c>
      <c r="AF45" t="n">
        <v>75996.9</v>
      </c>
    </row>
    <row r="46">
      <c r="A46" t="s">
        <v>34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1071.9</v>
      </c>
      <c r="H46" t="n">
        <v>1136.5</v>
      </c>
      <c r="I46" t="n">
        <v>1116.8</v>
      </c>
      <c r="J46" t="n">
        <v>1301.3</v>
      </c>
      <c r="K46" t="n">
        <v>1136.7</v>
      </c>
      <c r="L46" t="n">
        <v>1574.4</v>
      </c>
      <c r="M46" t="n">
        <v>1552.6</v>
      </c>
      <c r="N46" t="n">
        <v>1457.1</v>
      </c>
      <c r="O46" t="n">
        <v>1745.3</v>
      </c>
      <c r="P46" t="n">
        <v>1468.8</v>
      </c>
      <c r="Q46" t="n">
        <v>1513.5</v>
      </c>
      <c r="R46" t="n">
        <v>1898.6</v>
      </c>
      <c r="S46" t="n">
        <v>1622.9</v>
      </c>
      <c r="T46" t="n">
        <v>1710.3</v>
      </c>
      <c r="U46" t="n">
        <v>1668.2</v>
      </c>
      <c r="V46" t="n">
        <v>1660.3</v>
      </c>
      <c r="W46" t="n">
        <v>1789.4</v>
      </c>
      <c r="X46" t="n">
        <v>1200.8</v>
      </c>
      <c r="Y46" t="n">
        <v>1365.3</v>
      </c>
      <c r="Z46" t="n">
        <v>1614.9</v>
      </c>
      <c r="AA46" t="n">
        <v>1420.7</v>
      </c>
      <c r="AB46" t="n">
        <v>1089.3</v>
      </c>
      <c r="AC46" t="n">
        <v>1415.7</v>
      </c>
      <c r="AD46" t="n">
        <v>1337.7</v>
      </c>
      <c r="AE46" t="n">
        <v>1653.2</v>
      </c>
      <c r="AF46" t="n">
        <v>1575.8</v>
      </c>
    </row>
    <row r="47">
      <c r="A47" t="s">
        <v>34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3517.3</v>
      </c>
      <c r="H47" t="n">
        <v>3738.9</v>
      </c>
      <c r="I47" t="n">
        <v>3590.2</v>
      </c>
      <c r="J47" t="n">
        <v>4157.3</v>
      </c>
      <c r="K47" t="n">
        <v>4773.1</v>
      </c>
      <c r="L47" t="n">
        <v>5196.7</v>
      </c>
      <c r="M47" t="n">
        <v>5425.2</v>
      </c>
      <c r="N47" t="n">
        <v>5621.5</v>
      </c>
      <c r="O47" t="n">
        <v>5523</v>
      </c>
      <c r="P47" t="n">
        <v>4349.2</v>
      </c>
      <c r="Q47" t="n">
        <v>4408.5</v>
      </c>
      <c r="R47" t="n">
        <v>4485.5</v>
      </c>
      <c r="S47" t="n">
        <v>5084.1</v>
      </c>
      <c r="T47" t="n">
        <v>7900.8</v>
      </c>
      <c r="U47" t="n">
        <v>5659.4</v>
      </c>
      <c r="V47" t="n">
        <v>6299.5</v>
      </c>
      <c r="W47" t="n">
        <v>4064.4</v>
      </c>
      <c r="X47" t="n">
        <v>2987.6</v>
      </c>
      <c r="Y47" t="n">
        <v>3363.3</v>
      </c>
      <c r="Z47" t="n">
        <v>3784</v>
      </c>
      <c r="AA47" t="n">
        <v>5142.4</v>
      </c>
      <c r="AB47" t="n">
        <v>5132.1</v>
      </c>
      <c r="AC47" t="n">
        <v>4623.3</v>
      </c>
      <c r="AD47" t="n">
        <v>5549</v>
      </c>
      <c r="AE47" t="n">
        <v>5573.7</v>
      </c>
      <c r="AF47" t="n">
        <v>6512.3</v>
      </c>
    </row>
    <row r="48">
      <c r="A48" t="s">
        <v>34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5376.6</v>
      </c>
      <c r="H48" t="n">
        <v>5698.1</v>
      </c>
      <c r="I48" t="n">
        <v>5878.5</v>
      </c>
      <c r="J48" t="n">
        <v>6491.3</v>
      </c>
      <c r="K48" t="n">
        <v>7372.3</v>
      </c>
      <c r="L48" t="n">
        <v>8235.3</v>
      </c>
      <c r="M48" t="n">
        <v>8247.1</v>
      </c>
      <c r="N48" t="n">
        <v>8508.7</v>
      </c>
      <c r="O48" t="n">
        <v>8333.2</v>
      </c>
      <c r="P48" t="n">
        <v>7462.7</v>
      </c>
      <c r="Q48" t="n">
        <v>8171.2</v>
      </c>
      <c r="R48" t="n">
        <v>7943.9</v>
      </c>
      <c r="S48" t="n">
        <v>8046.8</v>
      </c>
      <c r="T48" t="n">
        <v>11109.8</v>
      </c>
      <c r="U48" t="n">
        <v>9104.5</v>
      </c>
      <c r="V48" t="n">
        <v>9522.8</v>
      </c>
      <c r="W48" t="n">
        <v>6723.1</v>
      </c>
      <c r="X48" t="n">
        <v>5836</v>
      </c>
      <c r="Y48" t="n">
        <v>6391.3</v>
      </c>
      <c r="Z48" t="n">
        <v>6948.3</v>
      </c>
      <c r="AA48" t="n">
        <v>8395.4</v>
      </c>
      <c r="AB48" t="n">
        <v>9152.8</v>
      </c>
      <c r="AC48" t="n">
        <v>9120.7</v>
      </c>
      <c r="AD48" t="n">
        <v>10961.7</v>
      </c>
      <c r="AE48" t="n">
        <v>11196.1</v>
      </c>
      <c r="AF48" t="n">
        <v>13038.1</v>
      </c>
    </row>
    <row r="49">
      <c r="A49" t="s">
        <v>34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220.8</v>
      </c>
      <c r="H49" t="n">
        <v>241.3</v>
      </c>
      <c r="I49" t="n">
        <v>254.3</v>
      </c>
      <c r="J49" t="n">
        <v>239</v>
      </c>
      <c r="K49" t="n">
        <v>342</v>
      </c>
      <c r="L49" t="n">
        <v>447.4</v>
      </c>
      <c r="M49" t="n">
        <v>452</v>
      </c>
      <c r="N49" t="n">
        <v>429.5</v>
      </c>
      <c r="O49" t="n">
        <v>446.2</v>
      </c>
      <c r="P49" t="n">
        <v>432.8</v>
      </c>
      <c r="Q49" t="n">
        <v>595.3</v>
      </c>
      <c r="R49" t="n">
        <v>446.7</v>
      </c>
      <c r="S49" t="n">
        <v>411.2</v>
      </c>
      <c r="T49" t="n">
        <v>399.5</v>
      </c>
      <c r="U49" t="n">
        <v>372.1</v>
      </c>
      <c r="V49" t="n">
        <v>456.5</v>
      </c>
      <c r="W49" t="n">
        <v>420.7</v>
      </c>
      <c r="X49" t="n">
        <v>265.9</v>
      </c>
      <c r="Y49" t="n">
        <v>339.3</v>
      </c>
      <c r="Z49" t="n">
        <v>247.9</v>
      </c>
      <c r="AA49" t="n">
        <v>314.8</v>
      </c>
      <c r="AB49" t="n">
        <v>202.3</v>
      </c>
      <c r="AC49" t="n">
        <v>256.6</v>
      </c>
      <c r="AD49" t="n">
        <v>306.2</v>
      </c>
      <c r="AE49" t="n">
        <v>330.2</v>
      </c>
      <c r="AF49" t="n">
        <v>789.7</v>
      </c>
    </row>
    <row r="50">
      <c r="A50" t="s">
        <v>34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1638.5</v>
      </c>
      <c r="H50" t="n">
        <v>1717.9</v>
      </c>
      <c r="I50" t="n">
        <v>2034.1</v>
      </c>
      <c r="J50" t="n">
        <v>2095.1</v>
      </c>
      <c r="K50" t="n">
        <v>2257.2</v>
      </c>
      <c r="L50" t="n">
        <v>2591.3</v>
      </c>
      <c r="M50" t="n">
        <v>2369.8</v>
      </c>
      <c r="N50" t="n">
        <v>2457.7</v>
      </c>
      <c r="O50" t="n">
        <v>2363.9</v>
      </c>
      <c r="P50" t="n">
        <v>2680.7</v>
      </c>
      <c r="Q50" t="n">
        <v>3167.4</v>
      </c>
      <c r="R50" t="n">
        <v>3011.7</v>
      </c>
      <c r="S50" t="n">
        <v>2551.4</v>
      </c>
      <c r="T50" t="n">
        <v>2809.4</v>
      </c>
      <c r="U50" t="n">
        <v>3073</v>
      </c>
      <c r="V50" t="n">
        <v>2766.8</v>
      </c>
      <c r="W50" t="n">
        <v>2238.1</v>
      </c>
      <c r="X50" t="n">
        <v>2582.6</v>
      </c>
      <c r="Y50" t="n">
        <v>2688.7</v>
      </c>
      <c r="Z50" t="n">
        <v>2916.3</v>
      </c>
      <c r="AA50" t="n">
        <v>2938.2</v>
      </c>
      <c r="AB50" t="n">
        <v>3818.5</v>
      </c>
      <c r="AC50" t="n">
        <v>4240.9</v>
      </c>
      <c r="AD50" t="n">
        <v>5106.5</v>
      </c>
      <c r="AE50" t="n">
        <v>5292.3</v>
      </c>
      <c r="AF50" t="n">
        <v>5736</v>
      </c>
    </row>
    <row r="51">
      <c r="A51" t="s">
        <v>34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1508.7</v>
      </c>
      <c r="H51" t="n">
        <v>1579.1</v>
      </c>
      <c r="I51" t="n">
        <v>1869.3</v>
      </c>
      <c r="J51" t="n">
        <v>1916.7</v>
      </c>
      <c r="K51" t="n">
        <v>2073.2</v>
      </c>
      <c r="L51" t="n">
        <v>2400.9</v>
      </c>
      <c r="M51" t="n">
        <v>2192.1</v>
      </c>
      <c r="N51" t="n">
        <v>2263.3</v>
      </c>
      <c r="O51" t="n">
        <v>2147.2</v>
      </c>
      <c r="P51" t="n">
        <v>2452.8</v>
      </c>
      <c r="Q51" t="n">
        <v>2950.4</v>
      </c>
      <c r="R51" t="n">
        <v>2761.1</v>
      </c>
      <c r="S51" t="n">
        <v>2350.1</v>
      </c>
      <c r="T51" t="n">
        <v>2646.2</v>
      </c>
      <c r="U51" t="n">
        <v>2869.3</v>
      </c>
      <c r="V51" t="n">
        <v>2555.6</v>
      </c>
      <c r="W51" t="n">
        <v>2032.4</v>
      </c>
      <c r="X51" t="n">
        <v>2402.8</v>
      </c>
      <c r="Y51" t="n">
        <v>2544.7</v>
      </c>
      <c r="Z51" t="n">
        <v>2791</v>
      </c>
      <c r="AA51" t="n">
        <v>2766.4</v>
      </c>
      <c r="AB51" t="n">
        <v>3685.8</v>
      </c>
      <c r="AC51" t="n">
        <v>4070.8</v>
      </c>
      <c r="AD51" t="n">
        <v>4887.7</v>
      </c>
      <c r="AE51" t="n">
        <v>5103.1</v>
      </c>
      <c r="AF51" t="n">
        <v>5500</v>
      </c>
    </row>
    <row r="52">
      <c r="A52" t="s">
        <v>34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129.8</v>
      </c>
      <c r="H52" t="n">
        <v>138.8</v>
      </c>
      <c r="I52" t="n">
        <v>164.8</v>
      </c>
      <c r="J52" t="n">
        <v>178.4</v>
      </c>
      <c r="K52" t="n">
        <v>184</v>
      </c>
      <c r="L52" t="n">
        <v>190.4</v>
      </c>
      <c r="M52" t="n">
        <v>177.7</v>
      </c>
      <c r="N52" t="n">
        <v>194.4</v>
      </c>
      <c r="O52" t="n">
        <v>216.7</v>
      </c>
      <c r="P52" t="n">
        <v>227.9</v>
      </c>
      <c r="Q52" t="n">
        <v>217</v>
      </c>
      <c r="R52" t="n">
        <v>250.6</v>
      </c>
      <c r="S52" t="n">
        <v>201.3</v>
      </c>
      <c r="T52" t="n">
        <v>163.2</v>
      </c>
      <c r="U52" t="n">
        <v>203.7</v>
      </c>
      <c r="V52" t="n">
        <v>211.2</v>
      </c>
      <c r="W52" t="n">
        <v>205.7</v>
      </c>
      <c r="X52" t="n">
        <v>179.8</v>
      </c>
      <c r="Y52" t="n">
        <v>144</v>
      </c>
      <c r="Z52" t="n">
        <v>125.3</v>
      </c>
      <c r="AA52" t="n">
        <v>171.8</v>
      </c>
      <c r="AB52" t="n">
        <v>132.7</v>
      </c>
      <c r="AC52" t="n">
        <v>170.1</v>
      </c>
      <c r="AD52" t="n">
        <v>218.8</v>
      </c>
      <c r="AE52" t="n">
        <v>189.2</v>
      </c>
      <c r="AF52" t="n">
        <v>236</v>
      </c>
    </row>
    <row r="53">
      <c r="A53" t="s">
        <v>34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848.7</v>
      </c>
      <c r="H53" t="n">
        <v>962.8</v>
      </c>
      <c r="I53" t="n">
        <v>994.3</v>
      </c>
      <c r="J53" t="n">
        <v>979.5</v>
      </c>
      <c r="K53" t="n">
        <v>1028.5</v>
      </c>
      <c r="L53" t="n">
        <v>1182.5</v>
      </c>
      <c r="M53" t="n">
        <v>1265</v>
      </c>
      <c r="N53" t="n">
        <v>1090.7</v>
      </c>
      <c r="O53" t="n">
        <v>1224.2</v>
      </c>
      <c r="P53" t="n">
        <v>1372.9</v>
      </c>
      <c r="Q53" t="n">
        <v>1394</v>
      </c>
      <c r="R53" t="n">
        <v>1420</v>
      </c>
      <c r="S53" t="n">
        <v>1024.4</v>
      </c>
      <c r="T53" t="n">
        <v>1102.4</v>
      </c>
      <c r="U53" t="n">
        <v>1265.7</v>
      </c>
      <c r="V53" t="n">
        <v>1390.9</v>
      </c>
      <c r="W53" t="n">
        <v>871</v>
      </c>
      <c r="X53" t="n">
        <v>1080.4</v>
      </c>
      <c r="Y53" t="n">
        <v>974.2</v>
      </c>
      <c r="Z53" t="n">
        <v>1007.5</v>
      </c>
      <c r="AA53" t="n">
        <v>1296.8</v>
      </c>
      <c r="AB53" t="n">
        <v>1221.1</v>
      </c>
      <c r="AC53" t="n">
        <v>1367.1</v>
      </c>
      <c r="AD53" t="n">
        <v>1362.7</v>
      </c>
      <c r="AE53" t="n">
        <v>1062</v>
      </c>
      <c r="AF53" t="n">
        <v>1375.2</v>
      </c>
    </row>
    <row r="54">
      <c r="A54" t="s">
        <v>34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1423.8</v>
      </c>
      <c r="H54" t="n">
        <v>1630.5</v>
      </c>
      <c r="I54" t="n">
        <v>1652</v>
      </c>
      <c r="J54" t="n">
        <v>1642.5</v>
      </c>
      <c r="K54" t="n">
        <v>1707.8</v>
      </c>
      <c r="L54" t="n">
        <v>1873</v>
      </c>
      <c r="M54" t="n">
        <v>2093.5</v>
      </c>
      <c r="N54" t="n">
        <v>1863.6</v>
      </c>
      <c r="O54" t="n">
        <v>1998.3</v>
      </c>
      <c r="P54" t="n">
        <v>2347.2</v>
      </c>
      <c r="Q54" t="n">
        <v>2414.6</v>
      </c>
      <c r="R54" t="n">
        <v>2331.9</v>
      </c>
      <c r="S54" t="n">
        <v>2191.1</v>
      </c>
      <c r="T54" t="n">
        <v>1758</v>
      </c>
      <c r="U54" t="n">
        <v>2143.4</v>
      </c>
      <c r="V54" t="n">
        <v>2234.2</v>
      </c>
      <c r="W54" t="n">
        <v>1744.1</v>
      </c>
      <c r="X54" t="n">
        <v>1785.7</v>
      </c>
      <c r="Y54" t="n">
        <v>1620.3</v>
      </c>
      <c r="Z54" t="n">
        <v>1693.7</v>
      </c>
      <c r="AA54" t="n">
        <v>2269.3</v>
      </c>
      <c r="AB54" t="n">
        <v>2233.1</v>
      </c>
      <c r="AC54" t="n">
        <v>2168.2</v>
      </c>
      <c r="AD54" t="n">
        <v>2219</v>
      </c>
      <c r="AE54" t="n">
        <v>1672.2</v>
      </c>
      <c r="AF54" t="n">
        <v>2190.7</v>
      </c>
    </row>
    <row r="55">
      <c r="A55" t="s">
        <v>34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575.1</v>
      </c>
      <c r="H55" t="n">
        <v>667.7</v>
      </c>
      <c r="I55" t="n">
        <v>657.7</v>
      </c>
      <c r="J55" t="n">
        <v>663</v>
      </c>
      <c r="K55" t="n">
        <v>679.3</v>
      </c>
      <c r="L55" t="n">
        <v>690.5</v>
      </c>
      <c r="M55" t="n">
        <v>828.5</v>
      </c>
      <c r="N55" t="n">
        <v>772.9</v>
      </c>
      <c r="O55" t="n">
        <v>774.1</v>
      </c>
      <c r="P55" t="n">
        <v>974.3</v>
      </c>
      <c r="Q55" t="n">
        <v>1020.6</v>
      </c>
      <c r="R55" t="n">
        <v>911.9</v>
      </c>
      <c r="S55" t="n">
        <v>1166.7</v>
      </c>
      <c r="T55" t="n">
        <v>655.6</v>
      </c>
      <c r="U55" t="n">
        <v>877.7</v>
      </c>
      <c r="V55" t="n">
        <v>843.3</v>
      </c>
      <c r="W55" t="n">
        <v>873.1</v>
      </c>
      <c r="X55" t="n">
        <v>705.3</v>
      </c>
      <c r="Y55" t="n">
        <v>646.1</v>
      </c>
      <c r="Z55" t="n">
        <v>686.2</v>
      </c>
      <c r="AA55" t="n">
        <v>972.5</v>
      </c>
      <c r="AB55" t="n">
        <v>1012</v>
      </c>
      <c r="AC55" t="n">
        <v>801.1</v>
      </c>
      <c r="AD55" t="n">
        <v>856.3</v>
      </c>
      <c r="AE55" t="n">
        <v>610.2</v>
      </c>
      <c r="AF55" t="n">
        <v>815.5</v>
      </c>
    </row>
    <row r="56">
      <c r="A56" t="s">
        <v>34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34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53291.2</v>
      </c>
      <c r="H57" t="n">
        <v>57606.1</v>
      </c>
      <c r="I57" t="n">
        <v>63059.3</v>
      </c>
      <c r="J57" t="n">
        <v>67296.5</v>
      </c>
      <c r="K57" t="n">
        <v>72083.6</v>
      </c>
      <c r="L57" t="n">
        <v>74313.2</v>
      </c>
      <c r="M57" t="n">
        <v>78203.4</v>
      </c>
      <c r="N57" t="n">
        <v>76339.4</v>
      </c>
      <c r="O57" t="n">
        <v>77887.7</v>
      </c>
      <c r="P57" t="n">
        <v>80989.5</v>
      </c>
      <c r="Q57" t="n">
        <v>86749.9</v>
      </c>
      <c r="R57" t="n">
        <v>91003.7</v>
      </c>
      <c r="S57" t="n">
        <v>87220.8</v>
      </c>
      <c r="T57" t="n">
        <v>77745.9</v>
      </c>
      <c r="U57" t="n">
        <v>84010</v>
      </c>
      <c r="V57" t="n">
        <v>82607</v>
      </c>
      <c r="W57" t="n">
        <v>75172.2</v>
      </c>
      <c r="X57" t="n">
        <v>73174.7</v>
      </c>
      <c r="Y57" t="n">
        <v>73752.7</v>
      </c>
      <c r="Z57" t="n">
        <v>74179.7</v>
      </c>
      <c r="AA57" t="n">
        <v>81779.6</v>
      </c>
      <c r="AB57" t="n">
        <v>83853</v>
      </c>
      <c r="AC57" t="n">
        <v>91535.8</v>
      </c>
      <c r="AD57" t="n">
        <v>89920.4</v>
      </c>
      <c r="AE57" t="n">
        <v>83483.9</v>
      </c>
      <c r="AF57" t="n">
        <v>96858.5</v>
      </c>
    </row>
    <row r="58">
      <c r="A58" t="s">
        <v>34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53291.2</v>
      </c>
      <c r="H58" t="n">
        <v>57606.1</v>
      </c>
      <c r="I58" t="n">
        <v>63059.3</v>
      </c>
      <c r="J58" t="n">
        <v>67296.5</v>
      </c>
      <c r="K58" t="n">
        <v>72083.6</v>
      </c>
      <c r="L58" t="n">
        <v>74313.2</v>
      </c>
      <c r="M58" t="n">
        <v>78203.4</v>
      </c>
      <c r="N58" t="n">
        <v>76339.4</v>
      </c>
      <c r="O58" t="n">
        <v>77887.7</v>
      </c>
      <c r="P58" t="n">
        <v>80989.5</v>
      </c>
      <c r="Q58" t="n">
        <v>86749.9</v>
      </c>
      <c r="R58" t="n">
        <v>91003.7</v>
      </c>
      <c r="S58" t="n">
        <v>87220.8</v>
      </c>
      <c r="T58" t="n">
        <v>77745.9</v>
      </c>
      <c r="U58" t="n">
        <v>84010</v>
      </c>
      <c r="V58" t="n">
        <v>82607</v>
      </c>
      <c r="W58" t="n">
        <v>75172.2</v>
      </c>
      <c r="X58" t="n">
        <v>73174.7</v>
      </c>
      <c r="Y58" t="n">
        <v>73752.7</v>
      </c>
      <c r="Z58" t="n">
        <v>74179.7</v>
      </c>
      <c r="AA58" t="n">
        <v>81779.6</v>
      </c>
      <c r="AB58" t="n">
        <v>83853</v>
      </c>
      <c r="AC58" t="n">
        <v>91535.8</v>
      </c>
      <c r="AD58" t="n">
        <v>89920.4</v>
      </c>
      <c r="AE58" t="n">
        <v>83483.9</v>
      </c>
      <c r="AF58" t="n">
        <v>96858.5</v>
      </c>
    </row>
    <row r="59">
      <c r="A59" t="s">
        <v>34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36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1242.7</v>
      </c>
      <c r="H2" t="n">
        <v>1363.7</v>
      </c>
      <c r="I2" t="n">
        <v>1398.4</v>
      </c>
      <c r="J2" t="n">
        <v>1662.4</v>
      </c>
      <c r="K2" t="n">
        <v>1951.8</v>
      </c>
      <c r="L2" t="n">
        <v>1925.1</v>
      </c>
      <c r="M2" t="n">
        <v>2158.9</v>
      </c>
      <c r="N2" t="n">
        <v>2334.3</v>
      </c>
      <c r="O2" t="n">
        <v>2187.7</v>
      </c>
      <c r="P2" t="n">
        <v>2506.1</v>
      </c>
      <c r="Q2" t="n">
        <v>2832.8</v>
      </c>
      <c r="R2" t="n">
        <v>2611.4</v>
      </c>
      <c r="S2" t="n">
        <v>2509.7</v>
      </c>
      <c r="T2" t="n">
        <v>2141.1</v>
      </c>
      <c r="U2" t="n">
        <v>1931.7</v>
      </c>
      <c r="V2" t="n">
        <v>2619.8</v>
      </c>
      <c r="W2" t="n">
        <v>2493.5</v>
      </c>
      <c r="X2" t="n">
        <v>1669.6</v>
      </c>
      <c r="Y2" t="n">
        <v>1315.2</v>
      </c>
      <c r="Z2" t="n">
        <v>1387.6</v>
      </c>
      <c r="AA2" t="n">
        <v>1565.1</v>
      </c>
      <c r="AB2" t="n">
        <v>2024.8</v>
      </c>
      <c r="AC2" t="n">
        <v>2326.2</v>
      </c>
      <c r="AD2" t="n">
        <v>2553.3</v>
      </c>
      <c r="AE2" t="n">
        <v>2373.4</v>
      </c>
      <c r="AF2" t="n">
        <v>2395.3</v>
      </c>
    </row>
    <row r="3">
      <c r="A3" t="s">
        <v>36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838</v>
      </c>
      <c r="H3" t="n">
        <v>764.2</v>
      </c>
      <c r="I3" t="n">
        <v>819.9</v>
      </c>
      <c r="J3" t="n">
        <v>774.4</v>
      </c>
      <c r="K3" t="n">
        <v>962.8</v>
      </c>
      <c r="L3" t="n">
        <v>1142.6</v>
      </c>
      <c r="M3" t="n">
        <v>941.9</v>
      </c>
      <c r="N3" t="n">
        <v>1115.9</v>
      </c>
      <c r="O3" t="n">
        <v>1289.8</v>
      </c>
      <c r="P3" t="n">
        <v>1314.4</v>
      </c>
      <c r="Q3" t="n">
        <v>1200.9</v>
      </c>
      <c r="R3" t="n">
        <v>1291.7</v>
      </c>
      <c r="S3" t="n">
        <v>1073.8</v>
      </c>
      <c r="T3" t="n">
        <v>1081.2</v>
      </c>
      <c r="U3" t="n">
        <v>1299</v>
      </c>
      <c r="V3" t="n">
        <v>1389.1</v>
      </c>
      <c r="W3" t="n">
        <v>1259.9</v>
      </c>
      <c r="X3" t="n">
        <v>1099.4</v>
      </c>
      <c r="Y3" t="n">
        <v>1731</v>
      </c>
      <c r="Z3" t="n">
        <v>1485</v>
      </c>
      <c r="AA3" t="n">
        <v>491.6</v>
      </c>
      <c r="AB3" t="n">
        <v>392.7</v>
      </c>
      <c r="AC3" t="n">
        <v>1407.1</v>
      </c>
      <c r="AD3" t="n">
        <v>1109.3</v>
      </c>
      <c r="AE3" t="n">
        <v>730.8</v>
      </c>
      <c r="AF3" t="n">
        <v>867.7</v>
      </c>
    </row>
    <row r="4">
      <c r="A4" t="s">
        <v>36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3055.6</v>
      </c>
      <c r="H4" t="n">
        <v>3381.7</v>
      </c>
      <c r="I4" t="n">
        <v>3200.1</v>
      </c>
      <c r="J4" t="n">
        <v>3670.7</v>
      </c>
      <c r="K4" t="n">
        <v>4014.5</v>
      </c>
      <c r="L4" t="n">
        <v>4345.9</v>
      </c>
      <c r="M4" t="n">
        <v>5090.8</v>
      </c>
      <c r="N4" t="n">
        <v>5065.6</v>
      </c>
      <c r="O4" t="n">
        <v>5070.4</v>
      </c>
      <c r="P4" t="n">
        <v>5020.6</v>
      </c>
      <c r="Q4" t="n">
        <v>5326.6</v>
      </c>
      <c r="R4" t="n">
        <v>5406.6</v>
      </c>
      <c r="S4" t="n">
        <v>5526.5</v>
      </c>
      <c r="T4" t="n">
        <v>4952.9</v>
      </c>
      <c r="U4" t="n">
        <v>5114</v>
      </c>
      <c r="V4" t="n">
        <v>5459</v>
      </c>
      <c r="W4" t="n">
        <v>5468.8</v>
      </c>
      <c r="X4" t="n">
        <v>4041.1</v>
      </c>
      <c r="Y4" t="n">
        <v>3773.7</v>
      </c>
      <c r="Z4" t="n">
        <v>4463</v>
      </c>
      <c r="AA4" t="n">
        <v>5238.4</v>
      </c>
      <c r="AB4" t="n">
        <v>4583.6</v>
      </c>
      <c r="AC4" t="n">
        <v>4713.3</v>
      </c>
      <c r="AD4" t="n">
        <v>4013.7</v>
      </c>
      <c r="AE4" t="n">
        <v>4930.6</v>
      </c>
      <c r="AF4" t="n">
        <v>4554.2</v>
      </c>
    </row>
    <row r="5">
      <c r="A5" t="s">
        <v>36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441.6</v>
      </c>
      <c r="H5" t="n">
        <v>354.2</v>
      </c>
      <c r="I5" t="n">
        <v>458.2</v>
      </c>
      <c r="J5" t="n">
        <v>473.9</v>
      </c>
      <c r="K5" t="n">
        <v>540.1</v>
      </c>
      <c r="L5" t="n">
        <v>646.6</v>
      </c>
      <c r="M5" t="n">
        <v>731.5</v>
      </c>
      <c r="N5" t="n">
        <v>680.2</v>
      </c>
      <c r="O5" t="n">
        <v>693.5</v>
      </c>
      <c r="P5" t="n">
        <v>702.8</v>
      </c>
      <c r="Q5" t="n">
        <v>789.5</v>
      </c>
      <c r="R5" t="n">
        <v>760.5</v>
      </c>
      <c r="S5" t="n">
        <v>753.1</v>
      </c>
      <c r="T5" t="n">
        <v>571.1</v>
      </c>
      <c r="U5" t="n">
        <v>735.5</v>
      </c>
      <c r="V5" t="n">
        <v>784.7</v>
      </c>
      <c r="W5" t="n">
        <v>1178</v>
      </c>
      <c r="X5" t="n">
        <v>756.7</v>
      </c>
      <c r="Y5" t="n">
        <v>725.2</v>
      </c>
      <c r="Z5" t="n">
        <v>861.1</v>
      </c>
      <c r="AA5" t="n">
        <v>949.9</v>
      </c>
      <c r="AB5" t="n">
        <v>878.8</v>
      </c>
      <c r="AC5" t="n">
        <v>762.4</v>
      </c>
      <c r="AD5" t="n">
        <v>787.6</v>
      </c>
      <c r="AE5" t="n">
        <v>545.4</v>
      </c>
      <c r="AF5" t="n">
        <v>671</v>
      </c>
    </row>
    <row r="6">
      <c r="A6" t="s">
        <v>36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224</v>
      </c>
      <c r="H6" t="n">
        <v>221.4</v>
      </c>
      <c r="I6" t="n">
        <v>241.5</v>
      </c>
      <c r="J6" t="n">
        <v>253.7</v>
      </c>
      <c r="K6" t="n">
        <v>285.3</v>
      </c>
      <c r="L6" t="n">
        <v>293.4</v>
      </c>
      <c r="M6" t="n">
        <v>368.5</v>
      </c>
      <c r="N6" t="n">
        <v>412.9</v>
      </c>
      <c r="O6" t="n">
        <v>389.8</v>
      </c>
      <c r="P6" t="n">
        <v>369.9</v>
      </c>
      <c r="Q6" t="n">
        <v>391.8</v>
      </c>
      <c r="R6" t="n">
        <v>366.6</v>
      </c>
      <c r="S6" t="n">
        <v>338.6</v>
      </c>
      <c r="T6" t="n">
        <v>367.4</v>
      </c>
      <c r="U6" t="n">
        <v>337.7</v>
      </c>
      <c r="V6" t="n">
        <v>360.3</v>
      </c>
      <c r="W6" t="n">
        <v>566.4</v>
      </c>
      <c r="X6" t="n">
        <v>317.6</v>
      </c>
      <c r="Y6" t="n">
        <v>345.7</v>
      </c>
      <c r="Z6" t="n">
        <v>326</v>
      </c>
      <c r="AA6" t="n">
        <v>327.3</v>
      </c>
      <c r="AB6" t="n">
        <v>229</v>
      </c>
      <c r="AC6" t="n">
        <v>433.4</v>
      </c>
      <c r="AD6" t="n">
        <v>236.5</v>
      </c>
      <c r="AE6" t="n">
        <v>200.2</v>
      </c>
      <c r="AF6" t="n">
        <v>258.7</v>
      </c>
    </row>
    <row r="7">
      <c r="A7" t="s">
        <v>36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150</v>
      </c>
      <c r="H7" t="n">
        <v>160.2</v>
      </c>
      <c r="I7" t="n">
        <v>168</v>
      </c>
      <c r="J7" t="n">
        <v>194.3</v>
      </c>
      <c r="K7" t="n">
        <v>244.7</v>
      </c>
      <c r="L7" t="n">
        <v>215.3</v>
      </c>
      <c r="M7" t="n">
        <v>277.7</v>
      </c>
      <c r="N7" t="n">
        <v>267.7</v>
      </c>
      <c r="O7" t="n">
        <v>244.8</v>
      </c>
      <c r="P7" t="n">
        <v>266.7</v>
      </c>
      <c r="Q7" t="n">
        <v>258.5</v>
      </c>
      <c r="R7" t="n">
        <v>264.9</v>
      </c>
      <c r="S7" t="n">
        <v>304.2</v>
      </c>
      <c r="T7" t="n">
        <v>226.2</v>
      </c>
      <c r="U7" t="n">
        <v>268.9</v>
      </c>
      <c r="V7" t="n">
        <v>286.8</v>
      </c>
      <c r="W7" t="n">
        <v>243.5</v>
      </c>
      <c r="X7" t="n">
        <v>234</v>
      </c>
      <c r="Y7" t="n">
        <v>183.8</v>
      </c>
      <c r="Z7" t="n">
        <v>311.1</v>
      </c>
      <c r="AA7" t="n">
        <v>489.7</v>
      </c>
      <c r="AB7" t="n">
        <v>357</v>
      </c>
      <c r="AC7" t="n">
        <v>333.1</v>
      </c>
      <c r="AD7" t="n">
        <v>161.3</v>
      </c>
      <c r="AE7" t="n">
        <v>252.2</v>
      </c>
      <c r="AF7" t="n">
        <v>258.9</v>
      </c>
    </row>
    <row r="8">
      <c r="A8" t="s">
        <v>36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110.5</v>
      </c>
      <c r="H8" t="n">
        <v>172.4</v>
      </c>
      <c r="I8" t="n">
        <v>182.9</v>
      </c>
      <c r="J8" t="n">
        <v>244.4</v>
      </c>
      <c r="K8" t="n">
        <v>247.7</v>
      </c>
      <c r="L8" t="n">
        <v>306</v>
      </c>
      <c r="M8" t="n">
        <v>251.6</v>
      </c>
      <c r="N8" t="n">
        <v>303.6</v>
      </c>
      <c r="O8" t="n">
        <v>360.8</v>
      </c>
      <c r="P8" t="n">
        <v>362.4</v>
      </c>
      <c r="Q8" t="n">
        <v>332.9</v>
      </c>
      <c r="R8" t="n">
        <v>350.7</v>
      </c>
      <c r="S8" t="n">
        <v>297.5</v>
      </c>
      <c r="T8" t="n">
        <v>233.4</v>
      </c>
      <c r="U8" t="n">
        <v>314</v>
      </c>
      <c r="V8" t="n">
        <v>335.6</v>
      </c>
      <c r="W8" t="n">
        <v>274.7</v>
      </c>
      <c r="X8" t="n">
        <v>145</v>
      </c>
      <c r="Y8" t="n">
        <v>118.6</v>
      </c>
      <c r="Z8" t="n">
        <v>96.5</v>
      </c>
      <c r="AA8" t="n">
        <v>147.8</v>
      </c>
      <c r="AB8" t="n">
        <v>267</v>
      </c>
      <c r="AC8" t="n">
        <v>263.7</v>
      </c>
      <c r="AD8" t="n">
        <v>263.2</v>
      </c>
      <c r="AE8" t="n">
        <v>158.5</v>
      </c>
      <c r="AF8" t="n">
        <v>85.1</v>
      </c>
    </row>
    <row r="9">
      <c r="A9" t="s">
        <v>36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205.4</v>
      </c>
      <c r="H9" t="n">
        <v>187.2</v>
      </c>
      <c r="I9" t="n">
        <v>178.5</v>
      </c>
      <c r="J9" t="n">
        <v>214.8</v>
      </c>
      <c r="K9" t="n">
        <v>277.2</v>
      </c>
      <c r="L9" t="n">
        <v>290</v>
      </c>
      <c r="M9" t="n">
        <v>327.4</v>
      </c>
      <c r="N9" t="n">
        <v>386.6</v>
      </c>
      <c r="O9" t="n">
        <v>313.9</v>
      </c>
      <c r="P9" t="n">
        <v>304.5</v>
      </c>
      <c r="Q9" t="n">
        <v>348.4</v>
      </c>
      <c r="R9" t="n">
        <v>363.4</v>
      </c>
      <c r="S9" t="n">
        <v>371.2</v>
      </c>
      <c r="T9" t="n">
        <v>317.6</v>
      </c>
      <c r="U9" t="n">
        <v>348.8</v>
      </c>
      <c r="V9" t="n">
        <v>372.4</v>
      </c>
      <c r="W9" t="n">
        <v>298.5</v>
      </c>
      <c r="X9" t="n">
        <v>128.6</v>
      </c>
      <c r="Y9" t="n">
        <v>128</v>
      </c>
      <c r="Z9" t="n">
        <v>265.5</v>
      </c>
      <c r="AA9" t="n">
        <v>220.8</v>
      </c>
      <c r="AB9" t="n">
        <v>159.9</v>
      </c>
      <c r="AC9" t="n">
        <v>141.1</v>
      </c>
      <c r="AD9" t="n">
        <v>105.9</v>
      </c>
      <c r="AE9" t="n">
        <v>175.5</v>
      </c>
      <c r="AF9" t="n">
        <v>165.9</v>
      </c>
    </row>
    <row r="10">
      <c r="A10" t="s">
        <v>36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270</v>
      </c>
      <c r="H10" t="n">
        <v>273.1</v>
      </c>
      <c r="I10" t="n">
        <v>289.6</v>
      </c>
      <c r="J10" t="n">
        <v>327</v>
      </c>
      <c r="K10" t="n">
        <v>415.1</v>
      </c>
      <c r="L10" t="n">
        <v>433.9</v>
      </c>
      <c r="M10" t="n">
        <v>498.7</v>
      </c>
      <c r="N10" t="n">
        <v>559.2</v>
      </c>
      <c r="O10" t="n">
        <v>514</v>
      </c>
      <c r="P10" t="n">
        <v>466.2</v>
      </c>
      <c r="Q10" t="n">
        <v>520.4</v>
      </c>
      <c r="R10" t="n">
        <v>563</v>
      </c>
      <c r="S10" t="n">
        <v>559</v>
      </c>
      <c r="T10" t="n">
        <v>525.4</v>
      </c>
      <c r="U10" t="n">
        <v>540.2</v>
      </c>
      <c r="V10" t="n">
        <v>576.6</v>
      </c>
      <c r="W10" t="n">
        <v>492</v>
      </c>
      <c r="X10" t="n">
        <v>307.6</v>
      </c>
      <c r="Y10" t="n">
        <v>316.2</v>
      </c>
      <c r="Z10" t="n">
        <v>428.8</v>
      </c>
      <c r="AA10" t="n">
        <v>355.1</v>
      </c>
      <c r="AB10" t="n">
        <v>312.5</v>
      </c>
      <c r="AC10" t="n">
        <v>268.3</v>
      </c>
      <c r="AD10" t="n">
        <v>209.7</v>
      </c>
      <c r="AE10" t="n">
        <v>315.2</v>
      </c>
      <c r="AF10" t="n">
        <v>356.7</v>
      </c>
    </row>
    <row r="11">
      <c r="A11" t="s">
        <v>36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64.6</v>
      </c>
      <c r="H11" t="n">
        <v>85.9</v>
      </c>
      <c r="I11" t="n">
        <v>111.1</v>
      </c>
      <c r="J11" t="n">
        <v>112.2</v>
      </c>
      <c r="K11" t="n">
        <v>137.9</v>
      </c>
      <c r="L11" t="n">
        <v>143.9</v>
      </c>
      <c r="M11" t="n">
        <v>171.3</v>
      </c>
      <c r="N11" t="n">
        <v>172.6</v>
      </c>
      <c r="O11" t="n">
        <v>200.1</v>
      </c>
      <c r="P11" t="n">
        <v>161.7</v>
      </c>
      <c r="Q11" t="n">
        <v>172</v>
      </c>
      <c r="R11" t="n">
        <v>199.6</v>
      </c>
      <c r="S11" t="n">
        <v>187.8</v>
      </c>
      <c r="T11" t="n">
        <v>207.8</v>
      </c>
      <c r="U11" t="n">
        <v>191.4</v>
      </c>
      <c r="V11" t="n">
        <v>204.2</v>
      </c>
      <c r="W11" t="n">
        <v>193.5</v>
      </c>
      <c r="X11" t="n">
        <v>179</v>
      </c>
      <c r="Y11" t="n">
        <v>188.2</v>
      </c>
      <c r="Z11" t="n">
        <v>163.3</v>
      </c>
      <c r="AA11" t="n">
        <v>134.3</v>
      </c>
      <c r="AB11" t="n">
        <v>152.6</v>
      </c>
      <c r="AC11" t="n">
        <v>127.2</v>
      </c>
      <c r="AD11" t="n">
        <v>103.8</v>
      </c>
      <c r="AE11" t="n">
        <v>139.7</v>
      </c>
      <c r="AF11" t="n">
        <v>190.8</v>
      </c>
    </row>
    <row r="12">
      <c r="A12" t="s">
        <v>36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371.1</v>
      </c>
      <c r="H12" t="n">
        <v>488.7</v>
      </c>
      <c r="I12" t="n">
        <v>510.5</v>
      </c>
      <c r="J12" t="n">
        <v>480.1</v>
      </c>
      <c r="K12" t="n">
        <v>592.8</v>
      </c>
      <c r="L12" t="n">
        <v>608.3</v>
      </c>
      <c r="M12" t="n">
        <v>782.1</v>
      </c>
      <c r="N12" t="n">
        <v>726.7</v>
      </c>
      <c r="O12" t="n">
        <v>746</v>
      </c>
      <c r="P12" t="n">
        <v>762.2</v>
      </c>
      <c r="Q12" t="n">
        <v>850.6</v>
      </c>
      <c r="R12" t="n">
        <v>771.8</v>
      </c>
      <c r="S12" t="n">
        <v>917.1</v>
      </c>
      <c r="T12" t="n">
        <v>714.1</v>
      </c>
      <c r="U12" t="n">
        <v>766.6</v>
      </c>
      <c r="V12" t="n">
        <v>818.5</v>
      </c>
      <c r="W12" t="n">
        <v>606.2</v>
      </c>
      <c r="X12" t="n">
        <v>603.8</v>
      </c>
      <c r="Y12" t="n">
        <v>434.4</v>
      </c>
      <c r="Z12" t="n">
        <v>345.8</v>
      </c>
      <c r="AA12" t="n">
        <v>493.1</v>
      </c>
      <c r="AB12" t="n">
        <v>491.2</v>
      </c>
      <c r="AC12" t="n">
        <v>655.7</v>
      </c>
      <c r="AD12" t="n">
        <v>367.3</v>
      </c>
      <c r="AE12" t="n">
        <v>391.4</v>
      </c>
      <c r="AF12" t="n">
        <v>483</v>
      </c>
    </row>
    <row r="13">
      <c r="A13" t="s">
        <v>36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369.9</v>
      </c>
      <c r="H13" t="n">
        <v>560.6</v>
      </c>
      <c r="I13" t="n">
        <v>474.2</v>
      </c>
      <c r="J13" t="n">
        <v>408.7</v>
      </c>
      <c r="K13" t="n">
        <v>561.1</v>
      </c>
      <c r="L13" t="n">
        <v>630.4</v>
      </c>
      <c r="M13" t="n">
        <v>708.8</v>
      </c>
      <c r="N13" t="n">
        <v>702.2</v>
      </c>
      <c r="O13" t="n">
        <v>743</v>
      </c>
      <c r="P13" t="n">
        <v>621.5</v>
      </c>
      <c r="Q13" t="n">
        <v>692.5</v>
      </c>
      <c r="R13" t="n">
        <v>782</v>
      </c>
      <c r="S13" t="n">
        <v>774.5</v>
      </c>
      <c r="T13" t="n">
        <v>788.7</v>
      </c>
      <c r="U13" t="n">
        <v>744.5</v>
      </c>
      <c r="V13" t="n">
        <v>795</v>
      </c>
      <c r="W13" t="n">
        <v>862.1</v>
      </c>
      <c r="X13" t="n">
        <v>657.3</v>
      </c>
      <c r="Y13" t="n">
        <v>566.7</v>
      </c>
      <c r="Z13" t="n">
        <v>566.7</v>
      </c>
      <c r="AA13" t="n">
        <v>408.1</v>
      </c>
      <c r="AB13" t="n">
        <v>583.5</v>
      </c>
      <c r="AC13" t="n">
        <v>647.2</v>
      </c>
      <c r="AD13" t="n">
        <v>402.1</v>
      </c>
      <c r="AE13" t="n">
        <v>472.4</v>
      </c>
      <c r="AF13" t="n">
        <v>617.6</v>
      </c>
    </row>
    <row r="14">
      <c r="A14" t="s">
        <v>36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125.6</v>
      </c>
      <c r="H14" t="n">
        <v>145.1</v>
      </c>
      <c r="I14" t="n">
        <v>86.8</v>
      </c>
      <c r="J14" t="n">
        <v>149</v>
      </c>
      <c r="K14" t="n">
        <v>121.5</v>
      </c>
      <c r="L14" t="n">
        <v>133.1</v>
      </c>
      <c r="M14" t="n">
        <v>168.2</v>
      </c>
      <c r="N14" t="n">
        <v>190.9</v>
      </c>
      <c r="O14" t="n">
        <v>144.8</v>
      </c>
      <c r="P14" t="n">
        <v>167.1</v>
      </c>
      <c r="Q14" t="n">
        <v>180.7</v>
      </c>
      <c r="R14" t="n">
        <v>197.1</v>
      </c>
      <c r="S14" t="n">
        <v>207.8</v>
      </c>
      <c r="T14" t="n">
        <v>197.3</v>
      </c>
      <c r="U14" t="n">
        <v>180.1</v>
      </c>
      <c r="V14" t="n">
        <v>192.3</v>
      </c>
      <c r="W14" t="n">
        <v>278.2</v>
      </c>
      <c r="X14" t="n">
        <v>103.7</v>
      </c>
      <c r="Y14" t="n">
        <v>236.6</v>
      </c>
      <c r="Z14" t="n">
        <v>290.4</v>
      </c>
      <c r="AA14" t="n">
        <v>619.5</v>
      </c>
      <c r="AB14" t="n">
        <v>390.3</v>
      </c>
      <c r="AC14" t="n">
        <v>115.1</v>
      </c>
      <c r="AD14" t="n">
        <v>121.7</v>
      </c>
      <c r="AE14" t="n">
        <v>289.9</v>
      </c>
      <c r="AF14" t="n">
        <v>166.5</v>
      </c>
    </row>
    <row r="15">
      <c r="A15" t="s">
        <v>36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198</v>
      </c>
      <c r="H15" t="n">
        <v>239</v>
      </c>
      <c r="I15" t="n">
        <v>186</v>
      </c>
      <c r="J15" t="n">
        <v>246.7</v>
      </c>
      <c r="K15" t="n">
        <v>242.4</v>
      </c>
      <c r="L15" t="n">
        <v>278.8</v>
      </c>
      <c r="M15" t="n">
        <v>322.7</v>
      </c>
      <c r="N15" t="n">
        <v>349.5</v>
      </c>
      <c r="O15" t="n">
        <v>310.2</v>
      </c>
      <c r="P15" t="n">
        <v>339.4</v>
      </c>
      <c r="Q15" t="n">
        <v>352.2</v>
      </c>
      <c r="R15" t="n">
        <v>377.8</v>
      </c>
      <c r="S15" t="n">
        <v>379.4</v>
      </c>
      <c r="T15" t="n">
        <v>341.5</v>
      </c>
      <c r="U15" t="n">
        <v>347.5</v>
      </c>
      <c r="V15" t="n">
        <v>371</v>
      </c>
      <c r="W15" t="n">
        <v>415.1</v>
      </c>
      <c r="X15" t="n">
        <v>229.5</v>
      </c>
      <c r="Y15" t="n">
        <v>364</v>
      </c>
      <c r="Z15" t="n">
        <v>449.6</v>
      </c>
      <c r="AA15" t="n">
        <v>756.3</v>
      </c>
      <c r="AB15" t="n">
        <v>545.8</v>
      </c>
      <c r="AC15" t="n">
        <v>261</v>
      </c>
      <c r="AD15" t="n">
        <v>321.1</v>
      </c>
      <c r="AE15" t="n">
        <v>462.5</v>
      </c>
      <c r="AF15" t="n">
        <v>380.3</v>
      </c>
    </row>
    <row r="16">
      <c r="A16" t="s">
        <v>36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72.4</v>
      </c>
      <c r="H16" t="n">
        <v>93.9</v>
      </c>
      <c r="I16" t="n">
        <v>99.2</v>
      </c>
      <c r="J16" t="n">
        <v>97.7</v>
      </c>
      <c r="K16" t="n">
        <v>120.9</v>
      </c>
      <c r="L16" t="n">
        <v>145.7</v>
      </c>
      <c r="M16" t="n">
        <v>154.5</v>
      </c>
      <c r="N16" t="n">
        <v>158.6</v>
      </c>
      <c r="O16" t="n">
        <v>165.4</v>
      </c>
      <c r="P16" t="n">
        <v>172.3</v>
      </c>
      <c r="Q16" t="n">
        <v>171.5</v>
      </c>
      <c r="R16" t="n">
        <v>180.7</v>
      </c>
      <c r="S16" t="n">
        <v>171.6</v>
      </c>
      <c r="T16" t="n">
        <v>144.2</v>
      </c>
      <c r="U16" t="n">
        <v>167.4</v>
      </c>
      <c r="V16" t="n">
        <v>178.7</v>
      </c>
      <c r="W16" t="n">
        <v>136.9</v>
      </c>
      <c r="X16" t="n">
        <v>125.8</v>
      </c>
      <c r="Y16" t="n">
        <v>127.4</v>
      </c>
      <c r="Z16" t="n">
        <v>159.2</v>
      </c>
      <c r="AA16" t="n">
        <v>136.8</v>
      </c>
      <c r="AB16" t="n">
        <v>155.5</v>
      </c>
      <c r="AC16" t="n">
        <v>145.9</v>
      </c>
      <c r="AD16" t="n">
        <v>199.4</v>
      </c>
      <c r="AE16" t="n">
        <v>172.6</v>
      </c>
      <c r="AF16" t="n">
        <v>213.8</v>
      </c>
    </row>
    <row r="17">
      <c r="A17" t="s">
        <v>36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449.6</v>
      </c>
      <c r="H17" t="n">
        <v>407.3</v>
      </c>
      <c r="I17" t="n">
        <v>220.6</v>
      </c>
      <c r="J17" t="n">
        <v>430.3</v>
      </c>
      <c r="K17" t="n">
        <v>308.9</v>
      </c>
      <c r="L17" t="n">
        <v>307.5</v>
      </c>
      <c r="M17" t="n">
        <v>394.9</v>
      </c>
      <c r="N17" t="n">
        <v>385.6</v>
      </c>
      <c r="O17" t="n">
        <v>396.7</v>
      </c>
      <c r="P17" t="n">
        <v>425.2</v>
      </c>
      <c r="Q17" t="n">
        <v>410.2</v>
      </c>
      <c r="R17" t="n">
        <v>404.1</v>
      </c>
      <c r="S17" t="n">
        <v>448.9</v>
      </c>
      <c r="T17" t="n">
        <v>359.5</v>
      </c>
      <c r="U17" t="n">
        <v>419.9</v>
      </c>
      <c r="V17" t="n">
        <v>448.3</v>
      </c>
      <c r="W17" t="n">
        <v>345.9</v>
      </c>
      <c r="X17" t="n">
        <v>239.4</v>
      </c>
      <c r="Y17" t="n">
        <v>293.9</v>
      </c>
      <c r="Z17" t="n">
        <v>441.3</v>
      </c>
      <c r="AA17" t="n">
        <v>564.7</v>
      </c>
      <c r="AB17" t="n">
        <v>348.9</v>
      </c>
      <c r="AC17" t="n">
        <v>481.2</v>
      </c>
      <c r="AD17" t="n">
        <v>523.3</v>
      </c>
      <c r="AE17" t="n">
        <v>480.8</v>
      </c>
      <c r="AF17" t="n">
        <v>451.4</v>
      </c>
    </row>
    <row r="18">
      <c r="A18" t="s">
        <v>36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247.6</v>
      </c>
      <c r="H18" t="n">
        <v>233.1</v>
      </c>
      <c r="I18" t="n">
        <v>161</v>
      </c>
      <c r="J18" t="n">
        <v>275.3</v>
      </c>
      <c r="K18" t="n">
        <v>214.8</v>
      </c>
      <c r="L18" t="n">
        <v>266</v>
      </c>
      <c r="M18" t="n">
        <v>269.2</v>
      </c>
      <c r="N18" t="n">
        <v>245.6</v>
      </c>
      <c r="O18" t="n">
        <v>266.8</v>
      </c>
      <c r="P18" t="n">
        <v>290.3</v>
      </c>
      <c r="Q18" t="n">
        <v>275.5</v>
      </c>
      <c r="R18" t="n">
        <v>308</v>
      </c>
      <c r="S18" t="n">
        <v>370.3</v>
      </c>
      <c r="T18" t="n">
        <v>308.1</v>
      </c>
      <c r="U18" t="n">
        <v>261</v>
      </c>
      <c r="V18" t="n">
        <v>278.4</v>
      </c>
      <c r="W18" t="n">
        <v>214.2</v>
      </c>
      <c r="X18" t="n">
        <v>352.2</v>
      </c>
      <c r="Y18" t="n">
        <v>278.4</v>
      </c>
      <c r="Z18" t="n">
        <v>465.2</v>
      </c>
      <c r="AA18" t="n">
        <v>487.3</v>
      </c>
      <c r="AB18" t="n">
        <v>308.6</v>
      </c>
      <c r="AC18" t="n">
        <v>428.5</v>
      </c>
      <c r="AD18" t="n">
        <v>535.4</v>
      </c>
      <c r="AE18" t="n">
        <v>1024.5</v>
      </c>
      <c r="AF18" t="n">
        <v>639.3</v>
      </c>
    </row>
    <row r="19">
      <c r="A19" t="s">
        <v>36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223.3</v>
      </c>
      <c r="H19" t="n">
        <v>271.7</v>
      </c>
      <c r="I19" t="n">
        <v>307.6</v>
      </c>
      <c r="J19" t="n">
        <v>336.3</v>
      </c>
      <c r="K19" t="n">
        <v>361.6</v>
      </c>
      <c r="L19" t="n">
        <v>359.7</v>
      </c>
      <c r="M19" t="n">
        <v>485.1</v>
      </c>
      <c r="N19" t="n">
        <v>432.4</v>
      </c>
      <c r="O19" t="n">
        <v>404.8</v>
      </c>
      <c r="P19" t="n">
        <v>414</v>
      </c>
      <c r="Q19" t="n">
        <v>452.5</v>
      </c>
      <c r="R19" t="n">
        <v>457.2</v>
      </c>
      <c r="S19" t="n">
        <v>383.9</v>
      </c>
      <c r="T19" t="n">
        <v>517.5</v>
      </c>
      <c r="U19" t="n">
        <v>378.2</v>
      </c>
      <c r="V19" t="n">
        <v>403.8</v>
      </c>
      <c r="W19" t="n">
        <v>270.7</v>
      </c>
      <c r="X19" t="n">
        <v>198</v>
      </c>
      <c r="Y19" t="n">
        <v>146.8</v>
      </c>
      <c r="Z19" t="n">
        <v>170.9</v>
      </c>
      <c r="AA19" t="n">
        <v>259.1</v>
      </c>
      <c r="AB19" t="n">
        <v>261.3</v>
      </c>
      <c r="AC19" t="n">
        <v>178.8</v>
      </c>
      <c r="AD19" t="n">
        <v>206.2</v>
      </c>
      <c r="AE19" t="n">
        <v>627.5</v>
      </c>
      <c r="AF19" t="n">
        <v>352.2</v>
      </c>
    </row>
    <row r="20">
      <c r="A20" t="s">
        <v>36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6541.1</v>
      </c>
      <c r="H20" t="n">
        <v>5979.1</v>
      </c>
      <c r="I20" t="n">
        <v>6354.5</v>
      </c>
      <c r="J20" t="n">
        <v>6265.5</v>
      </c>
      <c r="K20" t="n">
        <v>7272.9</v>
      </c>
      <c r="L20" t="n">
        <v>8133.6</v>
      </c>
      <c r="M20" t="n">
        <v>9151.6</v>
      </c>
      <c r="N20" t="n">
        <v>11303.6</v>
      </c>
      <c r="O20" t="n">
        <v>10329.6</v>
      </c>
      <c r="P20" t="n">
        <v>9100.7</v>
      </c>
      <c r="Q20" t="n">
        <v>9598.5</v>
      </c>
      <c r="R20" t="n">
        <v>11255.8</v>
      </c>
      <c r="S20" t="n">
        <v>11757.1</v>
      </c>
      <c r="T20" t="n">
        <v>9769.9</v>
      </c>
      <c r="U20" t="n">
        <v>5148.3</v>
      </c>
      <c r="V20" t="n">
        <v>8883.8</v>
      </c>
      <c r="W20" t="n">
        <v>5854.2</v>
      </c>
      <c r="X20" t="n">
        <v>6095.6</v>
      </c>
      <c r="Y20" t="n">
        <v>5679.5</v>
      </c>
      <c r="Z20" t="n">
        <v>4490.6</v>
      </c>
      <c r="AA20" t="n">
        <v>4813.4</v>
      </c>
      <c r="AB20" t="n">
        <v>5385</v>
      </c>
      <c r="AC20" t="n">
        <v>5843.8</v>
      </c>
      <c r="AD20" t="n">
        <v>7433.3</v>
      </c>
      <c r="AE20" t="n">
        <v>6852.1</v>
      </c>
      <c r="AF20" t="n">
        <v>7743.8</v>
      </c>
    </row>
    <row r="21">
      <c r="A21" t="s">
        <v>36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7242.3</v>
      </c>
      <c r="H21" t="n">
        <v>6710.9</v>
      </c>
      <c r="I21" t="n">
        <v>7181.7</v>
      </c>
      <c r="J21" t="n">
        <v>7211.3</v>
      </c>
      <c r="K21" t="n">
        <v>8488.8</v>
      </c>
      <c r="L21" t="n">
        <v>9470.3</v>
      </c>
      <c r="M21" t="n">
        <v>10551.2</v>
      </c>
      <c r="N21" t="n">
        <v>13047.1</v>
      </c>
      <c r="O21" t="n">
        <v>11849.8</v>
      </c>
      <c r="P21" t="n">
        <v>10518</v>
      </c>
      <c r="Q21" t="n">
        <v>11161.2</v>
      </c>
      <c r="R21" t="n">
        <v>12849.5</v>
      </c>
      <c r="S21" t="n">
        <v>13215.9</v>
      </c>
      <c r="T21" t="n">
        <v>11271.3</v>
      </c>
      <c r="U21" t="n">
        <v>6768.1</v>
      </c>
      <c r="V21" t="n">
        <v>10619.6</v>
      </c>
      <c r="W21" t="n">
        <v>7300.8</v>
      </c>
      <c r="X21" t="n">
        <v>7499.5</v>
      </c>
      <c r="Y21" t="n">
        <v>6881.2</v>
      </c>
      <c r="Z21" t="n">
        <v>5886.3</v>
      </c>
      <c r="AA21" t="n">
        <v>6276.9</v>
      </c>
      <c r="AB21" t="n">
        <v>7240.3</v>
      </c>
      <c r="AC21" t="n">
        <v>7126</v>
      </c>
      <c r="AD21" t="n">
        <v>8860.2</v>
      </c>
      <c r="AE21" t="n">
        <v>7923</v>
      </c>
      <c r="AF21" t="n">
        <v>9642.2</v>
      </c>
    </row>
    <row r="22">
      <c r="A22" t="s">
        <v>36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701.2</v>
      </c>
      <c r="H22" t="n">
        <v>731.8</v>
      </c>
      <c r="I22" t="n">
        <v>827.2</v>
      </c>
      <c r="J22" t="n">
        <v>945.8</v>
      </c>
      <c r="K22" t="n">
        <v>1215.9</v>
      </c>
      <c r="L22" t="n">
        <v>1336.7</v>
      </c>
      <c r="M22" t="n">
        <v>1399.6</v>
      </c>
      <c r="N22" t="n">
        <v>1743.5</v>
      </c>
      <c r="O22" t="n">
        <v>1520.2</v>
      </c>
      <c r="P22" t="n">
        <v>1417.3</v>
      </c>
      <c r="Q22" t="n">
        <v>1562.7</v>
      </c>
      <c r="R22" t="n">
        <v>1593.7</v>
      </c>
      <c r="S22" t="n">
        <v>1458.8</v>
      </c>
      <c r="T22" t="n">
        <v>1501.4</v>
      </c>
      <c r="U22" t="n">
        <v>1619.8</v>
      </c>
      <c r="V22" t="n">
        <v>1735.8</v>
      </c>
      <c r="W22" t="n">
        <v>1446.6</v>
      </c>
      <c r="X22" t="n">
        <v>1403.9</v>
      </c>
      <c r="Y22" t="n">
        <v>1201.7</v>
      </c>
      <c r="Z22" t="n">
        <v>1395.7</v>
      </c>
      <c r="AA22" t="n">
        <v>1463.5</v>
      </c>
      <c r="AB22" t="n">
        <v>1855.3</v>
      </c>
      <c r="AC22" t="n">
        <v>1282.2</v>
      </c>
      <c r="AD22" t="n">
        <v>1426.9</v>
      </c>
      <c r="AE22" t="n">
        <v>1070.9</v>
      </c>
      <c r="AF22" t="n">
        <v>1898.4</v>
      </c>
    </row>
    <row r="23">
      <c r="A23" t="s">
        <v>36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522.3</v>
      </c>
      <c r="H23" t="n">
        <v>725.7</v>
      </c>
      <c r="I23" t="n">
        <v>737.8</v>
      </c>
      <c r="J23" t="n">
        <v>823.8</v>
      </c>
      <c r="K23" t="n">
        <v>949.5</v>
      </c>
      <c r="L23" t="n">
        <v>962.2</v>
      </c>
      <c r="M23" t="n">
        <v>1231.4</v>
      </c>
      <c r="N23" t="n">
        <v>1443.3</v>
      </c>
      <c r="O23" t="n">
        <v>1142.8</v>
      </c>
      <c r="P23" t="n">
        <v>1330.5</v>
      </c>
      <c r="Q23" t="n">
        <v>1262.6</v>
      </c>
      <c r="R23" t="n">
        <v>1431.3</v>
      </c>
      <c r="S23" t="n">
        <v>1441.4</v>
      </c>
      <c r="T23" t="n">
        <v>1216.6</v>
      </c>
      <c r="U23" t="n">
        <v>1346.9</v>
      </c>
      <c r="V23" t="n">
        <v>1410.1</v>
      </c>
      <c r="W23" t="n">
        <v>1449.2</v>
      </c>
      <c r="X23" t="n">
        <v>821.1</v>
      </c>
      <c r="Y23" t="n">
        <v>979.4</v>
      </c>
      <c r="Z23" t="n">
        <v>1107.4</v>
      </c>
      <c r="AA23" t="n">
        <v>861.7</v>
      </c>
      <c r="AB23" t="n">
        <v>1138.6</v>
      </c>
      <c r="AC23" t="n">
        <v>944.4</v>
      </c>
      <c r="AD23" t="n">
        <v>1174.5</v>
      </c>
      <c r="AE23" t="n">
        <v>1298</v>
      </c>
      <c r="AF23" t="n">
        <v>1124.1</v>
      </c>
    </row>
    <row r="24">
      <c r="A24" t="s">
        <v>36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2006.9</v>
      </c>
      <c r="H24" t="n">
        <v>1929.1</v>
      </c>
      <c r="I24" t="n">
        <v>2210.2</v>
      </c>
      <c r="J24" t="n">
        <v>2906.7</v>
      </c>
      <c r="K24" t="n">
        <v>2426.3</v>
      </c>
      <c r="L24" t="n">
        <v>2737.4</v>
      </c>
      <c r="M24" t="n">
        <v>3537.7</v>
      </c>
      <c r="N24" t="n">
        <v>3686.8</v>
      </c>
      <c r="O24" t="n">
        <v>3484.5</v>
      </c>
      <c r="P24" t="n">
        <v>3673.5</v>
      </c>
      <c r="Q24" t="n">
        <v>3777</v>
      </c>
      <c r="R24" t="n">
        <v>3789.5</v>
      </c>
      <c r="S24" t="n">
        <v>3305.6</v>
      </c>
      <c r="T24" t="n">
        <v>3543.3</v>
      </c>
      <c r="U24" t="n">
        <v>3688.7</v>
      </c>
      <c r="V24" t="n">
        <v>3946</v>
      </c>
      <c r="W24" t="n">
        <v>3520.5</v>
      </c>
      <c r="X24" t="n">
        <v>3769.1</v>
      </c>
      <c r="Y24" t="n">
        <v>2882.6</v>
      </c>
      <c r="Z24" t="n">
        <v>3153.8</v>
      </c>
      <c r="AA24" t="n">
        <v>3937.9</v>
      </c>
      <c r="AB24" t="n">
        <v>4027.6</v>
      </c>
      <c r="AC24" t="n">
        <v>4255.4</v>
      </c>
      <c r="AD24" t="n">
        <v>4374.7</v>
      </c>
      <c r="AE24" t="n">
        <v>3973.7</v>
      </c>
      <c r="AF24" t="n">
        <v>4783.9</v>
      </c>
    </row>
    <row r="25">
      <c r="A25" t="s">
        <v>36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36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36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36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6810.7</v>
      </c>
      <c r="H28" t="n">
        <v>6726.4</v>
      </c>
      <c r="I28" t="n">
        <v>6654.4</v>
      </c>
      <c r="J28" t="n">
        <v>7225.5</v>
      </c>
      <c r="K28" t="n">
        <v>8718.3</v>
      </c>
      <c r="L28" t="n">
        <v>9177.4</v>
      </c>
      <c r="M28" t="n">
        <v>10585.8</v>
      </c>
      <c r="N28" t="n">
        <v>10458.9</v>
      </c>
      <c r="O28" t="n">
        <v>12569.9</v>
      </c>
      <c r="P28" t="n">
        <v>14322.3</v>
      </c>
      <c r="Q28" t="n">
        <v>13812.9</v>
      </c>
      <c r="R28" t="n">
        <v>14123</v>
      </c>
      <c r="S28" t="n">
        <v>14017.7</v>
      </c>
      <c r="T28" t="n">
        <v>12471.1</v>
      </c>
      <c r="U28" t="n">
        <v>13746.2</v>
      </c>
      <c r="V28" t="n">
        <v>14629.4</v>
      </c>
      <c r="W28" t="n">
        <v>12507.4</v>
      </c>
      <c r="X28" t="n">
        <v>10570.6</v>
      </c>
      <c r="Y28" t="n">
        <v>9520.7</v>
      </c>
      <c r="Z28" t="n">
        <v>11461.7</v>
      </c>
      <c r="AA28" t="n">
        <v>12520.3</v>
      </c>
      <c r="AB28" t="n">
        <v>9230.6</v>
      </c>
      <c r="AC28" t="n">
        <v>10560.7</v>
      </c>
      <c r="AD28" t="n">
        <v>9752.5</v>
      </c>
      <c r="AE28" t="n">
        <v>10371.9</v>
      </c>
      <c r="AF28" t="n">
        <v>13514.3</v>
      </c>
    </row>
    <row r="29">
      <c r="A29" t="s">
        <v>36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36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36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36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36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36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1898.1</v>
      </c>
      <c r="H34" t="n">
        <v>2253.2</v>
      </c>
      <c r="I34" t="n">
        <v>2212</v>
      </c>
      <c r="J34" t="n">
        <v>2111.8</v>
      </c>
      <c r="K34" t="n">
        <v>2714.7</v>
      </c>
      <c r="L34" t="n">
        <v>3106.5</v>
      </c>
      <c r="M34" t="n">
        <v>2882.5</v>
      </c>
      <c r="N34" t="n">
        <v>3460.5</v>
      </c>
      <c r="O34" t="n">
        <v>2996.1</v>
      </c>
      <c r="P34" t="n">
        <v>2967.4</v>
      </c>
      <c r="Q34" t="n">
        <v>3644.3</v>
      </c>
      <c r="R34" t="n">
        <v>3324</v>
      </c>
      <c r="S34" t="n">
        <v>4490</v>
      </c>
      <c r="T34" t="n">
        <v>2802.2</v>
      </c>
      <c r="U34" t="n">
        <v>3166.2</v>
      </c>
      <c r="V34" t="n">
        <v>3374.7</v>
      </c>
      <c r="W34" t="n">
        <v>2157.4</v>
      </c>
      <c r="X34" t="n">
        <v>1036.8</v>
      </c>
      <c r="Y34" t="n">
        <v>1390.4</v>
      </c>
      <c r="Z34" t="n">
        <v>2438.1</v>
      </c>
      <c r="AA34" t="n">
        <v>1437.8</v>
      </c>
      <c r="AB34" t="n">
        <v>2719.8</v>
      </c>
      <c r="AC34" t="n">
        <v>1706.4</v>
      </c>
      <c r="AD34" t="n">
        <v>1396.5</v>
      </c>
      <c r="AE34" t="n">
        <v>1040.6</v>
      </c>
      <c r="AF34" t="n">
        <v>2175.4</v>
      </c>
    </row>
    <row r="35">
      <c r="A35" t="s">
        <v>36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1548.7</v>
      </c>
      <c r="H35" t="n">
        <v>1548.8</v>
      </c>
      <c r="I35" t="n">
        <v>1465.8</v>
      </c>
      <c r="J35" t="n">
        <v>1579</v>
      </c>
      <c r="K35" t="n">
        <v>1515.1</v>
      </c>
      <c r="L35" t="n">
        <v>2256.6</v>
      </c>
      <c r="M35" t="n">
        <v>1544.2</v>
      </c>
      <c r="N35" t="n">
        <v>1734.4</v>
      </c>
      <c r="O35" t="n">
        <v>1857.3</v>
      </c>
      <c r="P35" t="n">
        <v>2319.2</v>
      </c>
      <c r="Q35" t="n">
        <v>2296.1</v>
      </c>
      <c r="R35" t="n">
        <v>2197.9</v>
      </c>
      <c r="S35" t="n">
        <v>1841</v>
      </c>
      <c r="T35" t="n">
        <v>1484.9</v>
      </c>
      <c r="U35" t="n">
        <v>1926.7</v>
      </c>
      <c r="V35" t="n">
        <v>2049.5</v>
      </c>
      <c r="W35" t="n">
        <v>1954.4</v>
      </c>
      <c r="X35" t="n">
        <v>1421.6</v>
      </c>
      <c r="Y35" t="n">
        <v>2259.5</v>
      </c>
      <c r="Z35" t="n">
        <v>2192.9</v>
      </c>
      <c r="AA35" t="n">
        <v>2987.6</v>
      </c>
      <c r="AB35" t="n">
        <v>3444.8</v>
      </c>
      <c r="AC35" t="n">
        <v>3349.7</v>
      </c>
      <c r="AD35" t="n">
        <v>4089.7</v>
      </c>
      <c r="AE35" t="n">
        <v>3557.8</v>
      </c>
      <c r="AF35" t="n">
        <v>2504.4</v>
      </c>
    </row>
    <row r="36">
      <c r="A36" t="s">
        <v>36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76.3</v>
      </c>
      <c r="H36" t="n">
        <v>83.3</v>
      </c>
      <c r="I36" t="n">
        <v>102</v>
      </c>
      <c r="J36" t="n">
        <v>97.2</v>
      </c>
      <c r="K36" t="n">
        <v>114</v>
      </c>
      <c r="L36" t="n">
        <v>137.8</v>
      </c>
      <c r="M36" t="n">
        <v>168.8</v>
      </c>
      <c r="N36" t="n">
        <v>171.3</v>
      </c>
      <c r="O36" t="n">
        <v>155.5</v>
      </c>
      <c r="P36" t="n">
        <v>161.9</v>
      </c>
      <c r="Q36" t="n">
        <v>153.9</v>
      </c>
      <c r="R36" t="n">
        <v>180.1</v>
      </c>
      <c r="S36" t="n">
        <v>211.4</v>
      </c>
      <c r="T36" t="n">
        <v>123.7</v>
      </c>
      <c r="U36" t="n">
        <v>165.6</v>
      </c>
      <c r="V36" t="n">
        <v>176.5</v>
      </c>
      <c r="W36" t="n">
        <v>95.2</v>
      </c>
      <c r="X36" t="n">
        <v>117.9</v>
      </c>
      <c r="Y36" t="n">
        <v>77.1</v>
      </c>
      <c r="Z36" t="n">
        <v>118.2</v>
      </c>
      <c r="AA36" t="n">
        <v>94.3</v>
      </c>
      <c r="AB36" t="n">
        <v>122.6</v>
      </c>
      <c r="AC36" t="n">
        <v>119.2</v>
      </c>
      <c r="AD36" t="n">
        <v>103.2</v>
      </c>
      <c r="AE36" t="n">
        <v>109</v>
      </c>
      <c r="AF36" t="n">
        <v>95.1</v>
      </c>
    </row>
    <row r="37">
      <c r="A37" t="s">
        <v>36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1345.8</v>
      </c>
      <c r="H37" t="n">
        <v>1302.1</v>
      </c>
      <c r="I37" t="n">
        <v>1261.1</v>
      </c>
      <c r="J37" t="n">
        <v>1312.5</v>
      </c>
      <c r="K37" t="n">
        <v>1270.9</v>
      </c>
      <c r="L37" t="n">
        <v>1989.5</v>
      </c>
      <c r="M37" t="n">
        <v>1190.5</v>
      </c>
      <c r="N37" t="n">
        <v>1407.9</v>
      </c>
      <c r="O37" t="n">
        <v>1524</v>
      </c>
      <c r="P37" t="n">
        <v>1973.3</v>
      </c>
      <c r="Q37" t="n">
        <v>1990</v>
      </c>
      <c r="R37" t="n">
        <v>1712.2</v>
      </c>
      <c r="S37" t="n">
        <v>1498.1</v>
      </c>
      <c r="T37" t="n">
        <v>1196.8</v>
      </c>
      <c r="U37" t="n">
        <v>1591.4</v>
      </c>
      <c r="V37" t="n">
        <v>1703.2</v>
      </c>
      <c r="W37" t="n">
        <v>1762.5</v>
      </c>
      <c r="X37" t="n">
        <v>1121.4</v>
      </c>
      <c r="Y37" t="n">
        <v>2074.5</v>
      </c>
      <c r="Z37" t="n">
        <v>1979.4</v>
      </c>
      <c r="AA37" t="n">
        <v>2681.5</v>
      </c>
      <c r="AB37" t="n">
        <v>3138.1</v>
      </c>
      <c r="AC37" t="n">
        <v>3097.5</v>
      </c>
      <c r="AD37" t="n">
        <v>3863</v>
      </c>
      <c r="AE37" t="n">
        <v>3299.7</v>
      </c>
      <c r="AF37" t="n">
        <v>2132.3</v>
      </c>
    </row>
    <row r="38">
      <c r="A38" t="s">
        <v>36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126.6</v>
      </c>
      <c r="H38" t="n">
        <v>163.4</v>
      </c>
      <c r="I38" t="n">
        <v>102.7</v>
      </c>
      <c r="J38" t="n">
        <v>169.3</v>
      </c>
      <c r="K38" t="n">
        <v>130.2</v>
      </c>
      <c r="L38" t="n">
        <v>129.3</v>
      </c>
      <c r="M38" t="n">
        <v>184.9</v>
      </c>
      <c r="N38" t="n">
        <v>155.2</v>
      </c>
      <c r="O38" t="n">
        <v>177.8</v>
      </c>
      <c r="P38" t="n">
        <v>184</v>
      </c>
      <c r="Q38" t="n">
        <v>152.2</v>
      </c>
      <c r="R38" t="n">
        <v>305.6</v>
      </c>
      <c r="S38" t="n">
        <v>131.5</v>
      </c>
      <c r="T38" t="n">
        <v>164.4</v>
      </c>
      <c r="U38" t="n">
        <v>169.7</v>
      </c>
      <c r="V38" t="n">
        <v>169.8</v>
      </c>
      <c r="W38" t="n">
        <v>96.7</v>
      </c>
      <c r="X38" t="n">
        <v>182.3</v>
      </c>
      <c r="Y38" t="n">
        <v>107.9</v>
      </c>
      <c r="Z38" t="n">
        <v>95.3</v>
      </c>
      <c r="AA38" t="n">
        <v>211.8</v>
      </c>
      <c r="AB38" t="n">
        <v>184.1</v>
      </c>
      <c r="AC38" t="n">
        <v>133</v>
      </c>
      <c r="AD38" t="n">
        <v>123.5</v>
      </c>
      <c r="AE38" t="n">
        <v>149.1</v>
      </c>
      <c r="AF38" t="n">
        <v>277</v>
      </c>
    </row>
    <row r="39">
      <c r="A39" t="s">
        <v>36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2634.5</v>
      </c>
      <c r="H39" t="n">
        <v>2546.1</v>
      </c>
      <c r="I39" t="n">
        <v>2598.2</v>
      </c>
      <c r="J39" t="n">
        <v>1476.8</v>
      </c>
      <c r="K39" t="n">
        <v>2071.3</v>
      </c>
      <c r="L39" t="n">
        <v>2420.9</v>
      </c>
      <c r="M39" t="n">
        <v>2722.2</v>
      </c>
      <c r="N39" t="n">
        <v>1599.3</v>
      </c>
      <c r="O39" t="n">
        <v>2004.5</v>
      </c>
      <c r="P39" t="n">
        <v>1307.1</v>
      </c>
      <c r="Q39" t="n">
        <v>1507.4</v>
      </c>
      <c r="R39" t="n">
        <v>2436.6</v>
      </c>
      <c r="S39" t="n">
        <v>1891.9</v>
      </c>
      <c r="T39" t="n">
        <v>1530.4</v>
      </c>
      <c r="U39" t="n">
        <v>2248.5</v>
      </c>
      <c r="V39" t="n">
        <v>1960.7</v>
      </c>
      <c r="W39" t="n">
        <v>1442.4</v>
      </c>
      <c r="X39" t="n">
        <v>1471.1</v>
      </c>
      <c r="Y39" t="n">
        <v>1822.8</v>
      </c>
      <c r="Z39" t="n">
        <v>1803.1</v>
      </c>
      <c r="AA39" t="n">
        <v>1846.1</v>
      </c>
      <c r="AB39" t="n">
        <v>2958</v>
      </c>
      <c r="AC39" t="n">
        <v>3022</v>
      </c>
      <c r="AD39" t="n">
        <v>3333.4</v>
      </c>
      <c r="AE39" t="n">
        <v>3037.5</v>
      </c>
      <c r="AF39" t="n">
        <v>3947.1</v>
      </c>
    </row>
    <row r="40">
      <c r="A40" t="s">
        <v>36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6294.6</v>
      </c>
      <c r="H40" t="n">
        <v>6639</v>
      </c>
      <c r="I40" t="n">
        <v>6345.2</v>
      </c>
      <c r="J40" t="n">
        <v>7583</v>
      </c>
      <c r="K40" t="n">
        <v>7866</v>
      </c>
      <c r="L40" t="n">
        <v>8528</v>
      </c>
      <c r="M40" t="n">
        <v>10146.5</v>
      </c>
      <c r="N40" t="n">
        <v>10156</v>
      </c>
      <c r="O40" t="n">
        <v>10080</v>
      </c>
      <c r="P40" t="n">
        <v>10732.4</v>
      </c>
      <c r="Q40" t="n">
        <v>11421.9</v>
      </c>
      <c r="R40" t="n">
        <v>11887.1</v>
      </c>
      <c r="S40" t="n">
        <v>11224.9</v>
      </c>
      <c r="T40" t="n">
        <v>10826</v>
      </c>
      <c r="U40" t="n">
        <v>10297.9</v>
      </c>
      <c r="V40" t="n">
        <v>10564.3</v>
      </c>
      <c r="W40" t="n">
        <v>11716.1</v>
      </c>
      <c r="X40" t="n">
        <v>10943.6</v>
      </c>
      <c r="Y40" t="n">
        <v>10494.1</v>
      </c>
      <c r="Z40" t="n">
        <v>8311</v>
      </c>
      <c r="AA40" t="n">
        <v>9188.5</v>
      </c>
      <c r="AB40" t="n">
        <v>11288.3</v>
      </c>
      <c r="AC40" t="n">
        <v>11738.1</v>
      </c>
      <c r="AD40" t="n">
        <v>13551.9</v>
      </c>
      <c r="AE40" t="n">
        <v>11888.3</v>
      </c>
      <c r="AF40" t="n">
        <v>14077.3</v>
      </c>
    </row>
    <row r="41">
      <c r="A41" t="s">
        <v>36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36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716.5</v>
      </c>
      <c r="H42" t="n">
        <v>819.5</v>
      </c>
      <c r="I42" t="n">
        <v>711.7</v>
      </c>
      <c r="J42" t="n">
        <v>950.8</v>
      </c>
      <c r="K42" t="n">
        <v>988.5</v>
      </c>
      <c r="L42" t="n">
        <v>970.2</v>
      </c>
      <c r="M42" t="n">
        <v>1127.6</v>
      </c>
      <c r="N42" t="n">
        <v>1161.2</v>
      </c>
      <c r="O42" t="n">
        <v>1002.2</v>
      </c>
      <c r="P42" t="n">
        <v>1145.5</v>
      </c>
      <c r="Q42" t="n">
        <v>1086.5</v>
      </c>
      <c r="R42" t="n">
        <v>1207.2</v>
      </c>
      <c r="S42" t="n">
        <v>1074.4</v>
      </c>
      <c r="T42" t="n">
        <v>1103.6</v>
      </c>
      <c r="U42" t="n">
        <v>1040.1</v>
      </c>
      <c r="V42" t="n">
        <v>1074.4</v>
      </c>
      <c r="W42" t="n">
        <v>2070.9</v>
      </c>
      <c r="X42" t="n">
        <v>1939.5</v>
      </c>
      <c r="Y42" t="n">
        <v>1281.3</v>
      </c>
      <c r="Z42" t="n">
        <v>881.2</v>
      </c>
      <c r="AA42" t="n">
        <v>824.6</v>
      </c>
      <c r="AB42" t="n">
        <v>645.4</v>
      </c>
      <c r="AC42" t="n">
        <v>820.2</v>
      </c>
      <c r="AD42" t="n">
        <v>767.5</v>
      </c>
      <c r="AE42" t="n">
        <v>849.1</v>
      </c>
      <c r="AF42" t="n">
        <v>992.8</v>
      </c>
    </row>
    <row r="43">
      <c r="A43" t="s">
        <v>36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867.1</v>
      </c>
      <c r="H43" t="n">
        <v>1009.1</v>
      </c>
      <c r="I43" t="n">
        <v>840.7</v>
      </c>
      <c r="J43" t="n">
        <v>1153.4</v>
      </c>
      <c r="K43" t="n">
        <v>1174.7</v>
      </c>
      <c r="L43" t="n">
        <v>1160.7</v>
      </c>
      <c r="M43" t="n">
        <v>1355.5</v>
      </c>
      <c r="N43" t="n">
        <v>1420.5</v>
      </c>
      <c r="O43" t="n">
        <v>1222.2</v>
      </c>
      <c r="P43" t="n">
        <v>1388.5</v>
      </c>
      <c r="Q43" t="n">
        <v>1338.8</v>
      </c>
      <c r="R43" t="n">
        <v>1474.7</v>
      </c>
      <c r="S43" t="n">
        <v>1380.9</v>
      </c>
      <c r="T43" t="n">
        <v>1320.8</v>
      </c>
      <c r="U43" t="n">
        <v>1300.2</v>
      </c>
      <c r="V43" t="n">
        <v>1373.6</v>
      </c>
      <c r="W43" t="n">
        <v>2260.9</v>
      </c>
      <c r="X43" t="n">
        <v>2235</v>
      </c>
      <c r="Y43" t="n">
        <v>1856.3</v>
      </c>
      <c r="Z43" t="n">
        <v>1086.2</v>
      </c>
      <c r="AA43" t="n">
        <v>1031.2</v>
      </c>
      <c r="AB43" t="n">
        <v>889.7</v>
      </c>
      <c r="AC43" t="n">
        <v>1099.9</v>
      </c>
      <c r="AD43" t="n">
        <v>971.5</v>
      </c>
      <c r="AE43" t="n">
        <v>1048</v>
      </c>
      <c r="AF43" t="n">
        <v>1288.1</v>
      </c>
    </row>
    <row r="44">
      <c r="A44" t="s">
        <v>36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29419.3</v>
      </c>
      <c r="H44" t="n">
        <v>29784.9</v>
      </c>
      <c r="I44" t="n">
        <v>30304.2</v>
      </c>
      <c r="J44" t="n">
        <v>31612.2</v>
      </c>
      <c r="K44" t="n">
        <v>36046.2</v>
      </c>
      <c r="L44" t="n">
        <v>39972.5</v>
      </c>
      <c r="M44" t="n">
        <v>44031</v>
      </c>
      <c r="N44" t="n">
        <v>46834.8</v>
      </c>
      <c r="O44" t="n">
        <v>47184.3</v>
      </c>
      <c r="P44" t="n">
        <v>48207.3</v>
      </c>
      <c r="Q44" t="n">
        <v>49595.2</v>
      </c>
      <c r="R44" t="n">
        <v>52555.6</v>
      </c>
      <c r="S44" t="n">
        <v>52109.2</v>
      </c>
      <c r="T44" t="n">
        <v>45249.7</v>
      </c>
      <c r="U44" t="n">
        <v>44055.7</v>
      </c>
      <c r="V44" t="n">
        <v>50284.6</v>
      </c>
      <c r="W44" t="n">
        <v>42650.6</v>
      </c>
      <c r="X44" t="n">
        <v>36174.3</v>
      </c>
      <c r="Y44" t="n">
        <v>35431</v>
      </c>
      <c r="Z44" t="n">
        <v>37341</v>
      </c>
      <c r="AA44" t="n">
        <v>39146.2</v>
      </c>
      <c r="AB44" t="n">
        <v>39500.1</v>
      </c>
      <c r="AC44" t="n">
        <v>41494</v>
      </c>
      <c r="AD44" t="n">
        <v>42264.9</v>
      </c>
      <c r="AE44" t="n">
        <v>40852.5</v>
      </c>
      <c r="AF44" t="n">
        <v>48185.9</v>
      </c>
    </row>
    <row r="45">
      <c r="A45" t="s">
        <v>36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28176.6</v>
      </c>
      <c r="H45" t="n">
        <v>28421.2</v>
      </c>
      <c r="I45" t="n">
        <v>28905.8</v>
      </c>
      <c r="J45" t="n">
        <v>29949.8</v>
      </c>
      <c r="K45" t="n">
        <v>34094.4</v>
      </c>
      <c r="L45" t="n">
        <v>38047.4</v>
      </c>
      <c r="M45" t="n">
        <v>41872.1</v>
      </c>
      <c r="N45" t="n">
        <v>44500.5</v>
      </c>
      <c r="O45" t="n">
        <v>44996.6</v>
      </c>
      <c r="P45" t="n">
        <v>45701.2</v>
      </c>
      <c r="Q45" t="n">
        <v>46762.4</v>
      </c>
      <c r="R45" t="n">
        <v>49944.2</v>
      </c>
      <c r="S45" t="n">
        <v>49599.5</v>
      </c>
      <c r="T45" t="n">
        <v>43108.6</v>
      </c>
      <c r="U45" t="n">
        <v>42124</v>
      </c>
      <c r="V45" t="n">
        <v>47664.8</v>
      </c>
      <c r="W45" t="n">
        <v>40157.1</v>
      </c>
      <c r="X45" t="n">
        <v>34504.7</v>
      </c>
      <c r="Y45" t="n">
        <v>34115.8</v>
      </c>
      <c r="Z45" t="n">
        <v>35953.4</v>
      </c>
      <c r="AA45" t="n">
        <v>37581.1</v>
      </c>
      <c r="AB45" t="n">
        <v>37475.3</v>
      </c>
      <c r="AC45" t="n">
        <v>39167.8</v>
      </c>
      <c r="AD45" t="n">
        <v>39711.6</v>
      </c>
      <c r="AE45" t="n">
        <v>38479.1</v>
      </c>
      <c r="AF45" t="n">
        <v>45790.6</v>
      </c>
    </row>
    <row r="46">
      <c r="A46" t="s">
        <v>36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150.6</v>
      </c>
      <c r="H46" t="n">
        <v>189.6</v>
      </c>
      <c r="I46" t="n">
        <v>129</v>
      </c>
      <c r="J46" t="n">
        <v>202.6</v>
      </c>
      <c r="K46" t="n">
        <v>186.2</v>
      </c>
      <c r="L46" t="n">
        <v>190.5</v>
      </c>
      <c r="M46" t="n">
        <v>227.9</v>
      </c>
      <c r="N46" t="n">
        <v>259.3</v>
      </c>
      <c r="O46" t="n">
        <v>220</v>
      </c>
      <c r="P46" t="n">
        <v>243</v>
      </c>
      <c r="Q46" t="n">
        <v>252.3</v>
      </c>
      <c r="R46" t="n">
        <v>267.5</v>
      </c>
      <c r="S46" t="n">
        <v>306.5</v>
      </c>
      <c r="T46" t="n">
        <v>217.2</v>
      </c>
      <c r="U46" t="n">
        <v>260.1</v>
      </c>
      <c r="V46" t="n">
        <v>299.2</v>
      </c>
      <c r="W46" t="n">
        <v>190</v>
      </c>
      <c r="X46" t="n">
        <v>295.5</v>
      </c>
      <c r="Y46" t="n">
        <v>575</v>
      </c>
      <c r="Z46" t="n">
        <v>205</v>
      </c>
      <c r="AA46" t="n">
        <v>206.6</v>
      </c>
      <c r="AB46" t="n">
        <v>244.3</v>
      </c>
      <c r="AC46" t="n">
        <v>279.7</v>
      </c>
      <c r="AD46" t="n">
        <v>204</v>
      </c>
      <c r="AE46" t="n">
        <v>198.9</v>
      </c>
      <c r="AF46" t="n">
        <v>295.3</v>
      </c>
    </row>
    <row r="47">
      <c r="A47" t="s">
        <v>36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12499.5</v>
      </c>
      <c r="H47" t="n">
        <v>13064.3</v>
      </c>
      <c r="I47" t="n">
        <v>14462.4</v>
      </c>
      <c r="J47" t="n">
        <v>15560.4</v>
      </c>
      <c r="K47" t="n">
        <v>14977.1</v>
      </c>
      <c r="L47" t="n">
        <v>16463</v>
      </c>
      <c r="M47" t="n">
        <v>18150.7</v>
      </c>
      <c r="N47" t="n">
        <v>18916.1</v>
      </c>
      <c r="O47" t="n">
        <v>22120.7</v>
      </c>
      <c r="P47" t="n">
        <v>20917.2</v>
      </c>
      <c r="Q47" t="n">
        <v>20881.4</v>
      </c>
      <c r="R47" t="n">
        <v>20623.5</v>
      </c>
      <c r="S47" t="n">
        <v>20862</v>
      </c>
      <c r="T47" t="n">
        <v>22725.7</v>
      </c>
      <c r="U47" t="n">
        <v>18321.1</v>
      </c>
      <c r="V47" t="n">
        <v>16739.6</v>
      </c>
      <c r="W47" t="n">
        <v>16765.9</v>
      </c>
      <c r="X47" t="n">
        <v>15837.5</v>
      </c>
      <c r="Y47" t="n">
        <v>14324.7</v>
      </c>
      <c r="Z47" t="n">
        <v>14932.6</v>
      </c>
      <c r="AA47" t="n">
        <v>12193.4</v>
      </c>
      <c r="AB47" t="n">
        <v>11346.9</v>
      </c>
      <c r="AC47" t="n">
        <v>11121.8</v>
      </c>
      <c r="AD47" t="n">
        <v>13712.9</v>
      </c>
      <c r="AE47" t="n">
        <v>13567</v>
      </c>
      <c r="AF47" t="n">
        <v>14176.5</v>
      </c>
    </row>
    <row r="48">
      <c r="A48" t="s">
        <v>36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14754.6</v>
      </c>
      <c r="H48" t="n">
        <v>15527.1</v>
      </c>
      <c r="I48" t="n">
        <v>17215.7</v>
      </c>
      <c r="J48" t="n">
        <v>18607.5</v>
      </c>
      <c r="K48" t="n">
        <v>18573.8</v>
      </c>
      <c r="L48" t="n">
        <v>20238.6</v>
      </c>
      <c r="M48" t="n">
        <v>22286.2</v>
      </c>
      <c r="N48" t="n">
        <v>23227.9</v>
      </c>
      <c r="O48" t="n">
        <v>26325.5</v>
      </c>
      <c r="P48" t="n">
        <v>25428.6</v>
      </c>
      <c r="Q48" t="n">
        <v>25706.9</v>
      </c>
      <c r="R48" t="n">
        <v>25494.1</v>
      </c>
      <c r="S48" t="n">
        <v>25250.1</v>
      </c>
      <c r="T48" t="n">
        <v>27697.6</v>
      </c>
      <c r="U48" t="n">
        <v>23430</v>
      </c>
      <c r="V48" t="n">
        <v>21221.5</v>
      </c>
      <c r="W48" t="n">
        <v>20992.8</v>
      </c>
      <c r="X48" t="n">
        <v>19459.2</v>
      </c>
      <c r="Y48" t="n">
        <v>17053.8</v>
      </c>
      <c r="Z48" t="n">
        <v>17502.2</v>
      </c>
      <c r="AA48" t="n">
        <v>14349.9</v>
      </c>
      <c r="AB48" t="n">
        <v>13212</v>
      </c>
      <c r="AC48" t="n">
        <v>12874.4</v>
      </c>
      <c r="AD48" t="n">
        <v>15468.9</v>
      </c>
      <c r="AE48" t="n">
        <v>15297.6</v>
      </c>
      <c r="AF48" t="n">
        <v>16749.1</v>
      </c>
    </row>
    <row r="49">
      <c r="A49" t="s">
        <v>36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800.4</v>
      </c>
      <c r="H49" t="n">
        <v>840.8</v>
      </c>
      <c r="I49" t="n">
        <v>1004.4</v>
      </c>
      <c r="J49" t="n">
        <v>1105.1</v>
      </c>
      <c r="K49" t="n">
        <v>1258</v>
      </c>
      <c r="L49" t="n">
        <v>1272.5</v>
      </c>
      <c r="M49" t="n">
        <v>1495</v>
      </c>
      <c r="N49" t="n">
        <v>1498.5</v>
      </c>
      <c r="O49" t="n">
        <v>1650.3</v>
      </c>
      <c r="P49" t="n">
        <v>1547.6</v>
      </c>
      <c r="Q49" t="n">
        <v>1513.1</v>
      </c>
      <c r="R49" t="n">
        <v>1467.7</v>
      </c>
      <c r="S49" t="n">
        <v>1320.1</v>
      </c>
      <c r="T49" t="n">
        <v>1339.4</v>
      </c>
      <c r="U49" t="n">
        <v>1271.4</v>
      </c>
      <c r="V49" t="n">
        <v>1257.6</v>
      </c>
      <c r="W49" t="n">
        <v>1173.7</v>
      </c>
      <c r="X49" t="n">
        <v>1304.1</v>
      </c>
      <c r="Y49" t="n">
        <v>1102</v>
      </c>
      <c r="Z49" t="n">
        <v>1104.6</v>
      </c>
      <c r="AA49" t="n">
        <v>931.7</v>
      </c>
      <c r="AB49" t="n">
        <v>589.5</v>
      </c>
      <c r="AC49" t="n">
        <v>606.5</v>
      </c>
      <c r="AD49" t="n">
        <v>586.6</v>
      </c>
      <c r="AE49" t="n">
        <v>496.2</v>
      </c>
      <c r="AF49" t="n">
        <v>733.6</v>
      </c>
    </row>
    <row r="50">
      <c r="A50" t="s">
        <v>36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1454.7</v>
      </c>
      <c r="H50" t="n">
        <v>1622.1</v>
      </c>
      <c r="I50" t="n">
        <v>1748.9</v>
      </c>
      <c r="J50" t="n">
        <v>1942</v>
      </c>
      <c r="K50" t="n">
        <v>2338.7</v>
      </c>
      <c r="L50" t="n">
        <v>2503.1</v>
      </c>
      <c r="M50" t="n">
        <v>2640.6</v>
      </c>
      <c r="N50" t="n">
        <v>2813.3</v>
      </c>
      <c r="O50" t="n">
        <v>2554.6</v>
      </c>
      <c r="P50" t="n">
        <v>2963.8</v>
      </c>
      <c r="Q50" t="n">
        <v>3312.4</v>
      </c>
      <c r="R50" t="n">
        <v>3403</v>
      </c>
      <c r="S50" t="n">
        <v>3067.9</v>
      </c>
      <c r="T50" t="n">
        <v>3632.5</v>
      </c>
      <c r="U50" t="n">
        <v>3837.4</v>
      </c>
      <c r="V50" t="n">
        <v>3224.3</v>
      </c>
      <c r="W50" t="n">
        <v>3053.2</v>
      </c>
      <c r="X50" t="n">
        <v>2317.5</v>
      </c>
      <c r="Y50" t="n">
        <v>1627.1</v>
      </c>
      <c r="Z50" t="n">
        <v>1465.1</v>
      </c>
      <c r="AA50" t="n">
        <v>1224.7</v>
      </c>
      <c r="AB50" t="n">
        <v>1275.5</v>
      </c>
      <c r="AC50" t="n">
        <v>1146.2</v>
      </c>
      <c r="AD50" t="n">
        <v>1169.3</v>
      </c>
      <c r="AE50" t="n">
        <v>1234.3</v>
      </c>
      <c r="AF50" t="n">
        <v>1839</v>
      </c>
    </row>
    <row r="51">
      <c r="A51" t="s">
        <v>36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1399.7</v>
      </c>
      <c r="H51" t="n">
        <v>1551.6</v>
      </c>
      <c r="I51" t="n">
        <v>1689.5</v>
      </c>
      <c r="J51" t="n">
        <v>1879.9</v>
      </c>
      <c r="K51" t="n">
        <v>2266.6</v>
      </c>
      <c r="L51" t="n">
        <v>2414.3</v>
      </c>
      <c r="M51" t="n">
        <v>2565.9</v>
      </c>
      <c r="N51" t="n">
        <v>2728.3</v>
      </c>
      <c r="O51" t="n">
        <v>2460.5</v>
      </c>
      <c r="P51" t="n">
        <v>2878.9</v>
      </c>
      <c r="Q51" t="n">
        <v>3219</v>
      </c>
      <c r="R51" t="n">
        <v>3298.3</v>
      </c>
      <c r="S51" t="n">
        <v>2992.8</v>
      </c>
      <c r="T51" t="n">
        <v>3548.9</v>
      </c>
      <c r="U51" t="n">
        <v>3739.9</v>
      </c>
      <c r="V51" t="n">
        <v>3118.3</v>
      </c>
      <c r="W51" t="n">
        <v>2962</v>
      </c>
      <c r="X51" t="n">
        <v>2159.3</v>
      </c>
      <c r="Y51" t="n">
        <v>1500.4</v>
      </c>
      <c r="Z51" t="n">
        <v>1378.3</v>
      </c>
      <c r="AA51" t="n">
        <v>1082.8</v>
      </c>
      <c r="AB51" t="n">
        <v>1109</v>
      </c>
      <c r="AC51" t="n">
        <v>1049.9</v>
      </c>
      <c r="AD51" t="n">
        <v>1031.5</v>
      </c>
      <c r="AE51" t="n">
        <v>1117.6</v>
      </c>
      <c r="AF51" t="n">
        <v>1628.1</v>
      </c>
    </row>
    <row r="52">
      <c r="A52" t="s">
        <v>36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55</v>
      </c>
      <c r="H52" t="n">
        <v>70.5</v>
      </c>
      <c r="I52" t="n">
        <v>59.4</v>
      </c>
      <c r="J52" t="n">
        <v>62.1</v>
      </c>
      <c r="K52" t="n">
        <v>72.1</v>
      </c>
      <c r="L52" t="n">
        <v>88.8</v>
      </c>
      <c r="M52" t="n">
        <v>74.7</v>
      </c>
      <c r="N52" t="n">
        <v>85</v>
      </c>
      <c r="O52" t="n">
        <v>94.1</v>
      </c>
      <c r="P52" t="n">
        <v>84.9</v>
      </c>
      <c r="Q52" t="n">
        <v>93.4</v>
      </c>
      <c r="R52" t="n">
        <v>104.7</v>
      </c>
      <c r="S52" t="n">
        <v>75.1</v>
      </c>
      <c r="T52" t="n">
        <v>83.6</v>
      </c>
      <c r="U52" t="n">
        <v>97.5</v>
      </c>
      <c r="V52" t="n">
        <v>106</v>
      </c>
      <c r="W52" t="n">
        <v>91.2</v>
      </c>
      <c r="X52" t="n">
        <v>158.2</v>
      </c>
      <c r="Y52" t="n">
        <v>126.7</v>
      </c>
      <c r="Z52" t="n">
        <v>86.8</v>
      </c>
      <c r="AA52" t="n">
        <v>141.9</v>
      </c>
      <c r="AB52" t="n">
        <v>166.5</v>
      </c>
      <c r="AC52" t="n">
        <v>96.3</v>
      </c>
      <c r="AD52" t="n">
        <v>137.8</v>
      </c>
      <c r="AE52" t="n">
        <v>116.7</v>
      </c>
      <c r="AF52" t="n">
        <v>210.9</v>
      </c>
    </row>
    <row r="53">
      <c r="A53" t="s">
        <v>36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488.7</v>
      </c>
      <c r="H53" t="n">
        <v>542.9</v>
      </c>
      <c r="I53" t="n">
        <v>637.9</v>
      </c>
      <c r="J53" t="n">
        <v>678.3</v>
      </c>
      <c r="K53" t="n">
        <v>661.9</v>
      </c>
      <c r="L53" t="n">
        <v>789</v>
      </c>
      <c r="M53" t="n">
        <v>952.3</v>
      </c>
      <c r="N53" t="n">
        <v>876.5</v>
      </c>
      <c r="O53" t="n">
        <v>990.2</v>
      </c>
      <c r="P53" t="n">
        <v>979.1</v>
      </c>
      <c r="Q53" t="n">
        <v>913.9</v>
      </c>
      <c r="R53" t="n">
        <v>1002.3</v>
      </c>
      <c r="S53" t="n">
        <v>897.2</v>
      </c>
      <c r="T53" t="n">
        <v>985.6</v>
      </c>
      <c r="U53" t="n">
        <v>981.4</v>
      </c>
      <c r="V53" t="n">
        <v>883.3</v>
      </c>
      <c r="W53" t="n">
        <v>506</v>
      </c>
      <c r="X53" t="n">
        <v>382</v>
      </c>
      <c r="Y53" t="n">
        <v>562.1</v>
      </c>
      <c r="Z53" t="n">
        <v>574.9</v>
      </c>
      <c r="AA53" t="n">
        <v>743.7</v>
      </c>
      <c r="AB53" t="n">
        <v>577.3</v>
      </c>
      <c r="AC53" t="n">
        <v>791</v>
      </c>
      <c r="AD53" t="n">
        <v>466.4</v>
      </c>
      <c r="AE53" t="n">
        <v>451.1</v>
      </c>
      <c r="AF53" t="n">
        <v>1149.2</v>
      </c>
    </row>
    <row r="54">
      <c r="A54" t="s">
        <v>36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752.4</v>
      </c>
      <c r="H54" t="n">
        <v>826</v>
      </c>
      <c r="I54" t="n">
        <v>985</v>
      </c>
      <c r="J54" t="n">
        <v>1016.4</v>
      </c>
      <c r="K54" t="n">
        <v>1058.4</v>
      </c>
      <c r="L54" t="n">
        <v>1266.9</v>
      </c>
      <c r="M54" t="n">
        <v>1428.9</v>
      </c>
      <c r="N54" t="n">
        <v>1468.2</v>
      </c>
      <c r="O54" t="n">
        <v>1509.3</v>
      </c>
      <c r="P54" t="n">
        <v>1539.7</v>
      </c>
      <c r="Q54" t="n">
        <v>1434.6</v>
      </c>
      <c r="R54" t="n">
        <v>1619.4</v>
      </c>
      <c r="S54" t="n">
        <v>1414.8</v>
      </c>
      <c r="T54" t="n">
        <v>1433.9</v>
      </c>
      <c r="U54" t="n">
        <v>1519.5</v>
      </c>
      <c r="V54" t="n">
        <v>1453.1</v>
      </c>
      <c r="W54" t="n">
        <v>835.4</v>
      </c>
      <c r="X54" t="n">
        <v>539.4</v>
      </c>
      <c r="Y54" t="n">
        <v>1018.2</v>
      </c>
      <c r="Z54" t="n">
        <v>875.9</v>
      </c>
      <c r="AA54" t="n">
        <v>951.6</v>
      </c>
      <c r="AB54" t="n">
        <v>849.6</v>
      </c>
      <c r="AC54" t="n">
        <v>982.9</v>
      </c>
      <c r="AD54" t="n">
        <v>635.6</v>
      </c>
      <c r="AE54" t="n">
        <v>567.2</v>
      </c>
      <c r="AF54" t="n">
        <v>1389.2</v>
      </c>
    </row>
    <row r="55">
      <c r="A55" t="s">
        <v>36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263.7</v>
      </c>
      <c r="H55" t="n">
        <v>283.1</v>
      </c>
      <c r="I55" t="n">
        <v>347.1</v>
      </c>
      <c r="J55" t="n">
        <v>338.1</v>
      </c>
      <c r="K55" t="n">
        <v>396.5</v>
      </c>
      <c r="L55" t="n">
        <v>477.9</v>
      </c>
      <c r="M55" t="n">
        <v>476.6</v>
      </c>
      <c r="N55" t="n">
        <v>591.7</v>
      </c>
      <c r="O55" t="n">
        <v>519.1</v>
      </c>
      <c r="P55" t="n">
        <v>560.6</v>
      </c>
      <c r="Q55" t="n">
        <v>520.7</v>
      </c>
      <c r="R55" t="n">
        <v>617.1</v>
      </c>
      <c r="S55" t="n">
        <v>517.6</v>
      </c>
      <c r="T55" t="n">
        <v>448.3</v>
      </c>
      <c r="U55" t="n">
        <v>538.1</v>
      </c>
      <c r="V55" t="n">
        <v>569.8</v>
      </c>
      <c r="W55" t="n">
        <v>329.4</v>
      </c>
      <c r="X55" t="n">
        <v>157.4</v>
      </c>
      <c r="Y55" t="n">
        <v>456.1</v>
      </c>
      <c r="Z55" t="n">
        <v>301</v>
      </c>
      <c r="AA55" t="n">
        <v>207.9</v>
      </c>
      <c r="AB55" t="n">
        <v>272.3</v>
      </c>
      <c r="AC55" t="n">
        <v>191.9</v>
      </c>
      <c r="AD55" t="n">
        <v>169.2</v>
      </c>
      <c r="AE55" t="n">
        <v>116.1</v>
      </c>
      <c r="AF55" t="n">
        <v>240</v>
      </c>
    </row>
    <row r="56">
      <c r="A56" t="s">
        <v>36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36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50468.5</v>
      </c>
      <c r="H57" t="n">
        <v>51951.1</v>
      </c>
      <c r="I57" t="n">
        <v>53865.1</v>
      </c>
      <c r="J57" t="n">
        <v>57802.7</v>
      </c>
      <c r="K57" t="n">
        <v>62486</v>
      </c>
      <c r="L57" t="n">
        <v>68739.1</v>
      </c>
      <c r="M57" t="n">
        <v>76463.8</v>
      </c>
      <c r="N57" t="n">
        <v>80218.7</v>
      </c>
      <c r="O57" t="n">
        <v>83589.9</v>
      </c>
      <c r="P57" t="n">
        <v>84368.3</v>
      </c>
      <c r="Q57" t="n">
        <v>86724</v>
      </c>
      <c r="R57" t="n">
        <v>89936.9</v>
      </c>
      <c r="S57" t="n">
        <v>88584.1</v>
      </c>
      <c r="T57" t="n">
        <v>83773.3</v>
      </c>
      <c r="U57" t="n">
        <v>77783.5</v>
      </c>
      <c r="V57" t="n">
        <v>82070.4</v>
      </c>
      <c r="W57" t="n">
        <v>75359.5</v>
      </c>
      <c r="X57" t="n">
        <v>66577</v>
      </c>
      <c r="Y57" t="n">
        <v>62978.9</v>
      </c>
      <c r="Z57" t="n">
        <v>63154.3</v>
      </c>
      <c r="AA57" t="n">
        <v>62684.5</v>
      </c>
      <c r="AB57" t="n">
        <v>64000.3</v>
      </c>
      <c r="AC57" t="n">
        <v>66106.6</v>
      </c>
      <c r="AD57" t="n">
        <v>71285.6</v>
      </c>
      <c r="AE57" t="n">
        <v>68038.3</v>
      </c>
      <c r="AF57" t="n">
        <v>79012.3</v>
      </c>
    </row>
    <row r="58">
      <c r="A58" t="s">
        <v>36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50468.5</v>
      </c>
      <c r="H58" t="n">
        <v>51951.1</v>
      </c>
      <c r="I58" t="n">
        <v>53865.1</v>
      </c>
      <c r="J58" t="n">
        <v>57802.7</v>
      </c>
      <c r="K58" t="n">
        <v>62486</v>
      </c>
      <c r="L58" t="n">
        <v>68739.1</v>
      </c>
      <c r="M58" t="n">
        <v>76463.8</v>
      </c>
      <c r="N58" t="n">
        <v>80218.7</v>
      </c>
      <c r="O58" t="n">
        <v>83589.9</v>
      </c>
      <c r="P58" t="n">
        <v>84368.3</v>
      </c>
      <c r="Q58" t="n">
        <v>86724</v>
      </c>
      <c r="R58" t="n">
        <v>89936.9</v>
      </c>
      <c r="S58" t="n">
        <v>88584.1</v>
      </c>
      <c r="T58" t="n">
        <v>83773.3</v>
      </c>
      <c r="U58" t="n">
        <v>77783.5</v>
      </c>
      <c r="V58" t="n">
        <v>82070.4</v>
      </c>
      <c r="W58" t="n">
        <v>75359.5</v>
      </c>
      <c r="X58" t="n">
        <v>66577</v>
      </c>
      <c r="Y58" t="n">
        <v>62978.9</v>
      </c>
      <c r="Z58" t="n">
        <v>63154.3</v>
      </c>
      <c r="AA58" t="n">
        <v>62684.5</v>
      </c>
      <c r="AB58" t="n">
        <v>64000.3</v>
      </c>
      <c r="AC58" t="n">
        <v>66106.6</v>
      </c>
      <c r="AD58" t="n">
        <v>71285.6</v>
      </c>
      <c r="AE58" t="n">
        <v>68038.3</v>
      </c>
      <c r="AF58" t="n">
        <v>79012.3</v>
      </c>
    </row>
    <row r="59">
      <c r="A59" t="s">
        <v>36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38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38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38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38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38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38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38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38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38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38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38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38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38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38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38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38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38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38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38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38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38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38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38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38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38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38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38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38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38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38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38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38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38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38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38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38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38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38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38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50095</v>
      </c>
      <c r="H40" t="n">
        <v>50757.2</v>
      </c>
      <c r="I40" t="n">
        <v>52097.8</v>
      </c>
      <c r="J40" t="n">
        <v>54254.4</v>
      </c>
      <c r="K40" t="n">
        <v>57550.9</v>
      </c>
      <c r="L40" t="n">
        <v>60326.8</v>
      </c>
      <c r="M40" t="n">
        <v>62945.6</v>
      </c>
      <c r="N40" t="n">
        <v>67659.7</v>
      </c>
      <c r="O40" t="n">
        <v>70939.6</v>
      </c>
      <c r="P40" t="n">
        <v>78321.4</v>
      </c>
      <c r="Q40" t="n">
        <v>85973.6</v>
      </c>
      <c r="R40" t="n">
        <v>89791.3</v>
      </c>
      <c r="S40" t="n">
        <v>91342.3</v>
      </c>
      <c r="T40" t="n">
        <v>84356.1</v>
      </c>
      <c r="U40" t="n">
        <v>86816.5</v>
      </c>
      <c r="V40" t="n">
        <v>82923.5</v>
      </c>
      <c r="W40" t="n">
        <v>77516.6</v>
      </c>
      <c r="X40" t="n">
        <v>74471.1</v>
      </c>
      <c r="Y40" t="n">
        <v>68732.1</v>
      </c>
      <c r="Z40" t="n">
        <v>67052.4</v>
      </c>
      <c r="AA40" t="n">
        <v>67240.7</v>
      </c>
      <c r="AB40" t="n">
        <v>68471.3</v>
      </c>
      <c r="AC40" t="n">
        <v>69626.4</v>
      </c>
      <c r="AD40" t="n">
        <v>70536.7</v>
      </c>
      <c r="AE40" t="n">
        <v>64901.4</v>
      </c>
      <c r="AF40" t="n">
        <v>98615.6</v>
      </c>
    </row>
    <row r="41">
      <c r="A41" t="s">
        <v>38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38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38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38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38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38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38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38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38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38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38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38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38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38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38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38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38</v>
      </c>
      <c r="B57" t="s">
        <v>384</v>
      </c>
      <c r="C57" t="s">
        <v>246</v>
      </c>
      <c r="D57" t="s">
        <v>385</v>
      </c>
      <c r="E57" t="s">
        <v>247</v>
      </c>
      <c r="F57" t="n">
        <v>0</v>
      </c>
      <c r="G57" t="n">
        <v>50095</v>
      </c>
      <c r="H57" t="n">
        <v>50757.2</v>
      </c>
      <c r="I57" t="n">
        <v>52097.8</v>
      </c>
      <c r="J57" t="n">
        <v>54254.4</v>
      </c>
      <c r="K57" t="n">
        <v>57550.9</v>
      </c>
      <c r="L57" t="n">
        <v>60326.8</v>
      </c>
      <c r="M57" t="n">
        <v>62945.6</v>
      </c>
      <c r="N57" t="n">
        <v>67659.7</v>
      </c>
      <c r="O57" t="n">
        <v>70939.6</v>
      </c>
      <c r="P57" t="n">
        <v>78321.4</v>
      </c>
      <c r="Q57" t="n">
        <v>85973.6</v>
      </c>
      <c r="R57" t="n">
        <v>89791.3</v>
      </c>
      <c r="S57" t="n">
        <v>91342.3</v>
      </c>
      <c r="T57" t="n">
        <v>84356.1</v>
      </c>
      <c r="U57" t="n">
        <v>86816.5</v>
      </c>
      <c r="V57" t="n">
        <v>82923.5</v>
      </c>
      <c r="W57" t="n">
        <v>77516.6</v>
      </c>
      <c r="X57" t="n">
        <v>74471.1</v>
      </c>
      <c r="Y57" t="n">
        <v>68732.1</v>
      </c>
      <c r="Z57" t="n">
        <v>67052.4</v>
      </c>
      <c r="AA57" t="n">
        <v>67240.7</v>
      </c>
      <c r="AB57" t="n">
        <v>68471.3</v>
      </c>
      <c r="AC57" t="n">
        <v>69626.4</v>
      </c>
      <c r="AD57" t="n">
        <v>70536.7</v>
      </c>
      <c r="AE57" t="n">
        <v>64901.4</v>
      </c>
      <c r="AF57" t="n">
        <v>98615.6</v>
      </c>
    </row>
    <row r="58">
      <c r="A58" t="s">
        <v>38</v>
      </c>
      <c r="B58" t="s">
        <v>386</v>
      </c>
      <c r="C58" t="s">
        <v>246</v>
      </c>
      <c r="D58" t="s">
        <v>387</v>
      </c>
      <c r="E58" t="s">
        <v>247</v>
      </c>
      <c r="F58" t="n">
        <v>0</v>
      </c>
      <c r="G58" t="n">
        <v>50095</v>
      </c>
      <c r="H58" t="n">
        <v>50757.2</v>
      </c>
      <c r="I58" t="n">
        <v>52097.8</v>
      </c>
      <c r="J58" t="n">
        <v>54254.4</v>
      </c>
      <c r="K58" t="n">
        <v>57550.9</v>
      </c>
      <c r="L58" t="n">
        <v>60326.8</v>
      </c>
      <c r="M58" t="n">
        <v>62945.6</v>
      </c>
      <c r="N58" t="n">
        <v>67659.7</v>
      </c>
      <c r="O58" t="n">
        <v>70939.6</v>
      </c>
      <c r="P58" t="n">
        <v>78321.4</v>
      </c>
      <c r="Q58" t="n">
        <v>85973.6</v>
      </c>
      <c r="R58" t="n">
        <v>89791.3</v>
      </c>
      <c r="S58" t="n">
        <v>91342.3</v>
      </c>
      <c r="T58" t="n">
        <v>84356.1</v>
      </c>
      <c r="U58" t="n">
        <v>86816.5</v>
      </c>
      <c r="V58" t="n">
        <v>82923.5</v>
      </c>
      <c r="W58" t="n">
        <v>77516.6</v>
      </c>
      <c r="X58" t="n">
        <v>74471.1</v>
      </c>
      <c r="Y58" t="n">
        <v>68732.1</v>
      </c>
      <c r="Z58" t="n">
        <v>67052.4</v>
      </c>
      <c r="AA58" t="n">
        <v>67240.7</v>
      </c>
      <c r="AB58" t="n">
        <v>68471.3</v>
      </c>
      <c r="AC58" t="n">
        <v>69626.4</v>
      </c>
      <c r="AD58" t="n">
        <v>70536.7</v>
      </c>
      <c r="AE58" t="n">
        <v>64901.4</v>
      </c>
      <c r="AF58" t="n">
        <v>98615.6</v>
      </c>
    </row>
    <row r="59">
      <c r="A59" t="s">
        <v>38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40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647.4</v>
      </c>
      <c r="H2" t="n">
        <v>669.1</v>
      </c>
      <c r="I2" t="n">
        <v>620.3</v>
      </c>
      <c r="J2" t="n">
        <v>697.4</v>
      </c>
      <c r="K2" t="n">
        <v>591.2</v>
      </c>
      <c r="L2" t="n">
        <v>631.3</v>
      </c>
      <c r="M2" t="n">
        <v>672.2</v>
      </c>
      <c r="N2" t="n">
        <v>644.2</v>
      </c>
      <c r="O2" t="n">
        <v>723.8</v>
      </c>
      <c r="P2" t="n">
        <v>695.2</v>
      </c>
      <c r="Q2" t="n">
        <v>635.9</v>
      </c>
      <c r="R2" t="n">
        <v>610.3</v>
      </c>
      <c r="S2" t="n">
        <v>516.3</v>
      </c>
      <c r="T2" t="n">
        <v>564.6</v>
      </c>
      <c r="U2" t="n">
        <v>539.7</v>
      </c>
      <c r="V2" t="n">
        <v>607</v>
      </c>
      <c r="W2" t="n">
        <v>637.9</v>
      </c>
      <c r="X2" t="n">
        <v>680.5</v>
      </c>
      <c r="Y2" t="n">
        <v>642.2</v>
      </c>
      <c r="Z2" t="n">
        <v>641.1</v>
      </c>
      <c r="AA2" t="n">
        <v>606.9</v>
      </c>
      <c r="AB2" t="n">
        <v>627</v>
      </c>
      <c r="AC2" t="n">
        <v>633.7</v>
      </c>
      <c r="AD2" t="n">
        <v>608.2</v>
      </c>
      <c r="AE2" t="n">
        <v>571.3</v>
      </c>
      <c r="AF2" t="n">
        <v>562.8</v>
      </c>
    </row>
    <row r="3">
      <c r="A3" t="s">
        <v>40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40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40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40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40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40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40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40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40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40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40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40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40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40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40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40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40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40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40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40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40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40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40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40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40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40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40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40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40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40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40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40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40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40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40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40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40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40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40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40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40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40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667.2</v>
      </c>
      <c r="H44" t="n">
        <v>688.4</v>
      </c>
      <c r="I44" t="n">
        <v>639.3</v>
      </c>
      <c r="J44" t="n">
        <v>714.9</v>
      </c>
      <c r="K44" t="n">
        <v>682.6</v>
      </c>
      <c r="L44" t="n">
        <v>732.2</v>
      </c>
      <c r="M44" t="n">
        <v>811.1</v>
      </c>
      <c r="N44" t="n">
        <v>742.4</v>
      </c>
      <c r="O44" t="n">
        <v>827.3</v>
      </c>
      <c r="P44" t="n">
        <v>799.6</v>
      </c>
      <c r="Q44" t="n">
        <v>730.4</v>
      </c>
      <c r="R44" t="n">
        <v>702.5</v>
      </c>
      <c r="S44" t="n">
        <v>586</v>
      </c>
      <c r="T44" t="n">
        <v>644.7</v>
      </c>
      <c r="U44" t="n">
        <v>632.4</v>
      </c>
      <c r="V44" t="n">
        <v>687.7</v>
      </c>
      <c r="W44" t="n">
        <v>694.1</v>
      </c>
      <c r="X44" t="n">
        <v>734</v>
      </c>
      <c r="Y44" t="n">
        <v>677.2</v>
      </c>
      <c r="Z44" t="n">
        <v>687.5</v>
      </c>
      <c r="AA44" t="n">
        <v>651.2</v>
      </c>
      <c r="AB44" t="n">
        <v>657.5</v>
      </c>
      <c r="AC44" t="n">
        <v>672.2</v>
      </c>
      <c r="AD44" t="n">
        <v>642.4</v>
      </c>
      <c r="AE44" t="n">
        <v>606.8</v>
      </c>
      <c r="AF44" t="n">
        <v>598.2</v>
      </c>
    </row>
    <row r="45">
      <c r="A45" t="s">
        <v>40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40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40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40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40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40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40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40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40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40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40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40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40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667.2</v>
      </c>
      <c r="H57" t="n">
        <v>688.4</v>
      </c>
      <c r="I57" t="n">
        <v>639.3</v>
      </c>
      <c r="J57" t="n">
        <v>714.9</v>
      </c>
      <c r="K57" t="n">
        <v>682.6</v>
      </c>
      <c r="L57" t="n">
        <v>732.2</v>
      </c>
      <c r="M57" t="n">
        <v>811.1</v>
      </c>
      <c r="N57" t="n">
        <v>742.4</v>
      </c>
      <c r="O57" t="n">
        <v>827.3</v>
      </c>
      <c r="P57" t="n">
        <v>799.6</v>
      </c>
      <c r="Q57" t="n">
        <v>730.4</v>
      </c>
      <c r="R57" t="n">
        <v>702.5</v>
      </c>
      <c r="S57" t="n">
        <v>586</v>
      </c>
      <c r="T57" t="n">
        <v>644.7</v>
      </c>
      <c r="U57" t="n">
        <v>632.4</v>
      </c>
      <c r="V57" t="n">
        <v>687.7</v>
      </c>
      <c r="W57" t="n">
        <v>694.1</v>
      </c>
      <c r="X57" t="n">
        <v>734</v>
      </c>
      <c r="Y57" t="n">
        <v>677.2</v>
      </c>
      <c r="Z57" t="n">
        <v>687.5</v>
      </c>
      <c r="AA57" t="n">
        <v>651.2</v>
      </c>
      <c r="AB57" t="n">
        <v>657.5</v>
      </c>
      <c r="AC57" t="n">
        <v>672.2</v>
      </c>
      <c r="AD57" t="n">
        <v>642.4</v>
      </c>
      <c r="AE57" t="n">
        <v>606.8</v>
      </c>
      <c r="AF57" t="n">
        <v>598.2</v>
      </c>
    </row>
    <row r="58">
      <c r="A58" t="s">
        <v>40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667.2</v>
      </c>
      <c r="H58" t="n">
        <v>688.4</v>
      </c>
      <c r="I58" t="n">
        <v>639.3</v>
      </c>
      <c r="J58" t="n">
        <v>714.9</v>
      </c>
      <c r="K58" t="n">
        <v>682.6</v>
      </c>
      <c r="L58" t="n">
        <v>732.2</v>
      </c>
      <c r="M58" t="n">
        <v>811.1</v>
      </c>
      <c r="N58" t="n">
        <v>742.4</v>
      </c>
      <c r="O58" t="n">
        <v>827.3</v>
      </c>
      <c r="P58" t="n">
        <v>799.6</v>
      </c>
      <c r="Q58" t="n">
        <v>730.4</v>
      </c>
      <c r="R58" t="n">
        <v>702.5</v>
      </c>
      <c r="S58" t="n">
        <v>586</v>
      </c>
      <c r="T58" t="n">
        <v>644.7</v>
      </c>
      <c r="U58" t="n">
        <v>632.4</v>
      </c>
      <c r="V58" t="n">
        <v>687.7</v>
      </c>
      <c r="W58" t="n">
        <v>694.1</v>
      </c>
      <c r="X58" t="n">
        <v>734</v>
      </c>
      <c r="Y58" t="n">
        <v>677.2</v>
      </c>
      <c r="Z58" t="n">
        <v>687.5</v>
      </c>
      <c r="AA58" t="n">
        <v>651.2</v>
      </c>
      <c r="AB58" t="n">
        <v>657.5</v>
      </c>
      <c r="AC58" t="n">
        <v>672.2</v>
      </c>
      <c r="AD58" t="n">
        <v>642.4</v>
      </c>
      <c r="AE58" t="n">
        <v>606.8</v>
      </c>
      <c r="AF58" t="n">
        <v>598.2</v>
      </c>
    </row>
    <row r="59">
      <c r="A59" t="s">
        <v>40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42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1.6</v>
      </c>
      <c r="H2" t="n">
        <v>1.5</v>
      </c>
      <c r="I2" t="n">
        <v>1.6</v>
      </c>
      <c r="J2" t="n">
        <v>1.7</v>
      </c>
      <c r="K2" t="n">
        <v>1.7</v>
      </c>
      <c r="L2" t="n">
        <v>1.8</v>
      </c>
      <c r="M2" t="n">
        <v>1.9</v>
      </c>
      <c r="N2" t="n">
        <v>2</v>
      </c>
      <c r="O2" t="n">
        <v>2</v>
      </c>
      <c r="P2" t="n">
        <v>2.1</v>
      </c>
      <c r="Q2" t="n">
        <v>2.1</v>
      </c>
      <c r="R2" t="n">
        <v>2.2</v>
      </c>
      <c r="S2" t="n">
        <v>2.4</v>
      </c>
      <c r="T2" t="n">
        <v>3.7</v>
      </c>
      <c r="U2" t="n">
        <v>7.5</v>
      </c>
      <c r="V2" t="n">
        <v>7.9</v>
      </c>
      <c r="W2" t="n">
        <v>7.4</v>
      </c>
      <c r="X2" t="n">
        <v>7.9</v>
      </c>
      <c r="Y2" t="n">
        <v>11.4</v>
      </c>
      <c r="Z2" t="n">
        <v>12.6</v>
      </c>
      <c r="AA2" t="n">
        <v>19.6</v>
      </c>
      <c r="AB2" t="n">
        <v>10.7</v>
      </c>
      <c r="AC2" t="n">
        <v>12.4</v>
      </c>
      <c r="AD2" t="n">
        <v>26</v>
      </c>
      <c r="AE2" t="n">
        <v>33.8</v>
      </c>
      <c r="AF2" t="n">
        <v>38.3</v>
      </c>
    </row>
    <row r="3">
      <c r="A3" t="s">
        <v>42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166.4</v>
      </c>
      <c r="H3" t="n">
        <v>162.1</v>
      </c>
      <c r="I3" t="n">
        <v>166.3</v>
      </c>
      <c r="J3" t="n">
        <v>173.3</v>
      </c>
      <c r="K3" t="n">
        <v>178.1</v>
      </c>
      <c r="L3" t="n">
        <v>192.2</v>
      </c>
      <c r="M3" t="n">
        <v>195.1</v>
      </c>
      <c r="N3" t="n">
        <v>206.7</v>
      </c>
      <c r="O3" t="n">
        <v>205</v>
      </c>
      <c r="P3" t="n">
        <v>215.5</v>
      </c>
      <c r="Q3" t="n">
        <v>218.3</v>
      </c>
      <c r="R3" t="n">
        <v>226.7</v>
      </c>
      <c r="S3" t="n">
        <v>254.2</v>
      </c>
      <c r="T3" t="n">
        <v>255.2</v>
      </c>
      <c r="U3" t="n">
        <v>239.7</v>
      </c>
      <c r="V3" t="n">
        <v>215.1</v>
      </c>
      <c r="W3" t="n">
        <v>201.2</v>
      </c>
      <c r="X3" t="n">
        <v>168.8</v>
      </c>
      <c r="Y3" t="n">
        <v>124</v>
      </c>
      <c r="Z3" t="n">
        <v>97.7</v>
      </c>
      <c r="AA3" t="n">
        <v>133.5</v>
      </c>
      <c r="AB3" t="n">
        <v>167.5</v>
      </c>
      <c r="AC3" t="n">
        <v>189.7</v>
      </c>
      <c r="AD3" t="n">
        <v>188.3</v>
      </c>
      <c r="AE3" t="n">
        <v>182.2</v>
      </c>
      <c r="AF3" t="n">
        <v>223.5</v>
      </c>
    </row>
    <row r="4">
      <c r="A4" t="s">
        <v>42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5238</v>
      </c>
      <c r="H4" t="n">
        <v>5101.3</v>
      </c>
      <c r="I4" t="n">
        <v>5233.9</v>
      </c>
      <c r="J4" t="n">
        <v>5452.7</v>
      </c>
      <c r="K4" t="n">
        <v>5604.9</v>
      </c>
      <c r="L4" t="n">
        <v>6050</v>
      </c>
      <c r="M4" t="n">
        <v>6138.5</v>
      </c>
      <c r="N4" t="n">
        <v>6505.3</v>
      </c>
      <c r="O4" t="n">
        <v>6450.3</v>
      </c>
      <c r="P4" t="n">
        <v>6783.4</v>
      </c>
      <c r="Q4" t="n">
        <v>6871.5</v>
      </c>
      <c r="R4" t="n">
        <v>7135.5</v>
      </c>
      <c r="S4" t="n">
        <v>8000.2</v>
      </c>
      <c r="T4" t="n">
        <v>8787.7</v>
      </c>
      <c r="U4" t="n">
        <v>9132.9</v>
      </c>
      <c r="V4" t="n">
        <v>9899.2</v>
      </c>
      <c r="W4" t="n">
        <v>9315.8</v>
      </c>
      <c r="X4" t="n">
        <v>8775</v>
      </c>
      <c r="Y4" t="n">
        <v>9179.2</v>
      </c>
      <c r="Z4" t="n">
        <v>10774.9</v>
      </c>
      <c r="AA4" t="n">
        <v>12427.3</v>
      </c>
      <c r="AB4" t="n">
        <v>12578.6</v>
      </c>
      <c r="AC4" t="n">
        <v>13080.5</v>
      </c>
      <c r="AD4" t="n">
        <v>13626.6</v>
      </c>
      <c r="AE4" t="n">
        <v>13413.9</v>
      </c>
      <c r="AF4" t="n">
        <v>13098.1</v>
      </c>
    </row>
    <row r="5">
      <c r="A5" t="s">
        <v>42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173.7</v>
      </c>
      <c r="H5" t="n">
        <v>169.2</v>
      </c>
      <c r="I5" t="n">
        <v>173.6</v>
      </c>
      <c r="J5" t="n">
        <v>180.8</v>
      </c>
      <c r="K5" t="n">
        <v>185.9</v>
      </c>
      <c r="L5" t="n">
        <v>200.6</v>
      </c>
      <c r="M5" t="n">
        <v>203.6</v>
      </c>
      <c r="N5" t="n">
        <v>215.7</v>
      </c>
      <c r="O5" t="n">
        <v>213.9</v>
      </c>
      <c r="P5" t="n">
        <v>225</v>
      </c>
      <c r="Q5" t="n">
        <v>227.9</v>
      </c>
      <c r="R5" t="n">
        <v>236.6</v>
      </c>
      <c r="S5" t="n">
        <v>265.3</v>
      </c>
      <c r="T5" t="n">
        <v>291.3</v>
      </c>
      <c r="U5" t="n">
        <v>283.3</v>
      </c>
      <c r="V5" t="n">
        <v>302.3</v>
      </c>
      <c r="W5" t="n">
        <v>294.2</v>
      </c>
      <c r="X5" t="n">
        <v>287.9</v>
      </c>
      <c r="Y5" t="n">
        <v>292.7</v>
      </c>
      <c r="Z5" t="n">
        <v>338.8</v>
      </c>
      <c r="AA5" t="n">
        <v>404.4</v>
      </c>
      <c r="AB5" t="n">
        <v>347.6</v>
      </c>
      <c r="AC5" t="n">
        <v>391.2</v>
      </c>
      <c r="AD5" t="n">
        <v>409.5</v>
      </c>
      <c r="AE5" t="n">
        <v>428.1</v>
      </c>
      <c r="AF5" t="n">
        <v>545.1</v>
      </c>
    </row>
    <row r="6">
      <c r="A6" t="s">
        <v>42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278.8</v>
      </c>
      <c r="H6" t="n">
        <v>271.5</v>
      </c>
      <c r="I6" t="n">
        <v>278.6</v>
      </c>
      <c r="J6" t="n">
        <v>290.2</v>
      </c>
      <c r="K6" t="n">
        <v>298.3</v>
      </c>
      <c r="L6" t="n">
        <v>322</v>
      </c>
      <c r="M6" t="n">
        <v>326.7</v>
      </c>
      <c r="N6" t="n">
        <v>346.2</v>
      </c>
      <c r="O6" t="n">
        <v>343.3</v>
      </c>
      <c r="P6" t="n">
        <v>361</v>
      </c>
      <c r="Q6" t="n">
        <v>365.7</v>
      </c>
      <c r="R6" t="n">
        <v>379.8</v>
      </c>
      <c r="S6" t="n">
        <v>425.8</v>
      </c>
      <c r="T6" t="n">
        <v>546.7</v>
      </c>
      <c r="U6" t="n">
        <v>590</v>
      </c>
      <c r="V6" t="n">
        <v>626.4</v>
      </c>
      <c r="W6" t="n">
        <v>617.8</v>
      </c>
      <c r="X6" t="n">
        <v>563.1</v>
      </c>
      <c r="Y6" t="n">
        <v>611.3</v>
      </c>
      <c r="Z6" t="n">
        <v>706.2</v>
      </c>
      <c r="AA6" t="n">
        <v>819.5</v>
      </c>
      <c r="AB6" t="n">
        <v>977.2</v>
      </c>
      <c r="AC6" t="n">
        <v>1050.9</v>
      </c>
      <c r="AD6" t="n">
        <v>1114.3</v>
      </c>
      <c r="AE6" t="n">
        <v>952.3</v>
      </c>
      <c r="AF6" t="n">
        <v>863.1</v>
      </c>
    </row>
    <row r="7">
      <c r="A7" t="s">
        <v>42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58</v>
      </c>
      <c r="H7" t="n">
        <v>56.5</v>
      </c>
      <c r="I7" t="n">
        <v>57.9</v>
      </c>
      <c r="J7" t="n">
        <v>60.4</v>
      </c>
      <c r="K7" t="n">
        <v>62.1</v>
      </c>
      <c r="L7" t="n">
        <v>67</v>
      </c>
      <c r="M7" t="n">
        <v>68</v>
      </c>
      <c r="N7" t="n">
        <v>72</v>
      </c>
      <c r="O7" t="n">
        <v>71.4</v>
      </c>
      <c r="P7" t="n">
        <v>75.1</v>
      </c>
      <c r="Q7" t="n">
        <v>76.1</v>
      </c>
      <c r="R7" t="n">
        <v>79</v>
      </c>
      <c r="S7" t="n">
        <v>88.6</v>
      </c>
      <c r="T7" t="n">
        <v>117.9</v>
      </c>
      <c r="U7" t="n">
        <v>98</v>
      </c>
      <c r="V7" t="n">
        <v>98.7</v>
      </c>
      <c r="W7" t="n">
        <v>88.6</v>
      </c>
      <c r="X7" t="n">
        <v>93.3</v>
      </c>
      <c r="Y7" t="n">
        <v>100.7</v>
      </c>
      <c r="Z7" t="n">
        <v>118.9</v>
      </c>
      <c r="AA7" t="n">
        <v>156.1</v>
      </c>
      <c r="AB7" t="n">
        <v>165.8</v>
      </c>
      <c r="AC7" t="n">
        <v>177.2</v>
      </c>
      <c r="AD7" t="n">
        <v>197.5</v>
      </c>
      <c r="AE7" t="n">
        <v>198.8</v>
      </c>
      <c r="AF7" t="n">
        <v>155.7</v>
      </c>
    </row>
    <row r="8">
      <c r="A8" t="s">
        <v>42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3.6</v>
      </c>
      <c r="H8" t="n">
        <v>3.5</v>
      </c>
      <c r="I8" t="n">
        <v>3.6</v>
      </c>
      <c r="J8" t="n">
        <v>3.8</v>
      </c>
      <c r="K8" t="n">
        <v>3.9</v>
      </c>
      <c r="L8" t="n">
        <v>4.2</v>
      </c>
      <c r="M8" t="n">
        <v>4.2</v>
      </c>
      <c r="N8" t="n">
        <v>4.5</v>
      </c>
      <c r="O8" t="n">
        <v>4.5</v>
      </c>
      <c r="P8" t="n">
        <v>4.7</v>
      </c>
      <c r="Q8" t="n">
        <v>4.7</v>
      </c>
      <c r="R8" t="n">
        <v>4.9</v>
      </c>
      <c r="S8" t="n">
        <v>5.5</v>
      </c>
      <c r="T8" t="n">
        <v>5.2</v>
      </c>
      <c r="U8" t="n">
        <v>4.6</v>
      </c>
      <c r="V8" t="n">
        <v>16.8</v>
      </c>
      <c r="W8" t="n">
        <v>12.2</v>
      </c>
      <c r="X8" t="n">
        <v>12.2</v>
      </c>
      <c r="Y8" t="n">
        <v>14.9</v>
      </c>
      <c r="Z8" t="n">
        <v>16.1</v>
      </c>
      <c r="AA8" t="n">
        <v>17.2</v>
      </c>
      <c r="AB8" t="n">
        <v>16.3</v>
      </c>
      <c r="AC8" t="n">
        <v>18.2</v>
      </c>
      <c r="AD8" t="n">
        <v>22.6</v>
      </c>
      <c r="AE8" t="n">
        <v>15.6</v>
      </c>
      <c r="AF8" t="n">
        <v>29.1</v>
      </c>
    </row>
    <row r="9">
      <c r="A9" t="s">
        <v>42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291.4</v>
      </c>
      <c r="H9" t="n">
        <v>283.8</v>
      </c>
      <c r="I9" t="n">
        <v>291.2</v>
      </c>
      <c r="J9" t="n">
        <v>303.4</v>
      </c>
      <c r="K9" t="n">
        <v>311.8</v>
      </c>
      <c r="L9" t="n">
        <v>336.6</v>
      </c>
      <c r="M9" t="n">
        <v>341.5</v>
      </c>
      <c r="N9" t="n">
        <v>361.9</v>
      </c>
      <c r="O9" t="n">
        <v>358.9</v>
      </c>
      <c r="P9" t="n">
        <v>377.4</v>
      </c>
      <c r="Q9" t="n">
        <v>382.3</v>
      </c>
      <c r="R9" t="n">
        <v>397</v>
      </c>
      <c r="S9" t="n">
        <v>445.1</v>
      </c>
      <c r="T9" t="n">
        <v>452.8</v>
      </c>
      <c r="U9" t="n">
        <v>473</v>
      </c>
      <c r="V9" t="n">
        <v>446.4</v>
      </c>
      <c r="W9" t="n">
        <v>437.9</v>
      </c>
      <c r="X9" t="n">
        <v>400.3</v>
      </c>
      <c r="Y9" t="n">
        <v>392.6</v>
      </c>
      <c r="Z9" t="n">
        <v>405.5</v>
      </c>
      <c r="AA9" t="n">
        <v>565.2</v>
      </c>
      <c r="AB9" t="n">
        <v>572.3</v>
      </c>
      <c r="AC9" t="n">
        <v>608.4</v>
      </c>
      <c r="AD9" t="n">
        <v>568.6</v>
      </c>
      <c r="AE9" t="n">
        <v>638.8</v>
      </c>
      <c r="AF9" t="n">
        <v>659.8</v>
      </c>
    </row>
    <row r="10">
      <c r="A10" t="s">
        <v>42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708.6</v>
      </c>
      <c r="H10" t="n">
        <v>690.1</v>
      </c>
      <c r="I10" t="n">
        <v>708.1</v>
      </c>
      <c r="J10" t="n">
        <v>737.7</v>
      </c>
      <c r="K10" t="n">
        <v>758.2</v>
      </c>
      <c r="L10" t="n">
        <v>818.5</v>
      </c>
      <c r="M10" t="n">
        <v>830.4</v>
      </c>
      <c r="N10" t="n">
        <v>880</v>
      </c>
      <c r="O10" t="n">
        <v>872.6</v>
      </c>
      <c r="P10" t="n">
        <v>917.7</v>
      </c>
      <c r="Q10" t="n">
        <v>929.6</v>
      </c>
      <c r="R10" t="n">
        <v>965.3</v>
      </c>
      <c r="S10" t="n">
        <v>1082.3</v>
      </c>
      <c r="T10" t="n">
        <v>1212.3</v>
      </c>
      <c r="U10" t="n">
        <v>1285.8</v>
      </c>
      <c r="V10" t="n">
        <v>1206.4</v>
      </c>
      <c r="W10" t="n">
        <v>1160.5</v>
      </c>
      <c r="X10" t="n">
        <v>1048.1</v>
      </c>
      <c r="Y10" t="n">
        <v>926.6</v>
      </c>
      <c r="Z10" t="n">
        <v>1112.9</v>
      </c>
      <c r="AA10" t="n">
        <v>1436</v>
      </c>
      <c r="AB10" t="n">
        <v>1238.8</v>
      </c>
      <c r="AC10" t="n">
        <v>1263.6</v>
      </c>
      <c r="AD10" t="n">
        <v>1248.2</v>
      </c>
      <c r="AE10" t="n">
        <v>1562.3</v>
      </c>
      <c r="AF10" t="n">
        <v>1530</v>
      </c>
    </row>
    <row r="11">
      <c r="A11" t="s">
        <v>42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417.2</v>
      </c>
      <c r="H11" t="n">
        <v>406.3</v>
      </c>
      <c r="I11" t="n">
        <v>416.9</v>
      </c>
      <c r="J11" t="n">
        <v>434.3</v>
      </c>
      <c r="K11" t="n">
        <v>446.4</v>
      </c>
      <c r="L11" t="n">
        <v>481.9</v>
      </c>
      <c r="M11" t="n">
        <v>488.9</v>
      </c>
      <c r="N11" t="n">
        <v>518.1</v>
      </c>
      <c r="O11" t="n">
        <v>513.7</v>
      </c>
      <c r="P11" t="n">
        <v>540.3</v>
      </c>
      <c r="Q11" t="n">
        <v>547.3</v>
      </c>
      <c r="R11" t="n">
        <v>568.3</v>
      </c>
      <c r="S11" t="n">
        <v>637.2</v>
      </c>
      <c r="T11" t="n">
        <v>759.5</v>
      </c>
      <c r="U11" t="n">
        <v>812.8</v>
      </c>
      <c r="V11" t="n">
        <v>760</v>
      </c>
      <c r="W11" t="n">
        <v>722.6</v>
      </c>
      <c r="X11" t="n">
        <v>647.8</v>
      </c>
      <c r="Y11" t="n">
        <v>534</v>
      </c>
      <c r="Z11" t="n">
        <v>707.4</v>
      </c>
      <c r="AA11" t="n">
        <v>870.8</v>
      </c>
      <c r="AB11" t="n">
        <v>666.5</v>
      </c>
      <c r="AC11" t="n">
        <v>655.2</v>
      </c>
      <c r="AD11" t="n">
        <v>679.6</v>
      </c>
      <c r="AE11" t="n">
        <v>923.5</v>
      </c>
      <c r="AF11" t="n">
        <v>870.2</v>
      </c>
    </row>
    <row r="12">
      <c r="A12" t="s">
        <v>42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202.6</v>
      </c>
      <c r="H12" t="n">
        <v>197.3</v>
      </c>
      <c r="I12" t="n">
        <v>202.4</v>
      </c>
      <c r="J12" t="n">
        <v>210.9</v>
      </c>
      <c r="K12" t="n">
        <v>216.8</v>
      </c>
      <c r="L12" t="n">
        <v>234</v>
      </c>
      <c r="M12" t="n">
        <v>237.4</v>
      </c>
      <c r="N12" t="n">
        <v>251.6</v>
      </c>
      <c r="O12" t="n">
        <v>249.5</v>
      </c>
      <c r="P12" t="n">
        <v>262.3</v>
      </c>
      <c r="Q12" t="n">
        <v>265.7</v>
      </c>
      <c r="R12" t="n">
        <v>276</v>
      </c>
      <c r="S12" t="n">
        <v>309.4</v>
      </c>
      <c r="T12" t="n">
        <v>329.1</v>
      </c>
      <c r="U12" t="n">
        <v>338</v>
      </c>
      <c r="V12" t="n">
        <v>306.2</v>
      </c>
      <c r="W12" t="n">
        <v>341.4</v>
      </c>
      <c r="X12" t="n">
        <v>314</v>
      </c>
      <c r="Y12" t="n">
        <v>333</v>
      </c>
      <c r="Z12" t="n">
        <v>517.2</v>
      </c>
      <c r="AA12" t="n">
        <v>641.2</v>
      </c>
      <c r="AB12" t="n">
        <v>710.8</v>
      </c>
      <c r="AC12" t="n">
        <v>681.1</v>
      </c>
      <c r="AD12" t="n">
        <v>661.5</v>
      </c>
      <c r="AE12" t="n">
        <v>613.3</v>
      </c>
      <c r="AF12" t="n">
        <v>598.5</v>
      </c>
    </row>
    <row r="13">
      <c r="A13" t="s">
        <v>42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245.2</v>
      </c>
      <c r="H13" t="n">
        <v>238.8</v>
      </c>
      <c r="I13" t="n">
        <v>245</v>
      </c>
      <c r="J13" t="n">
        <v>255.2</v>
      </c>
      <c r="K13" t="n">
        <v>262.3</v>
      </c>
      <c r="L13" t="n">
        <v>283.2</v>
      </c>
      <c r="M13" t="n">
        <v>287.3</v>
      </c>
      <c r="N13" t="n">
        <v>304.5</v>
      </c>
      <c r="O13" t="n">
        <v>301.9</v>
      </c>
      <c r="P13" t="n">
        <v>317.5</v>
      </c>
      <c r="Q13" t="n">
        <v>321.6</v>
      </c>
      <c r="R13" t="n">
        <v>334</v>
      </c>
      <c r="S13" t="n">
        <v>374.5</v>
      </c>
      <c r="T13" t="n">
        <v>411.6</v>
      </c>
      <c r="U13" t="n">
        <v>410.6</v>
      </c>
      <c r="V13" t="n">
        <v>440.1</v>
      </c>
      <c r="W13" t="n">
        <v>423.7</v>
      </c>
      <c r="X13" t="n">
        <v>420.9</v>
      </c>
      <c r="Y13" t="n">
        <v>389</v>
      </c>
      <c r="Z13" t="n">
        <v>442.4</v>
      </c>
      <c r="AA13" t="n">
        <v>621.3</v>
      </c>
      <c r="AB13" t="n">
        <v>696.4</v>
      </c>
      <c r="AC13" t="n">
        <v>756</v>
      </c>
      <c r="AD13" t="n">
        <v>749</v>
      </c>
      <c r="AE13" t="n">
        <v>595.4</v>
      </c>
      <c r="AF13" t="n">
        <v>543.8</v>
      </c>
    </row>
    <row r="14">
      <c r="A14" t="s">
        <v>42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688.1</v>
      </c>
      <c r="H14" t="n">
        <v>670.1</v>
      </c>
      <c r="I14" t="n">
        <v>687.5</v>
      </c>
      <c r="J14" t="n">
        <v>716.3</v>
      </c>
      <c r="K14" t="n">
        <v>736.3</v>
      </c>
      <c r="L14" t="n">
        <v>794.7</v>
      </c>
      <c r="M14" t="n">
        <v>806.4</v>
      </c>
      <c r="N14" t="n">
        <v>854.6</v>
      </c>
      <c r="O14" t="n">
        <v>847.3</v>
      </c>
      <c r="P14" t="n">
        <v>891.1</v>
      </c>
      <c r="Q14" t="n">
        <v>902.7</v>
      </c>
      <c r="R14" t="n">
        <v>937.3</v>
      </c>
      <c r="S14" t="n">
        <v>1050.9</v>
      </c>
      <c r="T14" t="n">
        <v>1188</v>
      </c>
      <c r="U14" t="n">
        <v>1287.2</v>
      </c>
      <c r="V14" t="n">
        <v>1319.7</v>
      </c>
      <c r="W14" t="n">
        <v>1188.3</v>
      </c>
      <c r="X14" t="n">
        <v>1039.9</v>
      </c>
      <c r="Y14" t="n">
        <v>1366.9</v>
      </c>
      <c r="Z14" t="n">
        <v>1525.7</v>
      </c>
      <c r="AA14" t="n">
        <v>1150.4</v>
      </c>
      <c r="AB14" t="n">
        <v>1286.4</v>
      </c>
      <c r="AC14" t="n">
        <v>1276</v>
      </c>
      <c r="AD14" t="n">
        <v>1327.1</v>
      </c>
      <c r="AE14" t="n">
        <v>1735</v>
      </c>
      <c r="AF14" t="n">
        <v>1497.9</v>
      </c>
    </row>
    <row r="15">
      <c r="A15" t="s">
        <v>42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997.8</v>
      </c>
      <c r="H15" t="n">
        <v>971.7</v>
      </c>
      <c r="I15" t="n">
        <v>996.9</v>
      </c>
      <c r="J15" t="n">
        <v>1038.7</v>
      </c>
      <c r="K15" t="n">
        <v>1067.7</v>
      </c>
      <c r="L15" t="n">
        <v>1152.4</v>
      </c>
      <c r="M15" t="n">
        <v>1169.3</v>
      </c>
      <c r="N15" t="n">
        <v>1239.2</v>
      </c>
      <c r="O15" t="n">
        <v>1228.7</v>
      </c>
      <c r="P15" t="n">
        <v>1292.2</v>
      </c>
      <c r="Q15" t="n">
        <v>1309</v>
      </c>
      <c r="R15" t="n">
        <v>1359.2</v>
      </c>
      <c r="S15" t="n">
        <v>1523.9</v>
      </c>
      <c r="T15" t="n">
        <v>1808.5</v>
      </c>
      <c r="U15" t="n">
        <v>1855.1</v>
      </c>
      <c r="V15" t="n">
        <v>1971.2</v>
      </c>
      <c r="W15" t="n">
        <v>1783.3</v>
      </c>
      <c r="X15" t="n">
        <v>1516.7</v>
      </c>
      <c r="Y15" t="n">
        <v>1819.5</v>
      </c>
      <c r="Z15" t="n">
        <v>2087.3</v>
      </c>
      <c r="AA15" t="n">
        <v>1886.8</v>
      </c>
      <c r="AB15" t="n">
        <v>2036</v>
      </c>
      <c r="AC15" t="n">
        <v>2087.6</v>
      </c>
      <c r="AD15" t="n">
        <v>2204.3</v>
      </c>
      <c r="AE15" t="n">
        <v>2520</v>
      </c>
      <c r="AF15" t="n">
        <v>2164.4</v>
      </c>
    </row>
    <row r="16">
      <c r="A16" t="s">
        <v>42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309.7</v>
      </c>
      <c r="H16" t="n">
        <v>301.6</v>
      </c>
      <c r="I16" t="n">
        <v>309.4</v>
      </c>
      <c r="J16" t="n">
        <v>322.4</v>
      </c>
      <c r="K16" t="n">
        <v>331.4</v>
      </c>
      <c r="L16" t="n">
        <v>357.7</v>
      </c>
      <c r="M16" t="n">
        <v>362.9</v>
      </c>
      <c r="N16" t="n">
        <v>384.6</v>
      </c>
      <c r="O16" t="n">
        <v>381.4</v>
      </c>
      <c r="P16" t="n">
        <v>401.1</v>
      </c>
      <c r="Q16" t="n">
        <v>406.3</v>
      </c>
      <c r="R16" t="n">
        <v>421.9</v>
      </c>
      <c r="S16" t="n">
        <v>473</v>
      </c>
      <c r="T16" t="n">
        <v>620.5</v>
      </c>
      <c r="U16" t="n">
        <v>567.9</v>
      </c>
      <c r="V16" t="n">
        <v>651.5</v>
      </c>
      <c r="W16" t="n">
        <v>595</v>
      </c>
      <c r="X16" t="n">
        <v>476.8</v>
      </c>
      <c r="Y16" t="n">
        <v>452.6</v>
      </c>
      <c r="Z16" t="n">
        <v>561.6</v>
      </c>
      <c r="AA16" t="n">
        <v>736.4</v>
      </c>
      <c r="AB16" t="n">
        <v>749.6</v>
      </c>
      <c r="AC16" t="n">
        <v>811.6</v>
      </c>
      <c r="AD16" t="n">
        <v>877.2</v>
      </c>
      <c r="AE16" t="n">
        <v>785</v>
      </c>
      <c r="AF16" t="n">
        <v>666.5</v>
      </c>
    </row>
    <row r="17">
      <c r="A17" t="s">
        <v>42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829.4</v>
      </c>
      <c r="H17" t="n">
        <v>807.8</v>
      </c>
      <c r="I17" t="n">
        <v>828.8</v>
      </c>
      <c r="J17" t="n">
        <v>863.4</v>
      </c>
      <c r="K17" t="n">
        <v>887.5</v>
      </c>
      <c r="L17" t="n">
        <v>958</v>
      </c>
      <c r="M17" t="n">
        <v>972</v>
      </c>
      <c r="N17" t="n">
        <v>1030.1</v>
      </c>
      <c r="O17" t="n">
        <v>1021.4</v>
      </c>
      <c r="P17" t="n">
        <v>1074.1</v>
      </c>
      <c r="Q17" t="n">
        <v>1088.1</v>
      </c>
      <c r="R17" t="n">
        <v>1129.9</v>
      </c>
      <c r="S17" t="n">
        <v>1266.8</v>
      </c>
      <c r="T17" t="n">
        <v>1372.9</v>
      </c>
      <c r="U17" t="n">
        <v>1414.7</v>
      </c>
      <c r="V17" t="n">
        <v>1584.6</v>
      </c>
      <c r="W17" t="n">
        <v>1512.5</v>
      </c>
      <c r="X17" t="n">
        <v>1512.3</v>
      </c>
      <c r="Y17" t="n">
        <v>1564.6</v>
      </c>
      <c r="Z17" t="n">
        <v>1639</v>
      </c>
      <c r="AA17" t="n">
        <v>1951</v>
      </c>
      <c r="AB17" t="n">
        <v>2127.1</v>
      </c>
      <c r="AC17" t="n">
        <v>2346.4</v>
      </c>
      <c r="AD17" t="n">
        <v>2344.8</v>
      </c>
      <c r="AE17" t="n">
        <v>2418</v>
      </c>
      <c r="AF17" t="n">
        <v>2119.1</v>
      </c>
    </row>
    <row r="18">
      <c r="A18" t="s">
        <v>42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1560.4</v>
      </c>
      <c r="H18" t="n">
        <v>1519.7</v>
      </c>
      <c r="I18" t="n">
        <v>1559.2</v>
      </c>
      <c r="J18" t="n">
        <v>1624.3</v>
      </c>
      <c r="K18" t="n">
        <v>1669.7</v>
      </c>
      <c r="L18" t="n">
        <v>1802.3</v>
      </c>
      <c r="M18" t="n">
        <v>1828.7</v>
      </c>
      <c r="N18" t="n">
        <v>1938</v>
      </c>
      <c r="O18" t="n">
        <v>1921.5</v>
      </c>
      <c r="P18" t="n">
        <v>2020.8</v>
      </c>
      <c r="Q18" t="n">
        <v>2047</v>
      </c>
      <c r="R18" t="n">
        <v>2125.7</v>
      </c>
      <c r="S18" t="n">
        <v>2383.3</v>
      </c>
      <c r="T18" t="n">
        <v>2400.5</v>
      </c>
      <c r="U18" t="n">
        <v>2555.8</v>
      </c>
      <c r="V18" t="n">
        <v>3073.5</v>
      </c>
      <c r="W18" t="n">
        <v>2819.9</v>
      </c>
      <c r="X18" t="n">
        <v>2759.2</v>
      </c>
      <c r="Y18" t="n">
        <v>2855.9</v>
      </c>
      <c r="Z18" t="n">
        <v>3506.3</v>
      </c>
      <c r="AA18" t="n">
        <v>3986.3</v>
      </c>
      <c r="AB18" t="n">
        <v>3790.7</v>
      </c>
      <c r="AC18" t="n">
        <v>3782.1</v>
      </c>
      <c r="AD18" t="n">
        <v>4142.5</v>
      </c>
      <c r="AE18" t="n">
        <v>3650.3</v>
      </c>
      <c r="AF18" t="n">
        <v>4108.2</v>
      </c>
    </row>
    <row r="19">
      <c r="A19" t="s">
        <v>42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179.9</v>
      </c>
      <c r="H19" t="n">
        <v>175.2</v>
      </c>
      <c r="I19" t="n">
        <v>179.8</v>
      </c>
      <c r="J19" t="n">
        <v>187.3</v>
      </c>
      <c r="K19" t="n">
        <v>192.5</v>
      </c>
      <c r="L19" t="n">
        <v>207.8</v>
      </c>
      <c r="M19" t="n">
        <v>210.9</v>
      </c>
      <c r="N19" t="n">
        <v>223.5</v>
      </c>
      <c r="O19" t="n">
        <v>221.6</v>
      </c>
      <c r="P19" t="n">
        <v>233</v>
      </c>
      <c r="Q19" t="n">
        <v>236.1</v>
      </c>
      <c r="R19" t="n">
        <v>245.1</v>
      </c>
      <c r="S19" t="n">
        <v>274.8</v>
      </c>
      <c r="T19" t="n">
        <v>291.7</v>
      </c>
      <c r="U19" t="n">
        <v>297</v>
      </c>
      <c r="V19" t="n">
        <v>273</v>
      </c>
      <c r="W19" t="n">
        <v>261.7</v>
      </c>
      <c r="X19" t="n">
        <v>247.3</v>
      </c>
      <c r="Y19" t="n">
        <v>271</v>
      </c>
      <c r="Z19" t="n">
        <v>289.8</v>
      </c>
      <c r="AA19" t="n">
        <v>507.5</v>
      </c>
      <c r="AB19" t="n">
        <v>471.9</v>
      </c>
      <c r="AC19" t="n">
        <v>526.2</v>
      </c>
      <c r="AD19" t="n">
        <v>532.4</v>
      </c>
      <c r="AE19" t="n">
        <v>459.8</v>
      </c>
      <c r="AF19" t="n">
        <v>441.1</v>
      </c>
    </row>
    <row r="20">
      <c r="A20" t="s">
        <v>42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34.9</v>
      </c>
      <c r="H20" t="n">
        <v>33.9</v>
      </c>
      <c r="I20" t="n">
        <v>34.8</v>
      </c>
      <c r="J20" t="n">
        <v>36.3</v>
      </c>
      <c r="K20" t="n">
        <v>37.3</v>
      </c>
      <c r="L20" t="n">
        <v>40.3</v>
      </c>
      <c r="M20" t="n">
        <v>40.8</v>
      </c>
      <c r="N20" t="n">
        <v>43.3</v>
      </c>
      <c r="O20" t="n">
        <v>42.9</v>
      </c>
      <c r="P20" t="n">
        <v>45.1</v>
      </c>
      <c r="Q20" t="n">
        <v>45.7</v>
      </c>
      <c r="R20" t="n">
        <v>47.5</v>
      </c>
      <c r="S20" t="n">
        <v>53.2</v>
      </c>
      <c r="T20" t="n">
        <v>9.1</v>
      </c>
      <c r="U20" t="n">
        <v>19.6</v>
      </c>
      <c r="V20" t="n">
        <v>23.8</v>
      </c>
      <c r="W20" t="n">
        <v>32.6</v>
      </c>
      <c r="X20" t="n">
        <v>35.1</v>
      </c>
      <c r="Y20" t="n">
        <v>14.2</v>
      </c>
      <c r="Z20" t="n">
        <v>23.8</v>
      </c>
      <c r="AA20" t="n">
        <v>38.6</v>
      </c>
      <c r="AB20" t="n">
        <v>60.9</v>
      </c>
      <c r="AC20" t="n">
        <v>60.9</v>
      </c>
      <c r="AD20" t="n">
        <v>58.4</v>
      </c>
      <c r="AE20" t="n">
        <v>60.6</v>
      </c>
      <c r="AF20" t="n">
        <v>34.2</v>
      </c>
    </row>
    <row r="21">
      <c r="A21" t="s">
        <v>42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42.8</v>
      </c>
      <c r="H21" t="n">
        <v>41.6</v>
      </c>
      <c r="I21" t="n">
        <v>42.7</v>
      </c>
      <c r="J21" t="n">
        <v>44.6</v>
      </c>
      <c r="K21" t="n">
        <v>45.8</v>
      </c>
      <c r="L21" t="n">
        <v>49.5</v>
      </c>
      <c r="M21" t="n">
        <v>50.1</v>
      </c>
      <c r="N21" t="n">
        <v>53.2</v>
      </c>
      <c r="O21" t="n">
        <v>52.7</v>
      </c>
      <c r="P21" t="n">
        <v>55.4</v>
      </c>
      <c r="Q21" t="n">
        <v>56.1</v>
      </c>
      <c r="R21" t="n">
        <v>58.3</v>
      </c>
      <c r="S21" t="n">
        <v>65.3</v>
      </c>
      <c r="T21" t="n">
        <v>29.5</v>
      </c>
      <c r="U21" t="n">
        <v>29.3</v>
      </c>
      <c r="V21" t="n">
        <v>33.6</v>
      </c>
      <c r="W21" t="n">
        <v>44</v>
      </c>
      <c r="X21" t="n">
        <v>45.2</v>
      </c>
      <c r="Y21" t="n">
        <v>27.5</v>
      </c>
      <c r="Z21" t="n">
        <v>43.5</v>
      </c>
      <c r="AA21" t="n">
        <v>73</v>
      </c>
      <c r="AB21" t="n">
        <v>102.4</v>
      </c>
      <c r="AC21" t="n">
        <v>119.8</v>
      </c>
      <c r="AD21" t="n">
        <v>120.1</v>
      </c>
      <c r="AE21" t="n">
        <v>114.1</v>
      </c>
      <c r="AF21" t="n">
        <v>96.3</v>
      </c>
    </row>
    <row r="22">
      <c r="A22" t="s">
        <v>42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7.9</v>
      </c>
      <c r="H22" t="n">
        <v>7.7</v>
      </c>
      <c r="I22" t="n">
        <v>7.9</v>
      </c>
      <c r="J22" t="n">
        <v>8.3</v>
      </c>
      <c r="K22" t="n">
        <v>8.5</v>
      </c>
      <c r="L22" t="n">
        <v>9.2</v>
      </c>
      <c r="M22" t="n">
        <v>9.3</v>
      </c>
      <c r="N22" t="n">
        <v>9.9</v>
      </c>
      <c r="O22" t="n">
        <v>9.8</v>
      </c>
      <c r="P22" t="n">
        <v>10.3</v>
      </c>
      <c r="Q22" t="n">
        <v>10.4</v>
      </c>
      <c r="R22" t="n">
        <v>10.8</v>
      </c>
      <c r="S22" t="n">
        <v>12.1</v>
      </c>
      <c r="T22" t="n">
        <v>20.4</v>
      </c>
      <c r="U22" t="n">
        <v>9.7</v>
      </c>
      <c r="V22" t="n">
        <v>9.8</v>
      </c>
      <c r="W22" t="n">
        <v>11.4</v>
      </c>
      <c r="X22" t="n">
        <v>10.1</v>
      </c>
      <c r="Y22" t="n">
        <v>13.3</v>
      </c>
      <c r="Z22" t="n">
        <v>19.7</v>
      </c>
      <c r="AA22" t="n">
        <v>34.4</v>
      </c>
      <c r="AB22" t="n">
        <v>41.5</v>
      </c>
      <c r="AC22" t="n">
        <v>58.9</v>
      </c>
      <c r="AD22" t="n">
        <v>61.7</v>
      </c>
      <c r="AE22" t="n">
        <v>53.5</v>
      </c>
      <c r="AF22" t="n">
        <v>62.1</v>
      </c>
    </row>
    <row r="23">
      <c r="A23" t="s">
        <v>42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39.9</v>
      </c>
      <c r="H23" t="n">
        <v>38.9</v>
      </c>
      <c r="I23" t="n">
        <v>39.9</v>
      </c>
      <c r="J23" t="n">
        <v>41.6</v>
      </c>
      <c r="K23" t="n">
        <v>42.7</v>
      </c>
      <c r="L23" t="n">
        <v>46.1</v>
      </c>
      <c r="M23" t="n">
        <v>46.8</v>
      </c>
      <c r="N23" t="n">
        <v>49.6</v>
      </c>
      <c r="O23" t="n">
        <v>49.2</v>
      </c>
      <c r="P23" t="n">
        <v>51.7</v>
      </c>
      <c r="Q23" t="n">
        <v>52.4</v>
      </c>
      <c r="R23" t="n">
        <v>54.4</v>
      </c>
      <c r="S23" t="n">
        <v>61</v>
      </c>
      <c r="T23" t="n">
        <v>102.1</v>
      </c>
      <c r="U23" t="n">
        <v>62.6</v>
      </c>
      <c r="V23" t="n">
        <v>51.8</v>
      </c>
      <c r="W23" t="n">
        <v>54</v>
      </c>
      <c r="X23" t="n">
        <v>279.5</v>
      </c>
      <c r="Y23" t="n">
        <v>42.7</v>
      </c>
      <c r="Z23" t="n">
        <v>99.6</v>
      </c>
      <c r="AA23" t="n">
        <v>125.1</v>
      </c>
      <c r="AB23" t="n">
        <v>183.5</v>
      </c>
      <c r="AC23" t="n">
        <v>159.5</v>
      </c>
      <c r="AD23" t="n">
        <v>200</v>
      </c>
      <c r="AE23" t="n">
        <v>169.1</v>
      </c>
      <c r="AF23" t="n">
        <v>193.5</v>
      </c>
    </row>
    <row r="24">
      <c r="A24" t="s">
        <v>42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245</v>
      </c>
      <c r="H24" t="n">
        <v>238.6</v>
      </c>
      <c r="I24" t="n">
        <v>244.8</v>
      </c>
      <c r="J24" t="n">
        <v>255</v>
      </c>
      <c r="K24" t="n">
        <v>262.1</v>
      </c>
      <c r="L24" t="n">
        <v>282.9</v>
      </c>
      <c r="M24" t="n">
        <v>287.1</v>
      </c>
      <c r="N24" t="n">
        <v>304.2</v>
      </c>
      <c r="O24" t="n">
        <v>301.7</v>
      </c>
      <c r="P24" t="n">
        <v>317.2</v>
      </c>
      <c r="Q24" t="n">
        <v>321.4</v>
      </c>
      <c r="R24" t="n">
        <v>333.7</v>
      </c>
      <c r="S24" t="n">
        <v>374.1</v>
      </c>
      <c r="T24" t="n">
        <v>229.3</v>
      </c>
      <c r="U24" t="n">
        <v>250.4</v>
      </c>
      <c r="V24" t="n">
        <v>499.6</v>
      </c>
      <c r="W24" t="n">
        <v>259.2</v>
      </c>
      <c r="X24" t="n">
        <v>251.9</v>
      </c>
      <c r="Y24" t="n">
        <v>285.3</v>
      </c>
      <c r="Z24" t="n">
        <v>378.8</v>
      </c>
      <c r="AA24" t="n">
        <v>680.9</v>
      </c>
      <c r="AB24" t="n">
        <v>693.2</v>
      </c>
      <c r="AC24" t="n">
        <v>602.1</v>
      </c>
      <c r="AD24" t="n">
        <v>847.4</v>
      </c>
      <c r="AE24" t="n">
        <v>614.9</v>
      </c>
      <c r="AF24" t="n">
        <v>792</v>
      </c>
    </row>
    <row r="25">
      <c r="A25" t="s">
        <v>42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42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55.8</v>
      </c>
      <c r="H28" t="n">
        <v>54.3</v>
      </c>
      <c r="I28" t="n">
        <v>55.7</v>
      </c>
      <c r="J28" t="n">
        <v>58.1</v>
      </c>
      <c r="K28" t="n">
        <v>59.7</v>
      </c>
      <c r="L28" t="n">
        <v>62.7</v>
      </c>
      <c r="M28" t="n">
        <v>63.5</v>
      </c>
      <c r="N28" t="n">
        <v>66</v>
      </c>
      <c r="O28" t="n">
        <v>67.1</v>
      </c>
      <c r="P28" t="n">
        <v>69.6</v>
      </c>
      <c r="Q28" t="n">
        <v>72.4</v>
      </c>
      <c r="R28" t="n">
        <v>74.7</v>
      </c>
      <c r="S28" t="n">
        <v>82.5</v>
      </c>
      <c r="T28" t="n">
        <v>70.9</v>
      </c>
      <c r="U28" t="n">
        <v>55.1</v>
      </c>
      <c r="V28" t="n">
        <v>30.8</v>
      </c>
      <c r="W28" t="n">
        <v>16</v>
      </c>
      <c r="X28" t="n">
        <v>35.9</v>
      </c>
      <c r="Y28" t="n">
        <v>20.8</v>
      </c>
      <c r="Z28" t="n">
        <v>91.1</v>
      </c>
      <c r="AA28" t="n">
        <v>114.2</v>
      </c>
      <c r="AB28" t="n">
        <v>139.5</v>
      </c>
      <c r="AC28" t="n">
        <v>183.9</v>
      </c>
      <c r="AD28" t="n">
        <v>189.2</v>
      </c>
      <c r="AE28" t="n">
        <v>178.6</v>
      </c>
      <c r="AF28" t="n">
        <v>83.1</v>
      </c>
    </row>
    <row r="29">
      <c r="A29" t="s">
        <v>42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42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1.8</v>
      </c>
      <c r="H34" t="n">
        <v>1.8</v>
      </c>
      <c r="I34" t="n">
        <v>1.8</v>
      </c>
      <c r="J34" t="n">
        <v>1.9</v>
      </c>
      <c r="K34" t="n">
        <v>2</v>
      </c>
      <c r="L34" t="n">
        <v>2.1</v>
      </c>
      <c r="M34" t="n">
        <v>2.1</v>
      </c>
      <c r="N34" t="n">
        <v>2.3</v>
      </c>
      <c r="O34" t="n">
        <v>2.2</v>
      </c>
      <c r="P34" t="n">
        <v>2.4</v>
      </c>
      <c r="Q34" t="n">
        <v>2.4</v>
      </c>
      <c r="R34" t="n">
        <v>2.5</v>
      </c>
      <c r="S34" t="n">
        <v>2.8</v>
      </c>
      <c r="T34" t="n">
        <v>4.2</v>
      </c>
      <c r="U34" t="n">
        <v>4.9</v>
      </c>
      <c r="V34" t="n">
        <v>3.6</v>
      </c>
      <c r="W34" t="n">
        <v>4.8</v>
      </c>
      <c r="X34" t="n">
        <v>3.5</v>
      </c>
      <c r="Y34" t="n">
        <v>4</v>
      </c>
      <c r="Z34" t="n">
        <v>4</v>
      </c>
      <c r="AA34" t="n">
        <v>6.8</v>
      </c>
      <c r="AB34" t="n">
        <v>12.3</v>
      </c>
      <c r="AC34" t="n">
        <v>17.9</v>
      </c>
      <c r="AD34" t="n">
        <v>20.8</v>
      </c>
      <c r="AE34" t="n">
        <v>11.6</v>
      </c>
      <c r="AF34" t="n">
        <v>7.1</v>
      </c>
    </row>
    <row r="35">
      <c r="A35" t="s">
        <v>42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744.6</v>
      </c>
      <c r="H35" t="n">
        <v>725.2</v>
      </c>
      <c r="I35" t="n">
        <v>744.1</v>
      </c>
      <c r="J35" t="n">
        <v>775.1</v>
      </c>
      <c r="K35" t="n">
        <v>796.7</v>
      </c>
      <c r="L35" t="n">
        <v>860</v>
      </c>
      <c r="M35" t="n">
        <v>872.7</v>
      </c>
      <c r="N35" t="n">
        <v>924.9</v>
      </c>
      <c r="O35" t="n">
        <v>916.9</v>
      </c>
      <c r="P35" t="n">
        <v>965.2</v>
      </c>
      <c r="Q35" t="n">
        <v>977.8</v>
      </c>
      <c r="R35" t="n">
        <v>1015.3</v>
      </c>
      <c r="S35" t="n">
        <v>1138.4</v>
      </c>
      <c r="T35" t="n">
        <v>1533.4</v>
      </c>
      <c r="U35" t="n">
        <v>1315.9</v>
      </c>
      <c r="V35" t="n">
        <v>1258.7</v>
      </c>
      <c r="W35" t="n">
        <v>1244.6</v>
      </c>
      <c r="X35" t="n">
        <v>1377.3</v>
      </c>
      <c r="Y35" t="n">
        <v>1094.3</v>
      </c>
      <c r="Z35" t="n">
        <v>1304.8</v>
      </c>
      <c r="AA35" t="n">
        <v>1447.6</v>
      </c>
      <c r="AB35" t="n">
        <v>1587.3</v>
      </c>
      <c r="AC35" t="n">
        <v>1659.3</v>
      </c>
      <c r="AD35" t="n">
        <v>1884.9</v>
      </c>
      <c r="AE35" t="n">
        <v>1774.4</v>
      </c>
      <c r="AF35" t="n">
        <v>1581.1</v>
      </c>
    </row>
    <row r="36">
      <c r="A36" t="s">
        <v>42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10.5</v>
      </c>
      <c r="H36" t="n">
        <v>10.2</v>
      </c>
      <c r="I36" t="n">
        <v>10.5</v>
      </c>
      <c r="J36" t="n">
        <v>10.9</v>
      </c>
      <c r="K36" t="n">
        <v>11.2</v>
      </c>
      <c r="L36" t="n">
        <v>12.1</v>
      </c>
      <c r="M36" t="n">
        <v>12.3</v>
      </c>
      <c r="N36" t="n">
        <v>13.1</v>
      </c>
      <c r="O36" t="n">
        <v>12.9</v>
      </c>
      <c r="P36" t="n">
        <v>13.6</v>
      </c>
      <c r="Q36" t="n">
        <v>13.8</v>
      </c>
      <c r="R36" t="n">
        <v>14.3</v>
      </c>
      <c r="S36" t="n">
        <v>16.1</v>
      </c>
      <c r="T36" t="n">
        <v>18.3</v>
      </c>
      <c r="U36" t="n">
        <v>15</v>
      </c>
      <c r="V36" t="n">
        <v>14.6</v>
      </c>
      <c r="W36" t="n">
        <v>8.8</v>
      </c>
      <c r="X36" t="n">
        <v>15.3</v>
      </c>
      <c r="Y36" t="n">
        <v>18.5</v>
      </c>
      <c r="Z36" t="n">
        <v>27.9</v>
      </c>
      <c r="AA36" t="n">
        <v>36.7</v>
      </c>
      <c r="AB36" t="n">
        <v>41.2</v>
      </c>
      <c r="AC36" t="n">
        <v>56</v>
      </c>
      <c r="AD36" t="n">
        <v>63.9</v>
      </c>
      <c r="AE36" t="n">
        <v>114.9</v>
      </c>
      <c r="AF36" t="n">
        <v>40.2</v>
      </c>
    </row>
    <row r="37">
      <c r="A37" t="s">
        <v>42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564.1</v>
      </c>
      <c r="H37" t="n">
        <v>549.4</v>
      </c>
      <c r="I37" t="n">
        <v>563.7</v>
      </c>
      <c r="J37" t="n">
        <v>587.2</v>
      </c>
      <c r="K37" t="n">
        <v>603.6</v>
      </c>
      <c r="L37" t="n">
        <v>651.5</v>
      </c>
      <c r="M37" t="n">
        <v>661.1</v>
      </c>
      <c r="N37" t="n">
        <v>700.6</v>
      </c>
      <c r="O37" t="n">
        <v>694.6</v>
      </c>
      <c r="P37" t="n">
        <v>730.5</v>
      </c>
      <c r="Q37" t="n">
        <v>740</v>
      </c>
      <c r="R37" t="n">
        <v>768.4</v>
      </c>
      <c r="S37" t="n">
        <v>861.6</v>
      </c>
      <c r="T37" t="n">
        <v>1176.6</v>
      </c>
      <c r="U37" t="n">
        <v>949.8</v>
      </c>
      <c r="V37" t="n">
        <v>908</v>
      </c>
      <c r="W37" t="n">
        <v>845.7</v>
      </c>
      <c r="X37" t="n">
        <v>620.1</v>
      </c>
      <c r="Y37" t="n">
        <v>667.4</v>
      </c>
      <c r="Z37" t="n">
        <v>737</v>
      </c>
      <c r="AA37" t="n">
        <v>513.6</v>
      </c>
      <c r="AB37" t="n">
        <v>465.3</v>
      </c>
      <c r="AC37" t="n">
        <v>384.6</v>
      </c>
      <c r="AD37" t="n">
        <v>377.2</v>
      </c>
      <c r="AE37" t="n">
        <v>361.4</v>
      </c>
      <c r="AF37" t="n">
        <v>322.2</v>
      </c>
    </row>
    <row r="38">
      <c r="A38" t="s">
        <v>42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170</v>
      </c>
      <c r="H38" t="n">
        <v>165.6</v>
      </c>
      <c r="I38" t="n">
        <v>169.9</v>
      </c>
      <c r="J38" t="n">
        <v>177</v>
      </c>
      <c r="K38" t="n">
        <v>181.9</v>
      </c>
      <c r="L38" t="n">
        <v>196.4</v>
      </c>
      <c r="M38" t="n">
        <v>199.3</v>
      </c>
      <c r="N38" t="n">
        <v>211.2</v>
      </c>
      <c r="O38" t="n">
        <v>209.4</v>
      </c>
      <c r="P38" t="n">
        <v>221.1</v>
      </c>
      <c r="Q38" t="n">
        <v>224</v>
      </c>
      <c r="R38" t="n">
        <v>232.6</v>
      </c>
      <c r="S38" t="n">
        <v>260.7</v>
      </c>
      <c r="T38" t="n">
        <v>338.5</v>
      </c>
      <c r="U38" t="n">
        <v>351.1</v>
      </c>
      <c r="V38" t="n">
        <v>336.1</v>
      </c>
      <c r="W38" t="n">
        <v>390.1</v>
      </c>
      <c r="X38" t="n">
        <v>741.9</v>
      </c>
      <c r="Y38" t="n">
        <v>408.4</v>
      </c>
      <c r="Z38" t="n">
        <v>539.9</v>
      </c>
      <c r="AA38" t="n">
        <v>897.3</v>
      </c>
      <c r="AB38" t="n">
        <v>1080.8</v>
      </c>
      <c r="AC38" t="n">
        <v>1218.7</v>
      </c>
      <c r="AD38" t="n">
        <v>1443.8</v>
      </c>
      <c r="AE38" t="n">
        <v>1298.1</v>
      </c>
      <c r="AF38" t="n">
        <v>1218.7</v>
      </c>
    </row>
    <row r="39">
      <c r="A39" t="s">
        <v>42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381.6</v>
      </c>
      <c r="H39" t="n">
        <v>371.6</v>
      </c>
      <c r="I39" t="n">
        <v>381.3</v>
      </c>
      <c r="J39" t="n">
        <v>397.2</v>
      </c>
      <c r="K39" t="n">
        <v>408.3</v>
      </c>
      <c r="L39" t="n">
        <v>440.8</v>
      </c>
      <c r="M39" t="n">
        <v>447.2</v>
      </c>
      <c r="N39" t="n">
        <v>473.9</v>
      </c>
      <c r="O39" t="n">
        <v>469.9</v>
      </c>
      <c r="P39" t="n">
        <v>494.2</v>
      </c>
      <c r="Q39" t="n">
        <v>500.6</v>
      </c>
      <c r="R39" t="n">
        <v>519.8</v>
      </c>
      <c r="S39" t="n">
        <v>582.8</v>
      </c>
      <c r="T39" t="n">
        <v>548.9</v>
      </c>
      <c r="U39" t="n">
        <v>557.9</v>
      </c>
      <c r="V39" t="n">
        <v>207</v>
      </c>
      <c r="W39" t="n">
        <v>327.3</v>
      </c>
      <c r="X39" t="n">
        <v>253.9</v>
      </c>
      <c r="Y39" t="n">
        <v>271.6</v>
      </c>
      <c r="Z39" t="n">
        <v>343.9</v>
      </c>
      <c r="AA39" t="n">
        <v>373.9</v>
      </c>
      <c r="AB39" t="n">
        <v>359.4</v>
      </c>
      <c r="AC39" t="n">
        <v>317.6</v>
      </c>
      <c r="AD39" t="n">
        <v>329.8</v>
      </c>
      <c r="AE39" t="n">
        <v>512.3</v>
      </c>
      <c r="AF39" t="n">
        <v>395.6</v>
      </c>
    </row>
    <row r="40">
      <c r="A40" t="s">
        <v>42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8.2</v>
      </c>
      <c r="H40" t="n">
        <v>8</v>
      </c>
      <c r="I40" t="n">
        <v>8.2</v>
      </c>
      <c r="J40" t="n">
        <v>8.5</v>
      </c>
      <c r="K40" t="n">
        <v>8.8</v>
      </c>
      <c r="L40" t="n">
        <v>9.4</v>
      </c>
      <c r="M40" t="n">
        <v>9.6</v>
      </c>
      <c r="N40" t="n">
        <v>10.2</v>
      </c>
      <c r="O40" t="n">
        <v>10.1</v>
      </c>
      <c r="P40" t="n">
        <v>10.6</v>
      </c>
      <c r="Q40" t="n">
        <v>10.7</v>
      </c>
      <c r="R40" t="n">
        <v>11.1</v>
      </c>
      <c r="S40" t="n">
        <v>12.5</v>
      </c>
      <c r="T40" t="n">
        <v>4.6</v>
      </c>
      <c r="U40" t="n">
        <v>9</v>
      </c>
      <c r="V40" t="n">
        <v>6</v>
      </c>
      <c r="W40" t="n">
        <v>9.2</v>
      </c>
      <c r="X40" t="n">
        <v>0.7</v>
      </c>
      <c r="Y40" t="n">
        <v>4.6</v>
      </c>
      <c r="Z40" t="n">
        <v>2.8</v>
      </c>
      <c r="AA40" t="n">
        <v>18.8</v>
      </c>
      <c r="AB40" t="n">
        <v>4.6</v>
      </c>
      <c r="AC40" t="n">
        <v>10.3</v>
      </c>
      <c r="AD40" t="n">
        <v>7.9</v>
      </c>
      <c r="AE40" t="n">
        <v>8.6</v>
      </c>
      <c r="AF40" t="n">
        <v>19.2</v>
      </c>
    </row>
    <row r="41">
      <c r="A41" t="s">
        <v>42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42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3840.9</v>
      </c>
      <c r="H42" t="n">
        <v>3886.5</v>
      </c>
      <c r="I42" t="n">
        <v>4105.2</v>
      </c>
      <c r="J42" t="n">
        <v>4392.3</v>
      </c>
      <c r="K42" t="n">
        <v>4798.4</v>
      </c>
      <c r="L42" t="n">
        <v>5264.2</v>
      </c>
      <c r="M42" t="n">
        <v>5508.4</v>
      </c>
      <c r="N42" t="n">
        <v>5496.6</v>
      </c>
      <c r="O42" t="n">
        <v>5415.1</v>
      </c>
      <c r="P42" t="n">
        <v>5830.1</v>
      </c>
      <c r="Q42" t="n">
        <v>6163.5</v>
      </c>
      <c r="R42" t="n">
        <v>6521.7</v>
      </c>
      <c r="S42" t="n">
        <v>6701.2</v>
      </c>
      <c r="T42" t="n">
        <v>7007.7</v>
      </c>
      <c r="U42" t="n">
        <v>6897.2</v>
      </c>
      <c r="V42" t="n">
        <v>6907</v>
      </c>
      <c r="W42" t="n">
        <v>6882.9</v>
      </c>
      <c r="X42" t="n">
        <v>6763.8</v>
      </c>
      <c r="Y42" t="n">
        <v>6390.4</v>
      </c>
      <c r="Z42" t="n">
        <v>6702.2</v>
      </c>
      <c r="AA42" t="n">
        <v>6877.9</v>
      </c>
      <c r="AB42" t="n">
        <v>6646.4</v>
      </c>
      <c r="AC42" t="n">
        <v>7168.4</v>
      </c>
      <c r="AD42" t="n">
        <v>7439.5</v>
      </c>
      <c r="AE42" t="n">
        <v>7485.7</v>
      </c>
      <c r="AF42" t="n">
        <v>7630.8</v>
      </c>
    </row>
    <row r="43">
      <c r="A43" t="s">
        <v>42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3853.8</v>
      </c>
      <c r="H43" t="n">
        <v>3899</v>
      </c>
      <c r="I43" t="n">
        <v>4118</v>
      </c>
      <c r="J43" t="n">
        <v>4405.7</v>
      </c>
      <c r="K43" t="n">
        <v>4812.2</v>
      </c>
      <c r="L43" t="n">
        <v>5279.1</v>
      </c>
      <c r="M43" t="n">
        <v>5524.4</v>
      </c>
      <c r="N43" t="n">
        <v>5514.5</v>
      </c>
      <c r="O43" t="n">
        <v>5437.7</v>
      </c>
      <c r="P43" t="n">
        <v>5887</v>
      </c>
      <c r="Q43" t="n">
        <v>6220.8</v>
      </c>
      <c r="R43" t="n">
        <v>6581</v>
      </c>
      <c r="S43" t="n">
        <v>6763</v>
      </c>
      <c r="T43" t="n">
        <v>7050.9</v>
      </c>
      <c r="U43" t="n">
        <v>6928.4</v>
      </c>
      <c r="V43" t="n">
        <v>6940.9</v>
      </c>
      <c r="W43" t="n">
        <v>6914.7</v>
      </c>
      <c r="X43" t="n">
        <v>6796.7</v>
      </c>
      <c r="Y43" t="n">
        <v>6444.2</v>
      </c>
      <c r="Z43" t="n">
        <v>6792.5</v>
      </c>
      <c r="AA43" t="n">
        <v>7014.4</v>
      </c>
      <c r="AB43" t="n">
        <v>6792.9</v>
      </c>
      <c r="AC43" t="n">
        <v>7351.7</v>
      </c>
      <c r="AD43" t="n">
        <v>7646.1</v>
      </c>
      <c r="AE43" t="n">
        <v>7630.7</v>
      </c>
      <c r="AF43" t="n">
        <v>7770.9</v>
      </c>
    </row>
    <row r="44">
      <c r="A44" t="s">
        <v>42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10786.8</v>
      </c>
      <c r="H44" t="n">
        <v>10651.2</v>
      </c>
      <c r="I44" t="n">
        <v>11045.7</v>
      </c>
      <c r="J44" t="n">
        <v>11629.1</v>
      </c>
      <c r="K44" t="n">
        <v>12241.5</v>
      </c>
      <c r="L44" t="n">
        <v>13296.6</v>
      </c>
      <c r="M44" t="n">
        <v>13659.6</v>
      </c>
      <c r="N44" t="n">
        <v>14134.7</v>
      </c>
      <c r="O44" t="n">
        <v>13988.4</v>
      </c>
      <c r="P44" t="n">
        <v>14887.1</v>
      </c>
      <c r="Q44" t="n">
        <v>15354.7</v>
      </c>
      <c r="R44" t="n">
        <v>16067</v>
      </c>
      <c r="S44" t="n">
        <v>17395</v>
      </c>
      <c r="T44" t="n">
        <v>18690.8</v>
      </c>
      <c r="U44" t="n">
        <v>18659.7</v>
      </c>
      <c r="V44" t="n">
        <v>19226.6</v>
      </c>
      <c r="W44" t="n">
        <v>18473.1</v>
      </c>
      <c r="X44" t="n">
        <v>18089.6</v>
      </c>
      <c r="Y44" t="n">
        <v>17578.1</v>
      </c>
      <c r="Z44" t="n">
        <v>20030.7</v>
      </c>
      <c r="AA44" t="n">
        <v>22513.7</v>
      </c>
      <c r="AB44" t="n">
        <v>22730.6</v>
      </c>
      <c r="AC44" t="n">
        <v>23769.4</v>
      </c>
      <c r="AD44" t="n">
        <v>25167.2</v>
      </c>
      <c r="AE44" t="n">
        <v>24705.9</v>
      </c>
      <c r="AF44" t="n">
        <v>24343.7</v>
      </c>
    </row>
    <row r="45">
      <c r="A45" t="s">
        <v>42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10785.2</v>
      </c>
      <c r="H45" t="n">
        <v>10649.7</v>
      </c>
      <c r="I45" t="n">
        <v>11044.1</v>
      </c>
      <c r="J45" t="n">
        <v>11627.4</v>
      </c>
      <c r="K45" t="n">
        <v>12239.8</v>
      </c>
      <c r="L45" t="n">
        <v>13294.8</v>
      </c>
      <c r="M45" t="n">
        <v>13657.7</v>
      </c>
      <c r="N45" t="n">
        <v>14132.7</v>
      </c>
      <c r="O45" t="n">
        <v>13986.4</v>
      </c>
      <c r="P45" t="n">
        <v>14885</v>
      </c>
      <c r="Q45" t="n">
        <v>15352.6</v>
      </c>
      <c r="R45" t="n">
        <v>16064.8</v>
      </c>
      <c r="S45" t="n">
        <v>17392.6</v>
      </c>
      <c r="T45" t="n">
        <v>18687.1</v>
      </c>
      <c r="U45" t="n">
        <v>18652.2</v>
      </c>
      <c r="V45" t="n">
        <v>19218.7</v>
      </c>
      <c r="W45" t="n">
        <v>18465.7</v>
      </c>
      <c r="X45" t="n">
        <v>18081.7</v>
      </c>
      <c r="Y45" t="n">
        <v>17566.7</v>
      </c>
      <c r="Z45" t="n">
        <v>20018.1</v>
      </c>
      <c r="AA45" t="n">
        <v>22494.1</v>
      </c>
      <c r="AB45" t="n">
        <v>22719.9</v>
      </c>
      <c r="AC45" t="n">
        <v>23757</v>
      </c>
      <c r="AD45" t="n">
        <v>25141.2</v>
      </c>
      <c r="AE45" t="n">
        <v>24672.1</v>
      </c>
      <c r="AF45" t="n">
        <v>24305.4</v>
      </c>
    </row>
    <row r="46">
      <c r="A46" t="s">
        <v>42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12.9</v>
      </c>
      <c r="H46" t="n">
        <v>12.5</v>
      </c>
      <c r="I46" t="n">
        <v>12.8</v>
      </c>
      <c r="J46" t="n">
        <v>13.4</v>
      </c>
      <c r="K46" t="n">
        <v>13.8</v>
      </c>
      <c r="L46" t="n">
        <v>14.9</v>
      </c>
      <c r="M46" t="n">
        <v>16</v>
      </c>
      <c r="N46" t="n">
        <v>17.9</v>
      </c>
      <c r="O46" t="n">
        <v>22.6</v>
      </c>
      <c r="P46" t="n">
        <v>56.9</v>
      </c>
      <c r="Q46" t="n">
        <v>57.3</v>
      </c>
      <c r="R46" t="n">
        <v>59.3</v>
      </c>
      <c r="S46" t="n">
        <v>61.8</v>
      </c>
      <c r="T46" t="n">
        <v>43.2</v>
      </c>
      <c r="U46" t="n">
        <v>31.2</v>
      </c>
      <c r="V46" t="n">
        <v>33.9</v>
      </c>
      <c r="W46" t="n">
        <v>31.8</v>
      </c>
      <c r="X46" t="n">
        <v>32.9</v>
      </c>
      <c r="Y46" t="n">
        <v>53.8</v>
      </c>
      <c r="Z46" t="n">
        <v>90.3</v>
      </c>
      <c r="AA46" t="n">
        <v>136.5</v>
      </c>
      <c r="AB46" t="n">
        <v>146.5</v>
      </c>
      <c r="AC46" t="n">
        <v>183.3</v>
      </c>
      <c r="AD46" t="n">
        <v>206.6</v>
      </c>
      <c r="AE46" t="n">
        <v>145</v>
      </c>
      <c r="AF46" t="n">
        <v>140.1</v>
      </c>
    </row>
    <row r="47">
      <c r="A47" t="s">
        <v>42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193.4</v>
      </c>
      <c r="H47" t="n">
        <v>194.3</v>
      </c>
      <c r="I47" t="n">
        <v>189.9</v>
      </c>
      <c r="J47" t="n">
        <v>190.9</v>
      </c>
      <c r="K47" t="n">
        <v>203</v>
      </c>
      <c r="L47" t="n">
        <v>281.8</v>
      </c>
      <c r="M47" t="n">
        <v>278.5</v>
      </c>
      <c r="N47" t="n">
        <v>276.6</v>
      </c>
      <c r="O47" t="n">
        <v>283.1</v>
      </c>
      <c r="P47" t="n">
        <v>294.8</v>
      </c>
      <c r="Q47" t="n">
        <v>262.1</v>
      </c>
      <c r="R47" t="n">
        <v>261.2</v>
      </c>
      <c r="S47" t="n">
        <v>265.7</v>
      </c>
      <c r="T47" t="n">
        <v>272.5</v>
      </c>
      <c r="U47" t="n">
        <v>301.8</v>
      </c>
      <c r="V47" t="n">
        <v>326.4</v>
      </c>
      <c r="W47" t="n">
        <v>216.4</v>
      </c>
      <c r="X47" t="n">
        <v>241.4</v>
      </c>
      <c r="Y47" t="n">
        <v>245.2</v>
      </c>
      <c r="Z47" t="n">
        <v>251.2</v>
      </c>
      <c r="AA47" t="n">
        <v>297.3</v>
      </c>
      <c r="AB47" t="n">
        <v>305.4</v>
      </c>
      <c r="AC47" t="n">
        <v>327.8</v>
      </c>
      <c r="AD47" t="n">
        <v>366.3</v>
      </c>
      <c r="AE47" t="n">
        <v>372.2</v>
      </c>
      <c r="AF47" t="n">
        <v>390.4</v>
      </c>
    </row>
    <row r="48">
      <c r="A48" t="s">
        <v>42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661.3</v>
      </c>
      <c r="H48" t="n">
        <v>662.1</v>
      </c>
      <c r="I48" t="n">
        <v>669.6</v>
      </c>
      <c r="J48" t="n">
        <v>689.3</v>
      </c>
      <c r="K48" t="n">
        <v>720.4</v>
      </c>
      <c r="L48" t="n">
        <v>842.7</v>
      </c>
      <c r="M48" t="n">
        <v>855.3</v>
      </c>
      <c r="N48" t="n">
        <v>958.2</v>
      </c>
      <c r="O48" t="n">
        <v>1020</v>
      </c>
      <c r="P48" t="n">
        <v>1056.8</v>
      </c>
      <c r="Q48" t="n">
        <v>1046.5</v>
      </c>
      <c r="R48" t="n">
        <v>1204.5</v>
      </c>
      <c r="S48" t="n">
        <v>1295.2</v>
      </c>
      <c r="T48" t="n">
        <v>1296.7</v>
      </c>
      <c r="U48" t="n">
        <v>1354.9</v>
      </c>
      <c r="V48" t="n">
        <v>1238.4</v>
      </c>
      <c r="W48" t="n">
        <v>1059.9</v>
      </c>
      <c r="X48" t="n">
        <v>1073.2</v>
      </c>
      <c r="Y48" t="n">
        <v>1066</v>
      </c>
      <c r="Z48" t="n">
        <v>1170.6</v>
      </c>
      <c r="AA48" t="n">
        <v>1138.8</v>
      </c>
      <c r="AB48" t="n">
        <v>1121.1</v>
      </c>
      <c r="AC48" t="n">
        <v>1100.5</v>
      </c>
      <c r="AD48" t="n">
        <v>1174.6</v>
      </c>
      <c r="AE48" t="n">
        <v>1290.6</v>
      </c>
      <c r="AF48" t="n">
        <v>1226.5</v>
      </c>
    </row>
    <row r="49">
      <c r="A49" t="s">
        <v>42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10</v>
      </c>
      <c r="H49" t="n">
        <v>11.3</v>
      </c>
      <c r="I49" t="n">
        <v>12</v>
      </c>
      <c r="J49" t="n">
        <v>12.9</v>
      </c>
      <c r="K49" t="n">
        <v>13.5</v>
      </c>
      <c r="L49" t="n">
        <v>15.8</v>
      </c>
      <c r="M49" t="n">
        <v>16.2</v>
      </c>
      <c r="N49" t="n">
        <v>18.4</v>
      </c>
      <c r="O49" t="n">
        <v>18.4</v>
      </c>
      <c r="P49" t="n">
        <v>19</v>
      </c>
      <c r="Q49" t="n">
        <v>18.2</v>
      </c>
      <c r="R49" t="n">
        <v>19.7</v>
      </c>
      <c r="S49" t="n">
        <v>33</v>
      </c>
      <c r="T49" t="n">
        <v>34.5</v>
      </c>
      <c r="U49" t="n">
        <v>36.4</v>
      </c>
      <c r="V49" t="n">
        <v>35.9</v>
      </c>
      <c r="W49" t="n">
        <v>30.5</v>
      </c>
      <c r="X49" t="n">
        <v>11.3</v>
      </c>
      <c r="Y49" t="n">
        <v>7.1</v>
      </c>
      <c r="Z49" t="n">
        <v>15.9</v>
      </c>
      <c r="AA49" t="n">
        <v>21.8</v>
      </c>
      <c r="AB49" t="n">
        <v>67.2</v>
      </c>
      <c r="AC49" t="n">
        <v>32.6</v>
      </c>
      <c r="AD49" t="n">
        <v>41.3</v>
      </c>
      <c r="AE49" t="n">
        <v>23.9</v>
      </c>
      <c r="AF49" t="n">
        <v>27.5</v>
      </c>
    </row>
    <row r="50">
      <c r="A50" t="s">
        <v>42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457.9</v>
      </c>
      <c r="H50" t="n">
        <v>456.5</v>
      </c>
      <c r="I50" t="n">
        <v>467.8</v>
      </c>
      <c r="J50" t="n">
        <v>485.6</v>
      </c>
      <c r="K50" t="n">
        <v>503.9</v>
      </c>
      <c r="L50" t="n">
        <v>545</v>
      </c>
      <c r="M50" t="n">
        <v>560.6</v>
      </c>
      <c r="N50" t="n">
        <v>663.2</v>
      </c>
      <c r="O50" t="n">
        <v>718.5</v>
      </c>
      <c r="P50" t="n">
        <v>743</v>
      </c>
      <c r="Q50" t="n">
        <v>766.1</v>
      </c>
      <c r="R50" t="n">
        <v>923.7</v>
      </c>
      <c r="S50" t="n">
        <v>996.5</v>
      </c>
      <c r="T50" t="n">
        <v>989.7</v>
      </c>
      <c r="U50" t="n">
        <v>1016.8</v>
      </c>
      <c r="V50" t="n">
        <v>876.1</v>
      </c>
      <c r="W50" t="n">
        <v>813</v>
      </c>
      <c r="X50" t="n">
        <v>820.5</v>
      </c>
      <c r="Y50" t="n">
        <v>813.8</v>
      </c>
      <c r="Z50" t="n">
        <v>903.4</v>
      </c>
      <c r="AA50" t="n">
        <v>819.8</v>
      </c>
      <c r="AB50" t="n">
        <v>748.5</v>
      </c>
      <c r="AC50" t="n">
        <v>740.1</v>
      </c>
      <c r="AD50" t="n">
        <v>767</v>
      </c>
      <c r="AE50" t="n">
        <v>894.5</v>
      </c>
      <c r="AF50" t="n">
        <v>808.6</v>
      </c>
    </row>
    <row r="51">
      <c r="A51" t="s">
        <v>42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457.7</v>
      </c>
      <c r="H51" t="n">
        <v>456.3</v>
      </c>
      <c r="I51" t="n">
        <v>467.6</v>
      </c>
      <c r="J51" t="n">
        <v>485.4</v>
      </c>
      <c r="K51" t="n">
        <v>503.7</v>
      </c>
      <c r="L51" t="n">
        <v>544.8</v>
      </c>
      <c r="M51" t="n">
        <v>560.4</v>
      </c>
      <c r="N51" t="n">
        <v>663</v>
      </c>
      <c r="O51" t="n">
        <v>718.3</v>
      </c>
      <c r="P51" t="n">
        <v>742.7</v>
      </c>
      <c r="Q51" t="n">
        <v>765.8</v>
      </c>
      <c r="R51" t="n">
        <v>923.4</v>
      </c>
      <c r="S51" t="n">
        <v>996.2</v>
      </c>
      <c r="T51" t="n">
        <v>989.2</v>
      </c>
      <c r="U51" t="n">
        <v>1016.3</v>
      </c>
      <c r="V51" t="n">
        <v>875.7</v>
      </c>
      <c r="W51" t="n">
        <v>811.3</v>
      </c>
      <c r="X51" t="n">
        <v>820.1</v>
      </c>
      <c r="Y51" t="n">
        <v>813.5</v>
      </c>
      <c r="Z51" t="n">
        <v>901.4</v>
      </c>
      <c r="AA51" t="n">
        <v>817</v>
      </c>
      <c r="AB51" t="n">
        <v>739.9</v>
      </c>
      <c r="AC51" t="n">
        <v>719.6</v>
      </c>
      <c r="AD51" t="n">
        <v>730.4</v>
      </c>
      <c r="AE51" t="n">
        <v>878.5</v>
      </c>
      <c r="AF51" t="n">
        <v>797.3</v>
      </c>
    </row>
    <row r="52">
      <c r="A52" t="s">
        <v>42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0.2</v>
      </c>
      <c r="H52" t="n">
        <v>0.2</v>
      </c>
      <c r="I52" t="n">
        <v>0.2</v>
      </c>
      <c r="J52" t="n">
        <v>0.2</v>
      </c>
      <c r="K52" t="n">
        <v>0.2</v>
      </c>
      <c r="L52" t="n">
        <v>0.2</v>
      </c>
      <c r="M52" t="n">
        <v>0.2</v>
      </c>
      <c r="N52" t="n">
        <v>0.2</v>
      </c>
      <c r="O52" t="n">
        <v>0.2</v>
      </c>
      <c r="P52" t="n">
        <v>0.3</v>
      </c>
      <c r="Q52" t="n">
        <v>0.3</v>
      </c>
      <c r="R52" t="n">
        <v>0.3</v>
      </c>
      <c r="S52" t="n">
        <v>0.3</v>
      </c>
      <c r="T52" t="n">
        <v>0.5</v>
      </c>
      <c r="U52" t="n">
        <v>0.5</v>
      </c>
      <c r="V52" t="n">
        <v>0.4</v>
      </c>
      <c r="W52" t="n">
        <v>1.7</v>
      </c>
      <c r="X52" t="n">
        <v>0.4</v>
      </c>
      <c r="Y52" t="n">
        <v>0.3</v>
      </c>
      <c r="Z52" t="n">
        <v>2</v>
      </c>
      <c r="AA52" t="n">
        <v>2.8</v>
      </c>
      <c r="AB52" t="n">
        <v>8.6</v>
      </c>
      <c r="AC52" t="n">
        <v>20.5</v>
      </c>
      <c r="AD52" t="n">
        <v>36.6</v>
      </c>
      <c r="AE52" t="n">
        <v>16</v>
      </c>
      <c r="AF52" t="n">
        <v>11.3</v>
      </c>
    </row>
    <row r="53">
      <c r="A53" t="s">
        <v>42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9.7</v>
      </c>
      <c r="H53" t="n">
        <v>9.6</v>
      </c>
      <c r="I53" t="n">
        <v>9.7</v>
      </c>
      <c r="J53" t="n">
        <v>16.1</v>
      </c>
      <c r="K53" t="n">
        <v>21</v>
      </c>
      <c r="L53" t="n">
        <v>22.5</v>
      </c>
      <c r="M53" t="n">
        <v>23.2</v>
      </c>
      <c r="N53" t="n">
        <v>24.7</v>
      </c>
      <c r="O53" t="n">
        <v>26.3</v>
      </c>
      <c r="P53" t="n">
        <v>35.7</v>
      </c>
      <c r="Q53" t="n">
        <v>47.3</v>
      </c>
      <c r="R53" t="n">
        <v>50.9</v>
      </c>
      <c r="S53" t="n">
        <v>54.7</v>
      </c>
      <c r="T53" t="n">
        <v>62</v>
      </c>
      <c r="U53" t="n">
        <v>56.8</v>
      </c>
      <c r="V53" t="n">
        <v>54.8</v>
      </c>
      <c r="W53" t="n">
        <v>51.3</v>
      </c>
      <c r="X53" t="n">
        <v>67.5</v>
      </c>
      <c r="Y53" t="n">
        <v>36.8</v>
      </c>
      <c r="Z53" t="n">
        <v>54.5</v>
      </c>
      <c r="AA53" t="n">
        <v>63.6</v>
      </c>
      <c r="AB53" t="n">
        <v>68</v>
      </c>
      <c r="AC53" t="n">
        <v>44.4</v>
      </c>
      <c r="AD53" t="n">
        <v>57.8</v>
      </c>
      <c r="AE53" t="n">
        <v>48.4</v>
      </c>
      <c r="AF53" t="n">
        <v>36.1</v>
      </c>
    </row>
    <row r="54">
      <c r="A54" t="s">
        <v>42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15.5</v>
      </c>
      <c r="H54" t="n">
        <v>15.3</v>
      </c>
      <c r="I54" t="n">
        <v>15.6</v>
      </c>
      <c r="J54" t="n">
        <v>22.2</v>
      </c>
      <c r="K54" t="n">
        <v>27.3</v>
      </c>
      <c r="L54" t="n">
        <v>29.4</v>
      </c>
      <c r="M54" t="n">
        <v>30.2</v>
      </c>
      <c r="N54" t="n">
        <v>32.1</v>
      </c>
      <c r="O54" t="n">
        <v>33.7</v>
      </c>
      <c r="P54" t="n">
        <v>43.4</v>
      </c>
      <c r="Q54" t="n">
        <v>58.9</v>
      </c>
      <c r="R54" t="n">
        <v>62.9</v>
      </c>
      <c r="S54" t="n">
        <v>68.3</v>
      </c>
      <c r="T54" t="n">
        <v>75</v>
      </c>
      <c r="U54" t="n">
        <v>75.1</v>
      </c>
      <c r="V54" t="n">
        <v>78.4</v>
      </c>
      <c r="W54" t="n">
        <v>84.1</v>
      </c>
      <c r="X54" t="n">
        <v>94</v>
      </c>
      <c r="Y54" t="n">
        <v>73.1</v>
      </c>
      <c r="Z54" t="n">
        <v>87.3</v>
      </c>
      <c r="AA54" t="n">
        <v>97.4</v>
      </c>
      <c r="AB54" t="n">
        <v>103.3</v>
      </c>
      <c r="AC54" t="n">
        <v>75</v>
      </c>
      <c r="AD54" t="n">
        <v>88</v>
      </c>
      <c r="AE54" t="n">
        <v>70.3</v>
      </c>
      <c r="AF54" t="n">
        <v>64.2</v>
      </c>
    </row>
    <row r="55">
      <c r="A55" t="s">
        <v>42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5.8</v>
      </c>
      <c r="H55" t="n">
        <v>5.7</v>
      </c>
      <c r="I55" t="n">
        <v>5.9</v>
      </c>
      <c r="J55" t="n">
        <v>6.1</v>
      </c>
      <c r="K55" t="n">
        <v>6.3</v>
      </c>
      <c r="L55" t="n">
        <v>6.9</v>
      </c>
      <c r="M55" t="n">
        <v>7</v>
      </c>
      <c r="N55" t="n">
        <v>7.4</v>
      </c>
      <c r="O55" t="n">
        <v>7.4</v>
      </c>
      <c r="P55" t="n">
        <v>7.7</v>
      </c>
      <c r="Q55" t="n">
        <v>11.6</v>
      </c>
      <c r="R55" t="n">
        <v>12</v>
      </c>
      <c r="S55" t="n">
        <v>13.6</v>
      </c>
      <c r="T55" t="n">
        <v>13</v>
      </c>
      <c r="U55" t="n">
        <v>18.3</v>
      </c>
      <c r="V55" t="n">
        <v>23.6</v>
      </c>
      <c r="W55" t="n">
        <v>32.8</v>
      </c>
      <c r="X55" t="n">
        <v>26.5</v>
      </c>
      <c r="Y55" t="n">
        <v>36.3</v>
      </c>
      <c r="Z55" t="n">
        <v>32.8</v>
      </c>
      <c r="AA55" t="n">
        <v>33.8</v>
      </c>
      <c r="AB55" t="n">
        <v>35.3</v>
      </c>
      <c r="AC55" t="n">
        <v>30.6</v>
      </c>
      <c r="AD55" t="n">
        <v>30.2</v>
      </c>
      <c r="AE55" t="n">
        <v>21.9</v>
      </c>
      <c r="AF55" t="n">
        <v>28.1</v>
      </c>
    </row>
    <row r="56">
      <c r="A56" t="s">
        <v>42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42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11456.3</v>
      </c>
      <c r="H57" t="n">
        <v>11321.3</v>
      </c>
      <c r="I57" t="n">
        <v>11723.6</v>
      </c>
      <c r="J57" t="n">
        <v>12327</v>
      </c>
      <c r="K57" t="n">
        <v>12970.7</v>
      </c>
      <c r="L57" t="n">
        <v>14148.6</v>
      </c>
      <c r="M57" t="n">
        <v>14524.5</v>
      </c>
      <c r="N57" t="n">
        <v>15103.1</v>
      </c>
      <c r="O57" t="n">
        <v>15018.5</v>
      </c>
      <c r="P57" t="n">
        <v>15954.5</v>
      </c>
      <c r="Q57" t="n">
        <v>16411.8</v>
      </c>
      <c r="R57" t="n">
        <v>17282.7</v>
      </c>
      <c r="S57" t="n">
        <v>18702.7</v>
      </c>
      <c r="T57" t="n">
        <v>19992.1</v>
      </c>
      <c r="U57" t="n">
        <v>20023.7</v>
      </c>
      <c r="V57" t="n">
        <v>20471</v>
      </c>
      <c r="W57" t="n">
        <v>19542.2</v>
      </c>
      <c r="X57" t="n">
        <v>19163.5</v>
      </c>
      <c r="Y57" t="n">
        <v>18648.8</v>
      </c>
      <c r="Z57" t="n">
        <v>21204</v>
      </c>
      <c r="AA57" t="n">
        <v>23671.4</v>
      </c>
      <c r="AB57" t="n">
        <v>23856.3</v>
      </c>
      <c r="AC57" t="n">
        <v>24880.2</v>
      </c>
      <c r="AD57" t="n">
        <v>26349.7</v>
      </c>
      <c r="AE57" t="n">
        <v>26005.1</v>
      </c>
      <c r="AF57" t="n">
        <v>25589.4</v>
      </c>
    </row>
    <row r="58">
      <c r="A58" t="s">
        <v>42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11456.3</v>
      </c>
      <c r="H58" t="n">
        <v>11321.3</v>
      </c>
      <c r="I58" t="n">
        <v>11723.6</v>
      </c>
      <c r="J58" t="n">
        <v>12327</v>
      </c>
      <c r="K58" t="n">
        <v>12970.7</v>
      </c>
      <c r="L58" t="n">
        <v>14148.6</v>
      </c>
      <c r="M58" t="n">
        <v>14524.5</v>
      </c>
      <c r="N58" t="n">
        <v>15103.1</v>
      </c>
      <c r="O58" t="n">
        <v>15018.5</v>
      </c>
      <c r="P58" t="n">
        <v>15954.5</v>
      </c>
      <c r="Q58" t="n">
        <v>16411.8</v>
      </c>
      <c r="R58" t="n">
        <v>17282.7</v>
      </c>
      <c r="S58" t="n">
        <v>18702.7</v>
      </c>
      <c r="T58" t="n">
        <v>19992.1</v>
      </c>
      <c r="U58" t="n">
        <v>20023.7</v>
      </c>
      <c r="V58" t="n">
        <v>20471</v>
      </c>
      <c r="W58" t="n">
        <v>19542.2</v>
      </c>
      <c r="X58" t="n">
        <v>19163.5</v>
      </c>
      <c r="Y58" t="n">
        <v>18648.8</v>
      </c>
      <c r="Z58" t="n">
        <v>21204</v>
      </c>
      <c r="AA58" t="n">
        <v>23671.4</v>
      </c>
      <c r="AB58" t="n">
        <v>23856.3</v>
      </c>
      <c r="AC58" t="n">
        <v>24880.2</v>
      </c>
      <c r="AD58" t="n">
        <v>26349.7</v>
      </c>
      <c r="AE58" t="n">
        <v>26005.1</v>
      </c>
      <c r="AF58" t="n">
        <v>25589.4</v>
      </c>
    </row>
    <row r="59">
      <c r="A59" t="s">
        <v>42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44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44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44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44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44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44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44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44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44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44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44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44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44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44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44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44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44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44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44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44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44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44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44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44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44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44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44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44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44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44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44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44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44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44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695.5</v>
      </c>
      <c r="H35" t="n">
        <v>842.4</v>
      </c>
      <c r="I35" t="n">
        <v>938.3</v>
      </c>
      <c r="J35" t="n">
        <v>963.5</v>
      </c>
      <c r="K35" t="n">
        <v>1047.8</v>
      </c>
      <c r="L35" t="n">
        <v>902.6</v>
      </c>
      <c r="M35" t="n">
        <v>940.8</v>
      </c>
      <c r="N35" t="n">
        <v>1028.1</v>
      </c>
      <c r="O35" t="n">
        <v>1082.9</v>
      </c>
      <c r="P35" t="n">
        <v>1067.3</v>
      </c>
      <c r="Q35" t="n">
        <v>1118.9</v>
      </c>
      <c r="R35" t="n">
        <v>1301.2</v>
      </c>
      <c r="S35" t="n">
        <v>1355.4</v>
      </c>
      <c r="T35" t="n">
        <v>1196.2</v>
      </c>
      <c r="U35" t="n">
        <v>1456.2</v>
      </c>
      <c r="V35" t="n">
        <v>1304.9</v>
      </c>
      <c r="W35" t="n">
        <v>1372.2</v>
      </c>
      <c r="X35" t="n">
        <v>1013.5</v>
      </c>
      <c r="Y35" t="n">
        <v>944.7</v>
      </c>
      <c r="Z35" t="n">
        <v>1100</v>
      </c>
      <c r="AA35" t="n">
        <v>1166</v>
      </c>
      <c r="AB35" t="n">
        <v>1018.3</v>
      </c>
      <c r="AC35" t="n">
        <v>1110</v>
      </c>
      <c r="AD35" t="n">
        <v>971.9</v>
      </c>
      <c r="AE35" t="n">
        <v>986.4</v>
      </c>
      <c r="AF35" t="n">
        <v>1020.3</v>
      </c>
    </row>
    <row r="36">
      <c r="A36" t="s">
        <v>44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695.4</v>
      </c>
      <c r="H36" t="n">
        <v>842.4</v>
      </c>
      <c r="I36" t="n">
        <v>938.4</v>
      </c>
      <c r="J36" t="n">
        <v>963.5</v>
      </c>
      <c r="K36" t="n">
        <v>1047.8</v>
      </c>
      <c r="L36" t="n">
        <v>902.7</v>
      </c>
      <c r="M36" t="n">
        <v>940.8</v>
      </c>
      <c r="N36" t="n">
        <v>1028.3</v>
      </c>
      <c r="O36" t="n">
        <v>1082.8</v>
      </c>
      <c r="P36" t="n">
        <v>1067.3</v>
      </c>
      <c r="Q36" t="n">
        <v>1118.9</v>
      </c>
      <c r="R36" t="n">
        <v>1301.2</v>
      </c>
      <c r="S36" t="n">
        <v>1355.4</v>
      </c>
      <c r="T36" t="n">
        <v>1196.2</v>
      </c>
      <c r="U36" t="n">
        <v>1456.2</v>
      </c>
      <c r="V36" t="n">
        <v>1304.8</v>
      </c>
      <c r="W36" t="n">
        <v>1372.2</v>
      </c>
      <c r="X36" t="n">
        <v>1013.5</v>
      </c>
      <c r="Y36" t="n">
        <v>944.6</v>
      </c>
      <c r="Z36" t="n">
        <v>1100</v>
      </c>
      <c r="AA36" t="n">
        <v>1166</v>
      </c>
      <c r="AB36" t="n">
        <v>1018.3</v>
      </c>
      <c r="AC36" t="n">
        <v>1110.1</v>
      </c>
      <c r="AD36" t="n">
        <v>972</v>
      </c>
      <c r="AE36" t="n">
        <v>986.3</v>
      </c>
      <c r="AF36" t="n">
        <v>1020.3</v>
      </c>
    </row>
    <row r="37">
      <c r="A37" t="s">
        <v>44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44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44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44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44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44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44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44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1123.3</v>
      </c>
      <c r="H44" t="n">
        <v>1337.5</v>
      </c>
      <c r="I44" t="n">
        <v>1438.8</v>
      </c>
      <c r="J44" t="n">
        <v>1474</v>
      </c>
      <c r="K44" t="n">
        <v>1569.8</v>
      </c>
      <c r="L44" t="n">
        <v>1366.7</v>
      </c>
      <c r="M44" t="n">
        <v>1414.3</v>
      </c>
      <c r="N44" t="n">
        <v>1512.6</v>
      </c>
      <c r="O44" t="n">
        <v>1531.4</v>
      </c>
      <c r="P44" t="n">
        <v>1586.6</v>
      </c>
      <c r="Q44" t="n">
        <v>1772.8</v>
      </c>
      <c r="R44" t="n">
        <v>1938.7</v>
      </c>
      <c r="S44" t="n">
        <v>2016.6</v>
      </c>
      <c r="T44" t="n">
        <v>1979.7</v>
      </c>
      <c r="U44" t="n">
        <v>1995.1</v>
      </c>
      <c r="V44" t="n">
        <v>1919.4</v>
      </c>
      <c r="W44" t="n">
        <v>2007.5</v>
      </c>
      <c r="X44" t="n">
        <v>1623.3</v>
      </c>
      <c r="Y44" t="n">
        <v>1625</v>
      </c>
      <c r="Z44" t="n">
        <v>1859.7</v>
      </c>
      <c r="AA44" t="n">
        <v>1889.7</v>
      </c>
      <c r="AB44" t="n">
        <v>1822.5</v>
      </c>
      <c r="AC44" t="n">
        <v>1771.2</v>
      </c>
      <c r="AD44" t="n">
        <v>1590.4</v>
      </c>
      <c r="AE44" t="n">
        <v>1675.9</v>
      </c>
      <c r="AF44" t="n">
        <v>1635.5</v>
      </c>
    </row>
    <row r="45">
      <c r="A45" t="s">
        <v>44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1123.3</v>
      </c>
      <c r="H45" t="n">
        <v>1337.4</v>
      </c>
      <c r="I45" t="n">
        <v>1438.8</v>
      </c>
      <c r="J45" t="n">
        <v>1474</v>
      </c>
      <c r="K45" t="n">
        <v>1569.8</v>
      </c>
      <c r="L45" t="n">
        <v>1366.6</v>
      </c>
      <c r="M45" t="n">
        <v>1414.3</v>
      </c>
      <c r="N45" t="n">
        <v>1512.6</v>
      </c>
      <c r="O45" t="n">
        <v>1531.5</v>
      </c>
      <c r="P45" t="n">
        <v>1586.7</v>
      </c>
      <c r="Q45" t="n">
        <v>1772.9</v>
      </c>
      <c r="R45" t="n">
        <v>1938.7</v>
      </c>
      <c r="S45" t="n">
        <v>2016.6</v>
      </c>
      <c r="T45" t="n">
        <v>1979.7</v>
      </c>
      <c r="U45" t="n">
        <v>1995.1</v>
      </c>
      <c r="V45" t="n">
        <v>1919.5</v>
      </c>
      <c r="W45" t="n">
        <v>2007.5</v>
      </c>
      <c r="X45" t="n">
        <v>1623.3</v>
      </c>
      <c r="Y45" t="n">
        <v>1625.1</v>
      </c>
      <c r="Z45" t="n">
        <v>1859.7</v>
      </c>
      <c r="AA45" t="n">
        <v>1889.6</v>
      </c>
      <c r="AB45" t="n">
        <v>1822.5</v>
      </c>
      <c r="AC45" t="n">
        <v>1771.2</v>
      </c>
      <c r="AD45" t="n">
        <v>1590.4</v>
      </c>
      <c r="AE45" t="n">
        <v>1676</v>
      </c>
      <c r="AF45" t="n">
        <v>1635.6</v>
      </c>
    </row>
    <row r="46">
      <c r="A46" t="s">
        <v>44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44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44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44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44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44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44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44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292.6</v>
      </c>
      <c r="H53" t="n">
        <v>354.4</v>
      </c>
      <c r="I53" t="n">
        <v>394.8</v>
      </c>
      <c r="J53" t="n">
        <v>405.4</v>
      </c>
      <c r="K53" t="n">
        <v>391</v>
      </c>
      <c r="L53" t="n">
        <v>388.2</v>
      </c>
      <c r="M53" t="n">
        <v>412.8</v>
      </c>
      <c r="N53" t="n">
        <v>431.9</v>
      </c>
      <c r="O53" t="n">
        <v>401.3</v>
      </c>
      <c r="P53" t="n">
        <v>489.6</v>
      </c>
      <c r="Q53" t="n">
        <v>559.2</v>
      </c>
      <c r="R53" t="n">
        <v>556.5</v>
      </c>
      <c r="S53" t="n">
        <v>569.4</v>
      </c>
      <c r="T53" t="n">
        <v>695.7</v>
      </c>
      <c r="U53" t="n">
        <v>476.6</v>
      </c>
      <c r="V53" t="n">
        <v>548.6</v>
      </c>
      <c r="W53" t="n">
        <v>552.5</v>
      </c>
      <c r="X53" t="n">
        <v>510.6</v>
      </c>
      <c r="Y53" t="n">
        <v>505.1</v>
      </c>
      <c r="Z53" t="n">
        <v>513.4</v>
      </c>
      <c r="AA53" t="n">
        <v>540.9</v>
      </c>
      <c r="AB53" t="n">
        <v>649</v>
      </c>
      <c r="AC53" t="n">
        <v>539.6</v>
      </c>
      <c r="AD53" t="n">
        <v>471</v>
      </c>
      <c r="AE53" t="n">
        <v>580.3</v>
      </c>
      <c r="AF53" t="n">
        <v>507.2</v>
      </c>
    </row>
    <row r="54">
      <c r="A54" t="s">
        <v>44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292.6</v>
      </c>
      <c r="H54" t="n">
        <v>354.4</v>
      </c>
      <c r="I54" t="n">
        <v>394.8</v>
      </c>
      <c r="J54" t="n">
        <v>405.5</v>
      </c>
      <c r="K54" t="n">
        <v>391</v>
      </c>
      <c r="L54" t="n">
        <v>388.1</v>
      </c>
      <c r="M54" t="n">
        <v>412.8</v>
      </c>
      <c r="N54" t="n">
        <v>431.9</v>
      </c>
      <c r="O54" t="n">
        <v>401.3</v>
      </c>
      <c r="P54" t="n">
        <v>489.5</v>
      </c>
      <c r="Q54" t="n">
        <v>559.2</v>
      </c>
      <c r="R54" t="n">
        <v>556.4</v>
      </c>
      <c r="S54" t="n">
        <v>569.4</v>
      </c>
      <c r="T54" t="n">
        <v>695.7</v>
      </c>
      <c r="U54" t="n">
        <v>476.6</v>
      </c>
      <c r="V54" t="n">
        <v>548.7</v>
      </c>
      <c r="W54" t="n">
        <v>552.4</v>
      </c>
      <c r="X54" t="n">
        <v>510.6</v>
      </c>
      <c r="Y54" t="n">
        <v>505.1</v>
      </c>
      <c r="Z54" t="n">
        <v>513.4</v>
      </c>
      <c r="AA54" t="n">
        <v>541</v>
      </c>
      <c r="AB54" t="n">
        <v>649</v>
      </c>
      <c r="AC54" t="n">
        <v>539.6</v>
      </c>
      <c r="AD54" t="n">
        <v>470.9</v>
      </c>
      <c r="AE54" t="n">
        <v>580.3</v>
      </c>
      <c r="AF54" t="n">
        <v>507.2</v>
      </c>
    </row>
    <row r="55">
      <c r="A55" t="s">
        <v>44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44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44</v>
      </c>
      <c r="B57" t="s">
        <v>384</v>
      </c>
      <c r="C57" t="s">
        <v>246</v>
      </c>
      <c r="D57" t="s">
        <v>385</v>
      </c>
      <c r="E57" t="s">
        <v>247</v>
      </c>
      <c r="F57" t="n">
        <v>0</v>
      </c>
      <c r="G57" t="n">
        <v>1123.4</v>
      </c>
      <c r="H57" t="n">
        <v>1337.5</v>
      </c>
      <c r="I57" t="n">
        <v>1438.7</v>
      </c>
      <c r="J57" t="n">
        <v>1474.2</v>
      </c>
      <c r="K57" t="n">
        <v>1569.8</v>
      </c>
      <c r="L57" t="n">
        <v>1366.9</v>
      </c>
      <c r="M57" t="n">
        <v>1414.2</v>
      </c>
      <c r="N57" t="n">
        <v>1512.4</v>
      </c>
      <c r="O57" t="n">
        <v>1531.4</v>
      </c>
      <c r="P57" t="n">
        <v>1586.7</v>
      </c>
      <c r="Q57" t="n">
        <v>1772.9</v>
      </c>
      <c r="R57" t="n">
        <v>1938.7</v>
      </c>
      <c r="S57" t="n">
        <v>2016.7</v>
      </c>
      <c r="T57" t="n">
        <v>1979.6</v>
      </c>
      <c r="U57" t="n">
        <v>1995</v>
      </c>
      <c r="V57" t="n">
        <v>1919.4</v>
      </c>
      <c r="W57" t="n">
        <v>2007.6</v>
      </c>
      <c r="X57" t="n">
        <v>1623.4</v>
      </c>
      <c r="Y57" t="n">
        <v>1624.9</v>
      </c>
      <c r="Z57" t="n">
        <v>1859.9</v>
      </c>
      <c r="AA57" t="n">
        <v>1889.6</v>
      </c>
      <c r="AB57" t="n">
        <v>1822.6</v>
      </c>
      <c r="AC57" t="n">
        <v>1771</v>
      </c>
      <c r="AD57" t="n">
        <v>1590.6</v>
      </c>
      <c r="AE57" t="n">
        <v>1675.8</v>
      </c>
      <c r="AF57" t="n">
        <v>1635.5</v>
      </c>
    </row>
    <row r="58">
      <c r="A58" t="s">
        <v>44</v>
      </c>
      <c r="B58" t="s">
        <v>386</v>
      </c>
      <c r="C58" t="s">
        <v>246</v>
      </c>
      <c r="D58" t="s">
        <v>387</v>
      </c>
      <c r="E58" t="s">
        <v>247</v>
      </c>
      <c r="F58" t="n">
        <v>0</v>
      </c>
      <c r="G58" t="n">
        <v>1123.4</v>
      </c>
      <c r="H58" t="n">
        <v>1337.5</v>
      </c>
      <c r="I58" t="n">
        <v>1438.7</v>
      </c>
      <c r="J58" t="n">
        <v>1474.2</v>
      </c>
      <c r="K58" t="n">
        <v>1569.8</v>
      </c>
      <c r="L58" t="n">
        <v>1366.9</v>
      </c>
      <c r="M58" t="n">
        <v>1414.2</v>
      </c>
      <c r="N58" t="n">
        <v>1512.4</v>
      </c>
      <c r="O58" t="n">
        <v>1531.4</v>
      </c>
      <c r="P58" t="n">
        <v>1586.7</v>
      </c>
      <c r="Q58" t="n">
        <v>1772.9</v>
      </c>
      <c r="R58" t="n">
        <v>1938.7</v>
      </c>
      <c r="S58" t="n">
        <v>2016.7</v>
      </c>
      <c r="T58" t="n">
        <v>1979.6</v>
      </c>
      <c r="U58" t="n">
        <v>1995</v>
      </c>
      <c r="V58" t="n">
        <v>1919.4</v>
      </c>
      <c r="W58" t="n">
        <v>2007.6</v>
      </c>
      <c r="X58" t="n">
        <v>1623.4</v>
      </c>
      <c r="Y58" t="n">
        <v>1624.9</v>
      </c>
      <c r="Z58" t="n">
        <v>1859.9</v>
      </c>
      <c r="AA58" t="n">
        <v>1889.6</v>
      </c>
      <c r="AB58" t="n">
        <v>1822.6</v>
      </c>
      <c r="AC58" t="n">
        <v>1771</v>
      </c>
      <c r="AD58" t="n">
        <v>1590.6</v>
      </c>
      <c r="AE58" t="n">
        <v>1675.8</v>
      </c>
      <c r="AF58" t="n">
        <v>1635.5</v>
      </c>
    </row>
    <row r="59">
      <c r="A59" t="s">
        <v>44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46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5052.1</v>
      </c>
      <c r="H2" t="n">
        <v>5573</v>
      </c>
      <c r="I2" t="n">
        <v>5905.7</v>
      </c>
      <c r="J2" t="n">
        <v>6500.1</v>
      </c>
      <c r="K2" t="n">
        <v>7187.4</v>
      </c>
      <c r="L2" t="n">
        <v>6871.1</v>
      </c>
      <c r="M2" t="n">
        <v>7238.5</v>
      </c>
      <c r="N2" t="n">
        <v>7319.9</v>
      </c>
      <c r="O2" t="n">
        <v>7918.2</v>
      </c>
      <c r="P2" t="n">
        <v>8219.5</v>
      </c>
      <c r="Q2" t="n">
        <v>8896.4</v>
      </c>
      <c r="R2" t="n">
        <v>8552.8</v>
      </c>
      <c r="S2" t="n">
        <v>7876.5</v>
      </c>
      <c r="T2" t="n">
        <v>6899.1</v>
      </c>
      <c r="U2" t="n">
        <v>7461.2</v>
      </c>
      <c r="V2" t="n">
        <v>8124.7</v>
      </c>
      <c r="W2" t="n">
        <v>7671.2</v>
      </c>
      <c r="X2" t="n">
        <v>6657</v>
      </c>
      <c r="Y2" t="n">
        <v>6745.6</v>
      </c>
      <c r="Z2" t="n">
        <v>6755.5</v>
      </c>
      <c r="AA2" t="n">
        <v>7283.9</v>
      </c>
      <c r="AB2" t="n">
        <v>8339</v>
      </c>
      <c r="AC2" t="n">
        <v>9379.6</v>
      </c>
      <c r="AD2" t="n">
        <v>9639.1</v>
      </c>
      <c r="AE2" t="n">
        <v>8779.2</v>
      </c>
      <c r="AF2" t="n">
        <v>10095.7</v>
      </c>
    </row>
    <row r="3">
      <c r="A3" t="s">
        <v>46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1528.8</v>
      </c>
      <c r="H3" t="n">
        <v>1694.2</v>
      </c>
      <c r="I3" t="n">
        <v>1457.2</v>
      </c>
      <c r="J3" t="n">
        <v>1506.6</v>
      </c>
      <c r="K3" t="n">
        <v>1813.9</v>
      </c>
      <c r="L3" t="n">
        <v>1872.2</v>
      </c>
      <c r="M3" t="n">
        <v>1721.4</v>
      </c>
      <c r="N3" t="n">
        <v>1759.5</v>
      </c>
      <c r="O3" t="n">
        <v>2045.8</v>
      </c>
      <c r="P3" t="n">
        <v>2185.7</v>
      </c>
      <c r="Q3" t="n">
        <v>2041.6</v>
      </c>
      <c r="R3" t="n">
        <v>2259.5</v>
      </c>
      <c r="S3" t="n">
        <v>1891.7</v>
      </c>
      <c r="T3" t="n">
        <v>1773.2</v>
      </c>
      <c r="U3" t="n">
        <v>2153.8</v>
      </c>
      <c r="V3" t="n">
        <v>2202.4</v>
      </c>
      <c r="W3" t="n">
        <v>1967.7</v>
      </c>
      <c r="X3" t="n">
        <v>1830.7</v>
      </c>
      <c r="Y3" t="n">
        <v>2853</v>
      </c>
      <c r="Z3" t="n">
        <v>2444.1</v>
      </c>
      <c r="AA3" t="n">
        <v>1587.9</v>
      </c>
      <c r="AB3" t="n">
        <v>1251.6</v>
      </c>
      <c r="AC3" t="n">
        <v>3085.8</v>
      </c>
      <c r="AD3" t="n">
        <v>3056.4</v>
      </c>
      <c r="AE3" t="n">
        <v>1969.5</v>
      </c>
      <c r="AF3" t="n">
        <v>2241.4</v>
      </c>
    </row>
    <row r="4">
      <c r="A4" t="s">
        <v>46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34130.4</v>
      </c>
      <c r="H4" t="n">
        <v>35092.2</v>
      </c>
      <c r="I4" t="n">
        <v>38656.2</v>
      </c>
      <c r="J4" t="n">
        <v>41934.2</v>
      </c>
      <c r="K4" t="n">
        <v>45108.2</v>
      </c>
      <c r="L4" t="n">
        <v>47421.7</v>
      </c>
      <c r="M4" t="n">
        <v>49596.3</v>
      </c>
      <c r="N4" t="n">
        <v>48486.1</v>
      </c>
      <c r="O4" t="n">
        <v>49487.4</v>
      </c>
      <c r="P4" t="n">
        <v>49836.9</v>
      </c>
      <c r="Q4" t="n">
        <v>53725.4</v>
      </c>
      <c r="R4" t="n">
        <v>55486.3</v>
      </c>
      <c r="S4" t="n">
        <v>55992</v>
      </c>
      <c r="T4" t="n">
        <v>48710.3</v>
      </c>
      <c r="U4" t="n">
        <v>53131.1</v>
      </c>
      <c r="V4" t="n">
        <v>53766.6</v>
      </c>
      <c r="W4" t="n">
        <v>52780.2</v>
      </c>
      <c r="X4" t="n">
        <v>49941.1</v>
      </c>
      <c r="Y4" t="n">
        <v>52503.5</v>
      </c>
      <c r="Z4" t="n">
        <v>56152</v>
      </c>
      <c r="AA4" t="n">
        <v>62118</v>
      </c>
      <c r="AB4" t="n">
        <v>63684.8</v>
      </c>
      <c r="AC4" t="n">
        <v>69649.6</v>
      </c>
      <c r="AD4" t="n">
        <v>66340.4</v>
      </c>
      <c r="AE4" t="n">
        <v>61251.6</v>
      </c>
      <c r="AF4" t="n">
        <v>69531.4</v>
      </c>
    </row>
    <row r="5">
      <c r="A5" t="s">
        <v>46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4374.3</v>
      </c>
      <c r="H5" t="n">
        <v>4636.2</v>
      </c>
      <c r="I5" t="n">
        <v>4418.1</v>
      </c>
      <c r="J5" t="n">
        <v>6069.5</v>
      </c>
      <c r="K5" t="n">
        <v>5943.3</v>
      </c>
      <c r="L5" t="n">
        <v>6086.3</v>
      </c>
      <c r="M5" t="n">
        <v>6434.7</v>
      </c>
      <c r="N5" t="n">
        <v>5749.3</v>
      </c>
      <c r="O5" t="n">
        <v>6967.3</v>
      </c>
      <c r="P5" t="n">
        <v>6195.7</v>
      </c>
      <c r="Q5" t="n">
        <v>7446.5</v>
      </c>
      <c r="R5" t="n">
        <v>7121.3</v>
      </c>
      <c r="S5" t="n">
        <v>7037</v>
      </c>
      <c r="T5" t="n">
        <v>5493.7</v>
      </c>
      <c r="U5" t="n">
        <v>6753.4</v>
      </c>
      <c r="V5" t="n">
        <v>6727.6</v>
      </c>
      <c r="W5" t="n">
        <v>7101.9</v>
      </c>
      <c r="X5" t="n">
        <v>6332.9</v>
      </c>
      <c r="Y5" t="n">
        <v>6761</v>
      </c>
      <c r="Z5" t="n">
        <v>6656.1</v>
      </c>
      <c r="AA5" t="n">
        <v>7592.9</v>
      </c>
      <c r="AB5" t="n">
        <v>7754.8</v>
      </c>
      <c r="AC5" t="n">
        <v>9416.9</v>
      </c>
      <c r="AD5" t="n">
        <v>8242.8</v>
      </c>
      <c r="AE5" t="n">
        <v>6770.8</v>
      </c>
      <c r="AF5" t="n">
        <v>8531</v>
      </c>
    </row>
    <row r="6">
      <c r="A6" t="s">
        <v>46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2436.5</v>
      </c>
      <c r="H6" t="n">
        <v>2268.8</v>
      </c>
      <c r="I6" t="n">
        <v>3149.3</v>
      </c>
      <c r="J6" t="n">
        <v>2742.3</v>
      </c>
      <c r="K6" t="n">
        <v>3050.2</v>
      </c>
      <c r="L6" t="n">
        <v>3287.3</v>
      </c>
      <c r="M6" t="n">
        <v>3571.9</v>
      </c>
      <c r="N6" t="n">
        <v>3710.9</v>
      </c>
      <c r="O6" t="n">
        <v>3553.6</v>
      </c>
      <c r="P6" t="n">
        <v>3649.7</v>
      </c>
      <c r="Q6" t="n">
        <v>3611.2</v>
      </c>
      <c r="R6" t="n">
        <v>3776.2</v>
      </c>
      <c r="S6" t="n">
        <v>3965.4</v>
      </c>
      <c r="T6" t="n">
        <v>3399.7</v>
      </c>
      <c r="U6" t="n">
        <v>3727.5</v>
      </c>
      <c r="V6" t="n">
        <v>3632.7</v>
      </c>
      <c r="W6" t="n">
        <v>3759.1</v>
      </c>
      <c r="X6" t="n">
        <v>3399.3</v>
      </c>
      <c r="Y6" t="n">
        <v>3674.2</v>
      </c>
      <c r="Z6" t="n">
        <v>3545.2</v>
      </c>
      <c r="AA6" t="n">
        <v>4039.7</v>
      </c>
      <c r="AB6" t="n">
        <v>4685.7</v>
      </c>
      <c r="AC6" t="n">
        <v>5432.8</v>
      </c>
      <c r="AD6" t="n">
        <v>4651.7</v>
      </c>
      <c r="AE6" t="n">
        <v>3729.3</v>
      </c>
      <c r="AF6" t="n">
        <v>4032.8</v>
      </c>
    </row>
    <row r="7">
      <c r="A7" t="s">
        <v>46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2220.7</v>
      </c>
      <c r="H7" t="n">
        <v>1910.1</v>
      </c>
      <c r="I7" t="n">
        <v>2622.6</v>
      </c>
      <c r="J7" t="n">
        <v>2728.4</v>
      </c>
      <c r="K7" t="n">
        <v>2970.9</v>
      </c>
      <c r="L7" t="n">
        <v>3175.2</v>
      </c>
      <c r="M7" t="n">
        <v>3204.2</v>
      </c>
      <c r="N7" t="n">
        <v>3128.7</v>
      </c>
      <c r="O7" t="n">
        <v>3181.3</v>
      </c>
      <c r="P7" t="n">
        <v>3389.4</v>
      </c>
      <c r="Q7" t="n">
        <v>3519.9</v>
      </c>
      <c r="R7" t="n">
        <v>3590.7</v>
      </c>
      <c r="S7" t="n">
        <v>3457.7</v>
      </c>
      <c r="T7" t="n">
        <v>2820</v>
      </c>
      <c r="U7" t="n">
        <v>3286.5</v>
      </c>
      <c r="V7" t="n">
        <v>3297.5</v>
      </c>
      <c r="W7" t="n">
        <v>3121</v>
      </c>
      <c r="X7" t="n">
        <v>2820.4</v>
      </c>
      <c r="Y7" t="n">
        <v>2813.7</v>
      </c>
      <c r="Z7" t="n">
        <v>3417.5</v>
      </c>
      <c r="AA7" t="n">
        <v>3763.2</v>
      </c>
      <c r="AB7" t="n">
        <v>3926.7</v>
      </c>
      <c r="AC7" t="n">
        <v>4443.1</v>
      </c>
      <c r="AD7" t="n">
        <v>3812.5</v>
      </c>
      <c r="AE7" t="n">
        <v>3264.6</v>
      </c>
      <c r="AF7" t="n">
        <v>3734.8</v>
      </c>
    </row>
    <row r="8">
      <c r="A8" t="s">
        <v>46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1051.1</v>
      </c>
      <c r="H8" t="n">
        <v>880.2</v>
      </c>
      <c r="I8" t="n">
        <v>1421.5</v>
      </c>
      <c r="J8" t="n">
        <v>1031.7</v>
      </c>
      <c r="K8" t="n">
        <v>1537.9</v>
      </c>
      <c r="L8" t="n">
        <v>1722.6</v>
      </c>
      <c r="M8" t="n">
        <v>1487.3</v>
      </c>
      <c r="N8" t="n">
        <v>1371.1</v>
      </c>
      <c r="O8" t="n">
        <v>1270.1</v>
      </c>
      <c r="P8" t="n">
        <v>1347.2</v>
      </c>
      <c r="Q8" t="n">
        <v>1455.1</v>
      </c>
      <c r="R8" t="n">
        <v>1699.7</v>
      </c>
      <c r="S8" t="n">
        <v>1736.9</v>
      </c>
      <c r="T8" t="n">
        <v>1624.2</v>
      </c>
      <c r="U8" t="n">
        <v>1536.8</v>
      </c>
      <c r="V8" t="n">
        <v>1561.2</v>
      </c>
      <c r="W8" t="n">
        <v>1675</v>
      </c>
      <c r="X8" t="n">
        <v>1435.3</v>
      </c>
      <c r="Y8" t="n">
        <v>1368.1</v>
      </c>
      <c r="Z8" t="n">
        <v>1024.7</v>
      </c>
      <c r="AA8" t="n">
        <v>1235.9</v>
      </c>
      <c r="AB8" t="n">
        <v>1327.6</v>
      </c>
      <c r="AC8" t="n">
        <v>1134.8</v>
      </c>
      <c r="AD8" t="n">
        <v>1445.5</v>
      </c>
      <c r="AE8" t="n">
        <v>1007.2</v>
      </c>
      <c r="AF8" t="n">
        <v>906.6</v>
      </c>
    </row>
    <row r="9">
      <c r="A9" t="s">
        <v>46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1780.4</v>
      </c>
      <c r="H9" t="n">
        <v>2327.2</v>
      </c>
      <c r="I9" t="n">
        <v>2524.1</v>
      </c>
      <c r="J9" t="n">
        <v>2780.5</v>
      </c>
      <c r="K9" t="n">
        <v>2868.7</v>
      </c>
      <c r="L9" t="n">
        <v>2989.4</v>
      </c>
      <c r="M9" t="n">
        <v>3033.2</v>
      </c>
      <c r="N9" t="n">
        <v>3567.4</v>
      </c>
      <c r="O9" t="n">
        <v>2998.4</v>
      </c>
      <c r="P9" t="n">
        <v>2989.7</v>
      </c>
      <c r="Q9" t="n">
        <v>3571.6</v>
      </c>
      <c r="R9" t="n">
        <v>3581.5</v>
      </c>
      <c r="S9" t="n">
        <v>3305.7</v>
      </c>
      <c r="T9" t="n">
        <v>3245.2</v>
      </c>
      <c r="U9" t="n">
        <v>3366.8</v>
      </c>
      <c r="V9" t="n">
        <v>3367.1</v>
      </c>
      <c r="W9" t="n">
        <v>2936.2</v>
      </c>
      <c r="X9" t="n">
        <v>3056.5</v>
      </c>
      <c r="Y9" t="n">
        <v>3350.2</v>
      </c>
      <c r="Z9" t="n">
        <v>3305.8</v>
      </c>
      <c r="AA9" t="n">
        <v>3672.3</v>
      </c>
      <c r="AB9" t="n">
        <v>2935.4</v>
      </c>
      <c r="AC9" t="n">
        <v>3216.4</v>
      </c>
      <c r="AD9" t="n">
        <v>3052.8</v>
      </c>
      <c r="AE9" t="n">
        <v>3197.4</v>
      </c>
      <c r="AF9" t="n">
        <v>3452.7</v>
      </c>
    </row>
    <row r="10">
      <c r="A10" t="s">
        <v>46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3090.8</v>
      </c>
      <c r="H10" t="n">
        <v>3776.5</v>
      </c>
      <c r="I10" t="n">
        <v>4428.4</v>
      </c>
      <c r="J10" t="n">
        <v>4648</v>
      </c>
      <c r="K10" t="n">
        <v>4639.1</v>
      </c>
      <c r="L10" t="n">
        <v>4739.8</v>
      </c>
      <c r="M10" t="n">
        <v>5010.6</v>
      </c>
      <c r="N10" t="n">
        <v>5654.2</v>
      </c>
      <c r="O10" t="n">
        <v>4891.7</v>
      </c>
      <c r="P10" t="n">
        <v>5010.1</v>
      </c>
      <c r="Q10" t="n">
        <v>5645.4</v>
      </c>
      <c r="R10" t="n">
        <v>5686.1</v>
      </c>
      <c r="S10" t="n">
        <v>5264.7</v>
      </c>
      <c r="T10" t="n">
        <v>5415.2</v>
      </c>
      <c r="U10" t="n">
        <v>5673.9</v>
      </c>
      <c r="V10" t="n">
        <v>5633.8</v>
      </c>
      <c r="W10" t="n">
        <v>5259.5</v>
      </c>
      <c r="X10" t="n">
        <v>5402.6</v>
      </c>
      <c r="Y10" t="n">
        <v>5894.1</v>
      </c>
      <c r="Z10" t="n">
        <v>5943.3</v>
      </c>
      <c r="AA10" t="n">
        <v>6641.9</v>
      </c>
      <c r="AB10" t="n">
        <v>6198.7</v>
      </c>
      <c r="AC10" t="n">
        <v>6171.1</v>
      </c>
      <c r="AD10" t="n">
        <v>5690.5</v>
      </c>
      <c r="AE10" t="n">
        <v>6394.2</v>
      </c>
      <c r="AF10" t="n">
        <v>6625.5</v>
      </c>
    </row>
    <row r="11">
      <c r="A11" t="s">
        <v>46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1310.4</v>
      </c>
      <c r="H11" t="n">
        <v>1449.3</v>
      </c>
      <c r="I11" t="n">
        <v>1904.3</v>
      </c>
      <c r="J11" t="n">
        <v>1867.5</v>
      </c>
      <c r="K11" t="n">
        <v>1770.4</v>
      </c>
      <c r="L11" t="n">
        <v>1750.4</v>
      </c>
      <c r="M11" t="n">
        <v>1977.4</v>
      </c>
      <c r="N11" t="n">
        <v>2086.8</v>
      </c>
      <c r="O11" t="n">
        <v>1893.3</v>
      </c>
      <c r="P11" t="n">
        <v>2020.4</v>
      </c>
      <c r="Q11" t="n">
        <v>2073.8</v>
      </c>
      <c r="R11" t="n">
        <v>2104.6</v>
      </c>
      <c r="S11" t="n">
        <v>1959</v>
      </c>
      <c r="T11" t="n">
        <v>2170</v>
      </c>
      <c r="U11" t="n">
        <v>2307.1</v>
      </c>
      <c r="V11" t="n">
        <v>2266.7</v>
      </c>
      <c r="W11" t="n">
        <v>2323.3</v>
      </c>
      <c r="X11" t="n">
        <v>2346.1</v>
      </c>
      <c r="Y11" t="n">
        <v>2543.9</v>
      </c>
      <c r="Z11" t="n">
        <v>2637.5</v>
      </c>
      <c r="AA11" t="n">
        <v>2969.6</v>
      </c>
      <c r="AB11" t="n">
        <v>3263.3</v>
      </c>
      <c r="AC11" t="n">
        <v>2954.7</v>
      </c>
      <c r="AD11" t="n">
        <v>2637.7</v>
      </c>
      <c r="AE11" t="n">
        <v>3196.8</v>
      </c>
      <c r="AF11" t="n">
        <v>3172.8</v>
      </c>
    </row>
    <row r="12">
      <c r="A12" t="s">
        <v>46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2677.5</v>
      </c>
      <c r="H12" t="n">
        <v>3099.9</v>
      </c>
      <c r="I12" t="n">
        <v>2808.7</v>
      </c>
      <c r="J12" t="n">
        <v>3666.1</v>
      </c>
      <c r="K12" t="n">
        <v>4020.6</v>
      </c>
      <c r="L12" t="n">
        <v>4031.2</v>
      </c>
      <c r="M12" t="n">
        <v>4290.6</v>
      </c>
      <c r="N12" t="n">
        <v>4730.3</v>
      </c>
      <c r="O12" t="n">
        <v>4851.8</v>
      </c>
      <c r="P12" t="n">
        <v>4423.1</v>
      </c>
      <c r="Q12" t="n">
        <v>5229.1</v>
      </c>
      <c r="R12" t="n">
        <v>5055.2</v>
      </c>
      <c r="S12" t="n">
        <v>5546.7</v>
      </c>
      <c r="T12" t="n">
        <v>3927.6</v>
      </c>
      <c r="U12" t="n">
        <v>4774.2</v>
      </c>
      <c r="V12" t="n">
        <v>4744.2</v>
      </c>
      <c r="W12" t="n">
        <v>4464</v>
      </c>
      <c r="X12" t="n">
        <v>4179</v>
      </c>
      <c r="Y12" t="n">
        <v>4163.4</v>
      </c>
      <c r="Z12" t="n">
        <v>4631.7</v>
      </c>
      <c r="AA12" t="n">
        <v>5178.8</v>
      </c>
      <c r="AB12" t="n">
        <v>5765.2</v>
      </c>
      <c r="AC12" t="n">
        <v>6171</v>
      </c>
      <c r="AD12" t="n">
        <v>5857.9</v>
      </c>
      <c r="AE12" t="n">
        <v>5142.8</v>
      </c>
      <c r="AF12" t="n">
        <v>5995.1</v>
      </c>
    </row>
    <row r="13">
      <c r="A13" t="s">
        <v>46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4901.6</v>
      </c>
      <c r="H13" t="n">
        <v>4617.7</v>
      </c>
      <c r="I13" t="n">
        <v>5482.8</v>
      </c>
      <c r="J13" t="n">
        <v>5419.4</v>
      </c>
      <c r="K13" t="n">
        <v>5934.8</v>
      </c>
      <c r="L13" t="n">
        <v>6495.4</v>
      </c>
      <c r="M13" t="n">
        <v>7231</v>
      </c>
      <c r="N13" t="n">
        <v>6744.1</v>
      </c>
      <c r="O13" t="n">
        <v>6890.6</v>
      </c>
      <c r="P13" t="n">
        <v>6364.5</v>
      </c>
      <c r="Q13" t="n">
        <v>6529.4</v>
      </c>
      <c r="R13" t="n">
        <v>7858.4</v>
      </c>
      <c r="S13" t="n">
        <v>7645.1</v>
      </c>
      <c r="T13" t="n">
        <v>6558.5</v>
      </c>
      <c r="U13" t="n">
        <v>7108.1</v>
      </c>
      <c r="V13" t="n">
        <v>7077.3</v>
      </c>
      <c r="W13" t="n">
        <v>6923.1</v>
      </c>
      <c r="X13" t="n">
        <v>5877</v>
      </c>
      <c r="Y13" t="n">
        <v>6488.1</v>
      </c>
      <c r="Z13" t="n">
        <v>7096</v>
      </c>
      <c r="AA13" t="n">
        <v>7003.9</v>
      </c>
      <c r="AB13" t="n">
        <v>7503.6</v>
      </c>
      <c r="AC13" t="n">
        <v>8581.6</v>
      </c>
      <c r="AD13" t="n">
        <v>9094.2</v>
      </c>
      <c r="AE13" t="n">
        <v>7678.4</v>
      </c>
      <c r="AF13" t="n">
        <v>9471.2</v>
      </c>
    </row>
    <row r="14">
      <c r="A14" t="s">
        <v>46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2009.7</v>
      </c>
      <c r="H14" t="n">
        <v>1597.5</v>
      </c>
      <c r="I14" t="n">
        <v>2570.7</v>
      </c>
      <c r="J14" t="n">
        <v>2320.4</v>
      </c>
      <c r="K14" t="n">
        <v>2162.2</v>
      </c>
      <c r="L14" t="n">
        <v>2861.5</v>
      </c>
      <c r="M14" t="n">
        <v>2128.9</v>
      </c>
      <c r="N14" t="n">
        <v>2377.7</v>
      </c>
      <c r="O14" t="n">
        <v>2512.9</v>
      </c>
      <c r="P14" t="n">
        <v>2719.8</v>
      </c>
      <c r="Q14" t="n">
        <v>2834.5</v>
      </c>
      <c r="R14" t="n">
        <v>3018.8</v>
      </c>
      <c r="S14" t="n">
        <v>2539.9</v>
      </c>
      <c r="T14" t="n">
        <v>3006.6</v>
      </c>
      <c r="U14" t="n">
        <v>3013.5</v>
      </c>
      <c r="V14" t="n">
        <v>3020.9</v>
      </c>
      <c r="W14" t="n">
        <v>2863.3</v>
      </c>
      <c r="X14" t="n">
        <v>2169.9</v>
      </c>
      <c r="Y14" t="n">
        <v>2632.1</v>
      </c>
      <c r="Z14" t="n">
        <v>2755.9</v>
      </c>
      <c r="AA14" t="n">
        <v>2849.8</v>
      </c>
      <c r="AB14" t="n">
        <v>3353.5</v>
      </c>
      <c r="AC14" t="n">
        <v>3184.9</v>
      </c>
      <c r="AD14" t="n">
        <v>3197.4</v>
      </c>
      <c r="AE14" t="n">
        <v>3854.6</v>
      </c>
      <c r="AF14" t="n">
        <v>3757.1</v>
      </c>
    </row>
    <row r="15">
      <c r="A15" t="s">
        <v>46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3874.7</v>
      </c>
      <c r="H15" t="n">
        <v>3298.7</v>
      </c>
      <c r="I15" t="n">
        <v>4268.6</v>
      </c>
      <c r="J15" t="n">
        <v>4231.6</v>
      </c>
      <c r="K15" t="n">
        <v>4241.3</v>
      </c>
      <c r="L15" t="n">
        <v>5175.7</v>
      </c>
      <c r="M15" t="n">
        <v>4323.9</v>
      </c>
      <c r="N15" t="n">
        <v>4520.7</v>
      </c>
      <c r="O15" t="n">
        <v>4846.9</v>
      </c>
      <c r="P15" t="n">
        <v>5033.6</v>
      </c>
      <c r="Q15" t="n">
        <v>5266.6</v>
      </c>
      <c r="R15" t="n">
        <v>5692.3</v>
      </c>
      <c r="S15" t="n">
        <v>5079.9</v>
      </c>
      <c r="T15" t="n">
        <v>5258.3</v>
      </c>
      <c r="U15" t="n">
        <v>5512.9</v>
      </c>
      <c r="V15" t="n">
        <v>5610.9</v>
      </c>
      <c r="W15" t="n">
        <v>4934.9</v>
      </c>
      <c r="X15" t="n">
        <v>4005.5</v>
      </c>
      <c r="Y15" t="n">
        <v>4497.5</v>
      </c>
      <c r="Z15" t="n">
        <v>4746</v>
      </c>
      <c r="AA15" t="n">
        <v>5155.2</v>
      </c>
      <c r="AB15" t="n">
        <v>5992.1</v>
      </c>
      <c r="AC15" t="n">
        <v>5856.1</v>
      </c>
      <c r="AD15" t="n">
        <v>5907.3</v>
      </c>
      <c r="AE15" t="n">
        <v>6248.5</v>
      </c>
      <c r="AF15" t="n">
        <v>6335</v>
      </c>
    </row>
    <row r="16">
      <c r="A16" t="s">
        <v>46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1865</v>
      </c>
      <c r="H16" t="n">
        <v>1701.2</v>
      </c>
      <c r="I16" t="n">
        <v>1697.9</v>
      </c>
      <c r="J16" t="n">
        <v>1911.2</v>
      </c>
      <c r="K16" t="n">
        <v>2079.1</v>
      </c>
      <c r="L16" t="n">
        <v>2314.2</v>
      </c>
      <c r="M16" t="n">
        <v>2195</v>
      </c>
      <c r="N16" t="n">
        <v>2143</v>
      </c>
      <c r="O16" t="n">
        <v>2334</v>
      </c>
      <c r="P16" t="n">
        <v>2313.8</v>
      </c>
      <c r="Q16" t="n">
        <v>2432.1</v>
      </c>
      <c r="R16" t="n">
        <v>2673.5</v>
      </c>
      <c r="S16" t="n">
        <v>2540</v>
      </c>
      <c r="T16" t="n">
        <v>2251.7</v>
      </c>
      <c r="U16" t="n">
        <v>2499.4</v>
      </c>
      <c r="V16" t="n">
        <v>2590</v>
      </c>
      <c r="W16" t="n">
        <v>2071.6</v>
      </c>
      <c r="X16" t="n">
        <v>1835.6</v>
      </c>
      <c r="Y16" t="n">
        <v>1865.4</v>
      </c>
      <c r="Z16" t="n">
        <v>1990.1</v>
      </c>
      <c r="AA16" t="n">
        <v>2305.4</v>
      </c>
      <c r="AB16" t="n">
        <v>2638.6</v>
      </c>
      <c r="AC16" t="n">
        <v>2671.2</v>
      </c>
      <c r="AD16" t="n">
        <v>2709.9</v>
      </c>
      <c r="AE16" t="n">
        <v>2393.9</v>
      </c>
      <c r="AF16" t="n">
        <v>2577.9</v>
      </c>
    </row>
    <row r="17">
      <c r="A17" t="s">
        <v>46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3104</v>
      </c>
      <c r="H17" t="n">
        <v>3539</v>
      </c>
      <c r="I17" t="n">
        <v>3120</v>
      </c>
      <c r="J17" t="n">
        <v>3893</v>
      </c>
      <c r="K17" t="n">
        <v>4261.3</v>
      </c>
      <c r="L17" t="n">
        <v>4128</v>
      </c>
      <c r="M17" t="n">
        <v>4553.3</v>
      </c>
      <c r="N17" t="n">
        <v>4093.7</v>
      </c>
      <c r="O17" t="n">
        <v>4340.8</v>
      </c>
      <c r="P17" t="n">
        <v>4663.8</v>
      </c>
      <c r="Q17" t="n">
        <v>4652.9</v>
      </c>
      <c r="R17" t="n">
        <v>4956.2</v>
      </c>
      <c r="S17" t="n">
        <v>5376.6</v>
      </c>
      <c r="T17" t="n">
        <v>4263.2</v>
      </c>
      <c r="U17" t="n">
        <v>4850.4</v>
      </c>
      <c r="V17" t="n">
        <v>5055.2</v>
      </c>
      <c r="W17" t="n">
        <v>4856.4</v>
      </c>
      <c r="X17" t="n">
        <v>4976.6</v>
      </c>
      <c r="Y17" t="n">
        <v>5335.2</v>
      </c>
      <c r="Z17" t="n">
        <v>5784.3</v>
      </c>
      <c r="AA17" t="n">
        <v>6387.8</v>
      </c>
      <c r="AB17" t="n">
        <v>6886.8</v>
      </c>
      <c r="AC17" t="n">
        <v>8104.8</v>
      </c>
      <c r="AD17" t="n">
        <v>6878.7</v>
      </c>
      <c r="AE17" t="n">
        <v>6749.3</v>
      </c>
      <c r="AF17" t="n">
        <v>7237.6</v>
      </c>
    </row>
    <row r="18">
      <c r="A18" t="s">
        <v>46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4663.5</v>
      </c>
      <c r="H18" t="n">
        <v>5116.3</v>
      </c>
      <c r="I18" t="n">
        <v>4807.7</v>
      </c>
      <c r="J18" t="n">
        <v>5471.8</v>
      </c>
      <c r="K18" t="n">
        <v>6018.7</v>
      </c>
      <c r="L18" t="n">
        <v>6060.8</v>
      </c>
      <c r="M18" t="n">
        <v>6645.6</v>
      </c>
      <c r="N18" t="n">
        <v>6107.3</v>
      </c>
      <c r="O18" t="n">
        <v>6077.6</v>
      </c>
      <c r="P18" t="n">
        <v>7182.3</v>
      </c>
      <c r="Q18" t="n">
        <v>7520.1</v>
      </c>
      <c r="R18" t="n">
        <v>7022.6</v>
      </c>
      <c r="S18" t="n">
        <v>8182.3</v>
      </c>
      <c r="T18" t="n">
        <v>7275.5</v>
      </c>
      <c r="U18" t="n">
        <v>7253.6</v>
      </c>
      <c r="V18" t="n">
        <v>7745.4</v>
      </c>
      <c r="W18" t="n">
        <v>8570.5</v>
      </c>
      <c r="X18" t="n">
        <v>9453.5</v>
      </c>
      <c r="Y18" t="n">
        <v>9353.3</v>
      </c>
      <c r="Z18" t="n">
        <v>11033.5</v>
      </c>
      <c r="AA18" t="n">
        <v>12318.8</v>
      </c>
      <c r="AB18" t="n">
        <v>10758.5</v>
      </c>
      <c r="AC18" t="n">
        <v>11257.6</v>
      </c>
      <c r="AD18" t="n">
        <v>11451.7</v>
      </c>
      <c r="AE18" t="n">
        <v>11094</v>
      </c>
      <c r="AF18" t="n">
        <v>13248.5</v>
      </c>
    </row>
    <row r="19">
      <c r="A19" t="s">
        <v>46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1735.7</v>
      </c>
      <c r="H19" t="n">
        <v>1948.8</v>
      </c>
      <c r="I19" t="n">
        <v>2128.5</v>
      </c>
      <c r="J19" t="n">
        <v>2032.4</v>
      </c>
      <c r="K19" t="n">
        <v>2490.1</v>
      </c>
      <c r="L19" t="n">
        <v>2519.4</v>
      </c>
      <c r="M19" t="n">
        <v>2843.2</v>
      </c>
      <c r="N19" t="n">
        <v>2675.8</v>
      </c>
      <c r="O19" t="n">
        <v>2615.7</v>
      </c>
      <c r="P19" t="n">
        <v>2577.5</v>
      </c>
      <c r="Q19" t="n">
        <v>2849.2</v>
      </c>
      <c r="R19" t="n">
        <v>3027.6</v>
      </c>
      <c r="S19" t="n">
        <v>2699.7</v>
      </c>
      <c r="T19" t="n">
        <v>2674.4</v>
      </c>
      <c r="U19" t="n">
        <v>2653.8</v>
      </c>
      <c r="V19" t="n">
        <v>2680.8</v>
      </c>
      <c r="W19" t="n">
        <v>2114.8</v>
      </c>
      <c r="X19" t="n">
        <v>2059</v>
      </c>
      <c r="Y19" t="n">
        <v>2154.9</v>
      </c>
      <c r="Z19" t="n">
        <v>2273.7</v>
      </c>
      <c r="AA19" t="n">
        <v>2799.9</v>
      </c>
      <c r="AB19" t="n">
        <v>2885.1</v>
      </c>
      <c r="AC19" t="n">
        <v>3079.8</v>
      </c>
      <c r="AD19" t="n">
        <v>3307.6</v>
      </c>
      <c r="AE19" t="n">
        <v>3172.5</v>
      </c>
      <c r="AF19" t="n">
        <v>3413.3</v>
      </c>
    </row>
    <row r="20">
      <c r="A20" t="s">
        <v>46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11621</v>
      </c>
      <c r="H20" t="n">
        <v>11864.7</v>
      </c>
      <c r="I20" t="n">
        <v>13452.5</v>
      </c>
      <c r="J20" t="n">
        <v>13842.4</v>
      </c>
      <c r="K20" t="n">
        <v>14011.2</v>
      </c>
      <c r="L20" t="n">
        <v>14636.5</v>
      </c>
      <c r="M20" t="n">
        <v>16221.3</v>
      </c>
      <c r="N20" t="n">
        <v>18803.5</v>
      </c>
      <c r="O20" t="n">
        <v>16800</v>
      </c>
      <c r="P20" t="n">
        <v>16647.2</v>
      </c>
      <c r="Q20" t="n">
        <v>17212.5</v>
      </c>
      <c r="R20" t="n">
        <v>19381.9</v>
      </c>
      <c r="S20" t="n">
        <v>21247.1</v>
      </c>
      <c r="T20" t="n">
        <v>16912.3</v>
      </c>
      <c r="U20" t="n">
        <v>12770.1</v>
      </c>
      <c r="V20" t="n">
        <v>16454.9</v>
      </c>
      <c r="W20" t="n">
        <v>13018.3</v>
      </c>
      <c r="X20" t="n">
        <v>15142.1</v>
      </c>
      <c r="Y20" t="n">
        <v>12116.2</v>
      </c>
      <c r="Z20" t="n">
        <v>9441.1</v>
      </c>
      <c r="AA20" t="n">
        <v>11721.6</v>
      </c>
      <c r="AB20" t="n">
        <v>9703.6</v>
      </c>
      <c r="AC20" t="n">
        <v>10492.3</v>
      </c>
      <c r="AD20" t="n">
        <v>11924.4</v>
      </c>
      <c r="AE20" t="n">
        <v>11211.4</v>
      </c>
      <c r="AF20" t="n">
        <v>13085.5</v>
      </c>
    </row>
    <row r="21">
      <c r="A21" t="s">
        <v>46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13945.2</v>
      </c>
      <c r="H21" t="n">
        <v>14529.8</v>
      </c>
      <c r="I21" t="n">
        <v>16431</v>
      </c>
      <c r="J21" t="n">
        <v>17046.7</v>
      </c>
      <c r="K21" t="n">
        <v>17227.1</v>
      </c>
      <c r="L21" t="n">
        <v>18288.9</v>
      </c>
      <c r="M21" t="n">
        <v>19986.4</v>
      </c>
      <c r="N21" t="n">
        <v>22953.3</v>
      </c>
      <c r="O21" t="n">
        <v>21018.2</v>
      </c>
      <c r="P21" t="n">
        <v>20445.8</v>
      </c>
      <c r="Q21" t="n">
        <v>21769.4</v>
      </c>
      <c r="R21" t="n">
        <v>23821</v>
      </c>
      <c r="S21" t="n">
        <v>25292.9</v>
      </c>
      <c r="T21" t="n">
        <v>20808</v>
      </c>
      <c r="U21" t="n">
        <v>16989.2</v>
      </c>
      <c r="V21" t="n">
        <v>20767.9</v>
      </c>
      <c r="W21" t="n">
        <v>17720.2</v>
      </c>
      <c r="X21" t="n">
        <v>18956.6</v>
      </c>
      <c r="Y21" t="n">
        <v>15791.9</v>
      </c>
      <c r="Z21" t="n">
        <v>13860.1</v>
      </c>
      <c r="AA21" t="n">
        <v>16554.4</v>
      </c>
      <c r="AB21" t="n">
        <v>15223.6</v>
      </c>
      <c r="AC21" t="n">
        <v>16105.8</v>
      </c>
      <c r="AD21" t="n">
        <v>17895.7</v>
      </c>
      <c r="AE21" t="n">
        <v>16679.3</v>
      </c>
      <c r="AF21" t="n">
        <v>19971</v>
      </c>
    </row>
    <row r="22">
      <c r="A22" t="s">
        <v>46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2324.2</v>
      </c>
      <c r="H22" t="n">
        <v>2665.1</v>
      </c>
      <c r="I22" t="n">
        <v>2978.5</v>
      </c>
      <c r="J22" t="n">
        <v>3204.3</v>
      </c>
      <c r="K22" t="n">
        <v>3215.9</v>
      </c>
      <c r="L22" t="n">
        <v>3652.4</v>
      </c>
      <c r="M22" t="n">
        <v>3765.1</v>
      </c>
      <c r="N22" t="n">
        <v>4149.8</v>
      </c>
      <c r="O22" t="n">
        <v>4218.2</v>
      </c>
      <c r="P22" t="n">
        <v>3798.6</v>
      </c>
      <c r="Q22" t="n">
        <v>4556.9</v>
      </c>
      <c r="R22" t="n">
        <v>4439.1</v>
      </c>
      <c r="S22" t="n">
        <v>4045.8</v>
      </c>
      <c r="T22" t="n">
        <v>3895.7</v>
      </c>
      <c r="U22" t="n">
        <v>4219.1</v>
      </c>
      <c r="V22" t="n">
        <v>4313</v>
      </c>
      <c r="W22" t="n">
        <v>4701.9</v>
      </c>
      <c r="X22" t="n">
        <v>3814.5</v>
      </c>
      <c r="Y22" t="n">
        <v>3675.7</v>
      </c>
      <c r="Z22" t="n">
        <v>4419</v>
      </c>
      <c r="AA22" t="n">
        <v>4832.8</v>
      </c>
      <c r="AB22" t="n">
        <v>5520</v>
      </c>
      <c r="AC22" t="n">
        <v>5613.5</v>
      </c>
      <c r="AD22" t="n">
        <v>5971.3</v>
      </c>
      <c r="AE22" t="n">
        <v>5467.9</v>
      </c>
      <c r="AF22" t="n">
        <v>6885.5</v>
      </c>
    </row>
    <row r="23">
      <c r="A23" t="s">
        <v>46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4609.9</v>
      </c>
      <c r="H23" t="n">
        <v>5175.9</v>
      </c>
      <c r="I23" t="n">
        <v>6883.1</v>
      </c>
      <c r="J23" t="n">
        <v>5551</v>
      </c>
      <c r="K23" t="n">
        <v>6673.6</v>
      </c>
      <c r="L23" t="n">
        <v>7654.5</v>
      </c>
      <c r="M23" t="n">
        <v>7903.9</v>
      </c>
      <c r="N23" t="n">
        <v>8650.1</v>
      </c>
      <c r="O23" t="n">
        <v>7435.5</v>
      </c>
      <c r="P23" t="n">
        <v>8086.2</v>
      </c>
      <c r="Q23" t="n">
        <v>8893.4</v>
      </c>
      <c r="R23" t="n">
        <v>9527.6</v>
      </c>
      <c r="S23" t="n">
        <v>8788.5</v>
      </c>
      <c r="T23" t="n">
        <v>6698.8</v>
      </c>
      <c r="U23" t="n">
        <v>8138.7</v>
      </c>
      <c r="V23" t="n">
        <v>8111.1</v>
      </c>
      <c r="W23" t="n">
        <v>5895.6</v>
      </c>
      <c r="X23" t="n">
        <v>5191.1</v>
      </c>
      <c r="Y23" t="n">
        <v>5353.7</v>
      </c>
      <c r="Z23" t="n">
        <v>5566.1</v>
      </c>
      <c r="AA23" t="n">
        <v>6285.8</v>
      </c>
      <c r="AB23" t="n">
        <v>8163</v>
      </c>
      <c r="AC23" t="n">
        <v>6825.5</v>
      </c>
      <c r="AD23" t="n">
        <v>7257.5</v>
      </c>
      <c r="AE23" t="n">
        <v>7019.4</v>
      </c>
      <c r="AF23" t="n">
        <v>8223.8</v>
      </c>
    </row>
    <row r="24">
      <c r="A24" t="s">
        <v>46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11507.5</v>
      </c>
      <c r="H24" t="n">
        <v>13267.7</v>
      </c>
      <c r="I24" t="n">
        <v>12993</v>
      </c>
      <c r="J24" t="n">
        <v>15159.7</v>
      </c>
      <c r="K24" t="n">
        <v>16209.6</v>
      </c>
      <c r="L24" t="n">
        <v>16534.7</v>
      </c>
      <c r="M24" t="n">
        <v>18257.9</v>
      </c>
      <c r="N24" t="n">
        <v>17160.8</v>
      </c>
      <c r="O24" t="n">
        <v>18532.4</v>
      </c>
      <c r="P24" t="n">
        <v>18806.9</v>
      </c>
      <c r="Q24" t="n">
        <v>20027.2</v>
      </c>
      <c r="R24" t="n">
        <v>20835.4</v>
      </c>
      <c r="S24" t="n">
        <v>18011.8</v>
      </c>
      <c r="T24" t="n">
        <v>16425</v>
      </c>
      <c r="U24" t="n">
        <v>17597.4</v>
      </c>
      <c r="V24" t="n">
        <v>18614.5</v>
      </c>
      <c r="W24" t="n">
        <v>14701.5</v>
      </c>
      <c r="X24" t="n">
        <v>15283.2</v>
      </c>
      <c r="Y24" t="n">
        <v>14236.2</v>
      </c>
      <c r="Z24" t="n">
        <v>15426.8</v>
      </c>
      <c r="AA24" t="n">
        <v>18761.8</v>
      </c>
      <c r="AB24" t="n">
        <v>19683.7</v>
      </c>
      <c r="AC24" t="n">
        <v>20805</v>
      </c>
      <c r="AD24" t="n">
        <v>19764.6</v>
      </c>
      <c r="AE24" t="n">
        <v>17419.1</v>
      </c>
      <c r="AF24" t="n">
        <v>18757.8</v>
      </c>
    </row>
    <row r="25">
      <c r="A25" t="s">
        <v>46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46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46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46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13787.2</v>
      </c>
      <c r="H28" t="n">
        <v>15281.1</v>
      </c>
      <c r="I28" t="n">
        <v>15424.8</v>
      </c>
      <c r="J28" t="n">
        <v>17517.3</v>
      </c>
      <c r="K28" t="n">
        <v>18757.5</v>
      </c>
      <c r="L28" t="n">
        <v>19529.3</v>
      </c>
      <c r="M28" t="n">
        <v>22690.2</v>
      </c>
      <c r="N28" t="n">
        <v>21660.4</v>
      </c>
      <c r="O28" t="n">
        <v>24199.7</v>
      </c>
      <c r="P28" t="n">
        <v>26214.6</v>
      </c>
      <c r="Q28" t="n">
        <v>27210.2</v>
      </c>
      <c r="R28" t="n">
        <v>27282.3</v>
      </c>
      <c r="S28" t="n">
        <v>26955.4</v>
      </c>
      <c r="T28" t="n">
        <v>26302.9</v>
      </c>
      <c r="U28" t="n">
        <v>26067.8</v>
      </c>
      <c r="V28" t="n">
        <v>26872.7</v>
      </c>
      <c r="W28" t="n">
        <v>22263.4</v>
      </c>
      <c r="X28" t="n">
        <v>19109.4</v>
      </c>
      <c r="Y28" t="n">
        <v>19126.9</v>
      </c>
      <c r="Z28" t="n">
        <v>22379.9</v>
      </c>
      <c r="AA28" t="n">
        <v>22242.8</v>
      </c>
      <c r="AB28" t="n">
        <v>19520</v>
      </c>
      <c r="AC28" t="n">
        <v>22114.3</v>
      </c>
      <c r="AD28" t="n">
        <v>23116.7</v>
      </c>
      <c r="AE28" t="n">
        <v>21912.9</v>
      </c>
      <c r="AF28" t="n">
        <v>27300</v>
      </c>
    </row>
    <row r="29">
      <c r="A29" t="s">
        <v>46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46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46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46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46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46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5995.1</v>
      </c>
      <c r="H34" t="n">
        <v>4742.7</v>
      </c>
      <c r="I34" t="n">
        <v>6049.9</v>
      </c>
      <c r="J34" t="n">
        <v>5939.8</v>
      </c>
      <c r="K34" t="n">
        <v>7625.5</v>
      </c>
      <c r="L34" t="n">
        <v>8486.2</v>
      </c>
      <c r="M34" t="n">
        <v>7340.2</v>
      </c>
      <c r="N34" t="n">
        <v>7955.3</v>
      </c>
      <c r="O34" t="n">
        <v>8372.7</v>
      </c>
      <c r="P34" t="n">
        <v>8308.2</v>
      </c>
      <c r="Q34" t="n">
        <v>8897.4</v>
      </c>
      <c r="R34" t="n">
        <v>9197.2</v>
      </c>
      <c r="S34" t="n">
        <v>9487.2</v>
      </c>
      <c r="T34" t="n">
        <v>7366.3</v>
      </c>
      <c r="U34" t="n">
        <v>8081.2</v>
      </c>
      <c r="V34" t="n">
        <v>8422.2</v>
      </c>
      <c r="W34" t="n">
        <v>5862.8</v>
      </c>
      <c r="X34" t="n">
        <v>4640.1</v>
      </c>
      <c r="Y34" t="n">
        <v>4797.7</v>
      </c>
      <c r="Z34" t="n">
        <v>5554.9</v>
      </c>
      <c r="AA34" t="n">
        <v>5076.8</v>
      </c>
      <c r="AB34" t="n">
        <v>6156</v>
      </c>
      <c r="AC34" t="n">
        <v>5588.2</v>
      </c>
      <c r="AD34" t="n">
        <v>5340.2</v>
      </c>
      <c r="AE34" t="n">
        <v>4583.6</v>
      </c>
      <c r="AF34" t="n">
        <v>6050.6</v>
      </c>
    </row>
    <row r="35">
      <c r="A35" t="s">
        <v>46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9822.2</v>
      </c>
      <c r="H35" t="n">
        <v>10950.4</v>
      </c>
      <c r="I35" t="n">
        <v>10655.9</v>
      </c>
      <c r="J35" t="n">
        <v>11628.1</v>
      </c>
      <c r="K35" t="n">
        <v>12884.6</v>
      </c>
      <c r="L35" t="n">
        <v>12481.7</v>
      </c>
      <c r="M35" t="n">
        <v>13288.2</v>
      </c>
      <c r="N35" t="n">
        <v>13420.3</v>
      </c>
      <c r="O35" t="n">
        <v>13284.1</v>
      </c>
      <c r="P35" t="n">
        <v>14945.3</v>
      </c>
      <c r="Q35" t="n">
        <v>13632</v>
      </c>
      <c r="R35" t="n">
        <v>14773</v>
      </c>
      <c r="S35" t="n">
        <v>14079.4</v>
      </c>
      <c r="T35" t="n">
        <v>12620</v>
      </c>
      <c r="U35" t="n">
        <v>14586.3</v>
      </c>
      <c r="V35" t="n">
        <v>14482</v>
      </c>
      <c r="W35" t="n">
        <v>16218</v>
      </c>
      <c r="X35" t="n">
        <v>16073.2</v>
      </c>
      <c r="Y35" t="n">
        <v>16466.8</v>
      </c>
      <c r="Z35" t="n">
        <v>18675.9</v>
      </c>
      <c r="AA35" t="n">
        <v>18681.8</v>
      </c>
      <c r="AB35" t="n">
        <v>20089.2</v>
      </c>
      <c r="AC35" t="n">
        <v>19283.2</v>
      </c>
      <c r="AD35" t="n">
        <v>19198.4</v>
      </c>
      <c r="AE35" t="n">
        <v>20282.6</v>
      </c>
      <c r="AF35" t="n">
        <v>19013.9</v>
      </c>
    </row>
    <row r="36">
      <c r="A36" t="s">
        <v>46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1933</v>
      </c>
      <c r="H36" t="n">
        <v>2358.9</v>
      </c>
      <c r="I36" t="n">
        <v>2348.7</v>
      </c>
      <c r="J36" t="n">
        <v>2656.6</v>
      </c>
      <c r="K36" t="n">
        <v>2752</v>
      </c>
      <c r="L36" t="n">
        <v>2543.3</v>
      </c>
      <c r="M36" t="n">
        <v>3307.4</v>
      </c>
      <c r="N36" t="n">
        <v>2839</v>
      </c>
      <c r="O36" t="n">
        <v>2973.9</v>
      </c>
      <c r="P36" t="n">
        <v>3225.2</v>
      </c>
      <c r="Q36" t="n">
        <v>2904.2</v>
      </c>
      <c r="R36" t="n">
        <v>3228.8</v>
      </c>
      <c r="S36" t="n">
        <v>3496.1</v>
      </c>
      <c r="T36" t="n">
        <v>2807.5</v>
      </c>
      <c r="U36" t="n">
        <v>3520.2</v>
      </c>
      <c r="V36" t="n">
        <v>3320.8</v>
      </c>
      <c r="W36" t="n">
        <v>3989.2</v>
      </c>
      <c r="X36" t="n">
        <v>2864.5</v>
      </c>
      <c r="Y36" t="n">
        <v>2452.5</v>
      </c>
      <c r="Z36" t="n">
        <v>2464.1</v>
      </c>
      <c r="AA36" t="n">
        <v>3129</v>
      </c>
      <c r="AB36" t="n">
        <v>2903.5</v>
      </c>
      <c r="AC36" t="n">
        <v>3054.7</v>
      </c>
      <c r="AD36" t="n">
        <v>2666.9</v>
      </c>
      <c r="AE36" t="n">
        <v>2618.4</v>
      </c>
      <c r="AF36" t="n">
        <v>2934.1</v>
      </c>
    </row>
    <row r="37">
      <c r="A37" t="s">
        <v>46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5168</v>
      </c>
      <c r="H37" t="n">
        <v>5696</v>
      </c>
      <c r="I37" t="n">
        <v>5404.3</v>
      </c>
      <c r="J37" t="n">
        <v>5662.4</v>
      </c>
      <c r="K37" t="n">
        <v>7195.1</v>
      </c>
      <c r="L37" t="n">
        <v>6457.9</v>
      </c>
      <c r="M37" t="n">
        <v>6612.5</v>
      </c>
      <c r="N37" t="n">
        <v>5862.7</v>
      </c>
      <c r="O37" t="n">
        <v>6504</v>
      </c>
      <c r="P37" t="n">
        <v>7689.7</v>
      </c>
      <c r="Q37" t="n">
        <v>6856.6</v>
      </c>
      <c r="R37" t="n">
        <v>7055.6</v>
      </c>
      <c r="S37" t="n">
        <v>6981.9</v>
      </c>
      <c r="T37" t="n">
        <v>5939</v>
      </c>
      <c r="U37" t="n">
        <v>7013.7</v>
      </c>
      <c r="V37" t="n">
        <v>7160.3</v>
      </c>
      <c r="W37" t="n">
        <v>8409.2</v>
      </c>
      <c r="X37" t="n">
        <v>8486.5</v>
      </c>
      <c r="Y37" t="n">
        <v>9822.6</v>
      </c>
      <c r="Z37" t="n">
        <v>10830.9</v>
      </c>
      <c r="AA37" t="n">
        <v>10141.5</v>
      </c>
      <c r="AB37" t="n">
        <v>11105.1</v>
      </c>
      <c r="AC37" t="n">
        <v>10498</v>
      </c>
      <c r="AD37" t="n">
        <v>10609.1</v>
      </c>
      <c r="AE37" t="n">
        <v>11115.5</v>
      </c>
      <c r="AF37" t="n">
        <v>9347.5</v>
      </c>
    </row>
    <row r="38">
      <c r="A38" t="s">
        <v>46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2721.2</v>
      </c>
      <c r="H38" t="n">
        <v>2895.5</v>
      </c>
      <c r="I38" t="n">
        <v>2902.9</v>
      </c>
      <c r="J38" t="n">
        <v>3309.1</v>
      </c>
      <c r="K38" t="n">
        <v>2937.5</v>
      </c>
      <c r="L38" t="n">
        <v>3480.5</v>
      </c>
      <c r="M38" t="n">
        <v>3368.3</v>
      </c>
      <c r="N38" t="n">
        <v>4718.6</v>
      </c>
      <c r="O38" t="n">
        <v>3806.2</v>
      </c>
      <c r="P38" t="n">
        <v>4030.4</v>
      </c>
      <c r="Q38" t="n">
        <v>3871.2</v>
      </c>
      <c r="R38" t="n">
        <v>4488.6</v>
      </c>
      <c r="S38" t="n">
        <v>3601.4</v>
      </c>
      <c r="T38" t="n">
        <v>3873.5</v>
      </c>
      <c r="U38" t="n">
        <v>4052.4</v>
      </c>
      <c r="V38" t="n">
        <v>4000.9</v>
      </c>
      <c r="W38" t="n">
        <v>3819.6</v>
      </c>
      <c r="X38" t="n">
        <v>4722.2</v>
      </c>
      <c r="Y38" t="n">
        <v>4191.7</v>
      </c>
      <c r="Z38" t="n">
        <v>5380.9</v>
      </c>
      <c r="AA38" t="n">
        <v>5411.3</v>
      </c>
      <c r="AB38" t="n">
        <v>6080.6</v>
      </c>
      <c r="AC38" t="n">
        <v>5730.5</v>
      </c>
      <c r="AD38" t="n">
        <v>5922.4</v>
      </c>
      <c r="AE38" t="n">
        <v>6548.7</v>
      </c>
      <c r="AF38" t="n">
        <v>6732.3</v>
      </c>
    </row>
    <row r="39">
      <c r="A39" t="s">
        <v>46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4742.1</v>
      </c>
      <c r="H39" t="n">
        <v>4792</v>
      </c>
      <c r="I39" t="n">
        <v>5538.7</v>
      </c>
      <c r="J39" t="n">
        <v>4210</v>
      </c>
      <c r="K39" t="n">
        <v>4818.1</v>
      </c>
      <c r="L39" t="n">
        <v>5309.8</v>
      </c>
      <c r="M39" t="n">
        <v>5804.9</v>
      </c>
      <c r="N39" t="n">
        <v>4887.9</v>
      </c>
      <c r="O39" t="n">
        <v>5490</v>
      </c>
      <c r="P39" t="n">
        <v>4628.7</v>
      </c>
      <c r="Q39" t="n">
        <v>4948.9</v>
      </c>
      <c r="R39" t="n">
        <v>5538.8</v>
      </c>
      <c r="S39" t="n">
        <v>6129.1</v>
      </c>
      <c r="T39" t="n">
        <v>4659.3</v>
      </c>
      <c r="U39" t="n">
        <v>5756.4</v>
      </c>
      <c r="V39" t="n">
        <v>4774.7</v>
      </c>
      <c r="W39" t="n">
        <v>4128.7</v>
      </c>
      <c r="X39" t="n">
        <v>4205.1</v>
      </c>
      <c r="Y39" t="n">
        <v>4505</v>
      </c>
      <c r="Z39" t="n">
        <v>5034.6</v>
      </c>
      <c r="AA39" t="n">
        <v>5423.7</v>
      </c>
      <c r="AB39" t="n">
        <v>6634.8</v>
      </c>
      <c r="AC39" t="n">
        <v>6637.8</v>
      </c>
      <c r="AD39" t="n">
        <v>7613</v>
      </c>
      <c r="AE39" t="n">
        <v>7515</v>
      </c>
      <c r="AF39" t="n">
        <v>8453.9</v>
      </c>
    </row>
    <row r="40">
      <c r="A40" t="s">
        <v>46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57621.2</v>
      </c>
      <c r="H40" t="n">
        <v>58681.2</v>
      </c>
      <c r="I40" t="n">
        <v>59837.9</v>
      </c>
      <c r="J40" t="n">
        <v>63394.3</v>
      </c>
      <c r="K40" t="n">
        <v>66962</v>
      </c>
      <c r="L40" t="n">
        <v>70555.4</v>
      </c>
      <c r="M40" t="n">
        <v>75117.6</v>
      </c>
      <c r="N40" t="n">
        <v>79510.1</v>
      </c>
      <c r="O40" t="n">
        <v>82605.3</v>
      </c>
      <c r="P40" t="n">
        <v>91364</v>
      </c>
      <c r="Q40" t="n">
        <v>99322.2</v>
      </c>
      <c r="R40" t="n">
        <v>103577.2</v>
      </c>
      <c r="S40" t="n">
        <v>104560.2</v>
      </c>
      <c r="T40" t="n">
        <v>96791.6</v>
      </c>
      <c r="U40" t="n">
        <v>99207.5</v>
      </c>
      <c r="V40" t="n">
        <v>95260.4</v>
      </c>
      <c r="W40" t="n">
        <v>90842.6</v>
      </c>
      <c r="X40" t="n">
        <v>86503.8</v>
      </c>
      <c r="Y40" t="n">
        <v>81068.1</v>
      </c>
      <c r="Z40" t="n">
        <v>76541.8</v>
      </c>
      <c r="AA40" t="n">
        <v>78135.4</v>
      </c>
      <c r="AB40" t="n">
        <v>80936</v>
      </c>
      <c r="AC40" t="n">
        <v>83059</v>
      </c>
      <c r="AD40" t="n">
        <v>85493.9</v>
      </c>
      <c r="AE40" t="n">
        <v>77992.7</v>
      </c>
      <c r="AF40" t="n">
        <v>114272.6</v>
      </c>
    </row>
    <row r="41">
      <c r="A41" t="s">
        <v>46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46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7467.7</v>
      </c>
      <c r="H42" t="n">
        <v>7845.6</v>
      </c>
      <c r="I42" t="n">
        <v>8146</v>
      </c>
      <c r="J42" t="n">
        <v>8984.1</v>
      </c>
      <c r="K42" t="n">
        <v>10135</v>
      </c>
      <c r="L42" t="n">
        <v>10633.4</v>
      </c>
      <c r="M42" t="n">
        <v>10864.2</v>
      </c>
      <c r="N42" t="n">
        <v>10909.5</v>
      </c>
      <c r="O42" t="n">
        <v>10792</v>
      </c>
      <c r="P42" t="n">
        <v>11452</v>
      </c>
      <c r="Q42" t="n">
        <v>12164</v>
      </c>
      <c r="R42" t="n">
        <v>12577.1</v>
      </c>
      <c r="S42" t="n">
        <v>12743.3</v>
      </c>
      <c r="T42" t="n">
        <v>11906.5</v>
      </c>
      <c r="U42" t="n">
        <v>12291.3</v>
      </c>
      <c r="V42" t="n">
        <v>12231.3</v>
      </c>
      <c r="W42" t="n">
        <v>13006.8</v>
      </c>
      <c r="X42" t="n">
        <v>13135.4</v>
      </c>
      <c r="Y42" t="n">
        <v>12442.5</v>
      </c>
      <c r="Z42" t="n">
        <v>12168.5</v>
      </c>
      <c r="AA42" t="n">
        <v>12166</v>
      </c>
      <c r="AB42" t="n">
        <v>12361.3</v>
      </c>
      <c r="AC42" t="n">
        <v>12574.4</v>
      </c>
      <c r="AD42" t="n">
        <v>12758.3</v>
      </c>
      <c r="AE42" t="n">
        <v>12892.5</v>
      </c>
      <c r="AF42" t="n">
        <v>14143.7</v>
      </c>
    </row>
    <row r="43">
      <c r="A43" t="s">
        <v>46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11599.3</v>
      </c>
      <c r="H43" t="n">
        <v>12307.9</v>
      </c>
      <c r="I43" t="n">
        <v>12537.1</v>
      </c>
      <c r="J43" t="n">
        <v>14277</v>
      </c>
      <c r="K43" t="n">
        <v>16595.8</v>
      </c>
      <c r="L43" t="n">
        <v>17462.8</v>
      </c>
      <c r="M43" t="n">
        <v>17474.7</v>
      </c>
      <c r="N43" t="n">
        <v>16778.8</v>
      </c>
      <c r="O43" t="n">
        <v>17059.7</v>
      </c>
      <c r="P43" t="n">
        <v>18121.8</v>
      </c>
      <c r="Q43" t="n">
        <v>18682.1</v>
      </c>
      <c r="R43" t="n">
        <v>20598.2</v>
      </c>
      <c r="S43" t="n">
        <v>20667.6</v>
      </c>
      <c r="T43" t="n">
        <v>17934.7</v>
      </c>
      <c r="U43" t="n">
        <v>18109.2</v>
      </c>
      <c r="V43" t="n">
        <v>18673.5</v>
      </c>
      <c r="W43" t="n">
        <v>19686.8</v>
      </c>
      <c r="X43" t="n">
        <v>18156.3</v>
      </c>
      <c r="Y43" t="n">
        <v>18409.1</v>
      </c>
      <c r="Z43" t="n">
        <v>18650.7</v>
      </c>
      <c r="AA43" t="n">
        <v>19599.7</v>
      </c>
      <c r="AB43" t="n">
        <v>21552</v>
      </c>
      <c r="AC43" t="n">
        <v>21675.8</v>
      </c>
      <c r="AD43" t="n">
        <v>22481.1</v>
      </c>
      <c r="AE43" t="n">
        <v>20501.6</v>
      </c>
      <c r="AF43" t="n">
        <v>22471.7</v>
      </c>
    </row>
    <row r="44">
      <c r="A44" t="s">
        <v>46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119928.8</v>
      </c>
      <c r="H44" t="n">
        <v>127048.7</v>
      </c>
      <c r="I44" t="n">
        <v>136618.8</v>
      </c>
      <c r="J44" t="n">
        <v>145311.4</v>
      </c>
      <c r="K44" t="n">
        <v>159186.3</v>
      </c>
      <c r="L44" t="n">
        <v>166662.7</v>
      </c>
      <c r="M44" t="n">
        <v>176572.9</v>
      </c>
      <c r="N44" t="n">
        <v>176055.2</v>
      </c>
      <c r="O44" t="n">
        <v>179872.5</v>
      </c>
      <c r="P44" t="n">
        <v>185738.8</v>
      </c>
      <c r="Q44" t="n">
        <v>194388.7</v>
      </c>
      <c r="R44" t="n">
        <v>203732.6</v>
      </c>
      <c r="S44" t="n">
        <v>200578.9</v>
      </c>
      <c r="T44" t="n">
        <v>175234</v>
      </c>
      <c r="U44" t="n">
        <v>183414.2</v>
      </c>
      <c r="V44" t="n">
        <v>190248.6</v>
      </c>
      <c r="W44" t="n">
        <v>172926.2</v>
      </c>
      <c r="X44" t="n">
        <v>164167.6</v>
      </c>
      <c r="Y44" t="n">
        <v>164941.1</v>
      </c>
      <c r="Z44" t="n">
        <v>174590.4</v>
      </c>
      <c r="AA44" t="n">
        <v>188498.1</v>
      </c>
      <c r="AB44" t="n">
        <v>195414.8</v>
      </c>
      <c r="AC44" t="n">
        <v>206103</v>
      </c>
      <c r="AD44" t="n">
        <v>206603.6</v>
      </c>
      <c r="AE44" t="n">
        <v>192236.2</v>
      </c>
      <c r="AF44" t="n">
        <v>217634.6</v>
      </c>
    </row>
    <row r="45">
      <c r="A45" t="s">
        <v>46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114876.7</v>
      </c>
      <c r="H45" t="n">
        <v>121475.7</v>
      </c>
      <c r="I45" t="n">
        <v>130713.1</v>
      </c>
      <c r="J45" t="n">
        <v>138811.3</v>
      </c>
      <c r="K45" t="n">
        <v>151998.9</v>
      </c>
      <c r="L45" t="n">
        <v>159791.6</v>
      </c>
      <c r="M45" t="n">
        <v>169334.4</v>
      </c>
      <c r="N45" t="n">
        <v>168735.3</v>
      </c>
      <c r="O45" t="n">
        <v>171954.3</v>
      </c>
      <c r="P45" t="n">
        <v>177519.3</v>
      </c>
      <c r="Q45" t="n">
        <v>185492.3</v>
      </c>
      <c r="R45" t="n">
        <v>195179.8</v>
      </c>
      <c r="S45" t="n">
        <v>192702.4</v>
      </c>
      <c r="T45" t="n">
        <v>168334.9</v>
      </c>
      <c r="U45" t="n">
        <v>175953</v>
      </c>
      <c r="V45" t="n">
        <v>182123.9</v>
      </c>
      <c r="W45" t="n">
        <v>165255</v>
      </c>
      <c r="X45" t="n">
        <v>157510.6</v>
      </c>
      <c r="Y45" t="n">
        <v>158195.5</v>
      </c>
      <c r="Z45" t="n">
        <v>167834.9</v>
      </c>
      <c r="AA45" t="n">
        <v>181214.2</v>
      </c>
      <c r="AB45" t="n">
        <v>187075.8</v>
      </c>
      <c r="AC45" t="n">
        <v>196723.4</v>
      </c>
      <c r="AD45" t="n">
        <v>196964.5</v>
      </c>
      <c r="AE45" t="n">
        <v>183457</v>
      </c>
      <c r="AF45" t="n">
        <v>207538.9</v>
      </c>
    </row>
    <row r="46">
      <c r="A46" t="s">
        <v>46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4131.6</v>
      </c>
      <c r="H46" t="n">
        <v>4462.3</v>
      </c>
      <c r="I46" t="n">
        <v>4391.1</v>
      </c>
      <c r="J46" t="n">
        <v>5292.9</v>
      </c>
      <c r="K46" t="n">
        <v>6460.8</v>
      </c>
      <c r="L46" t="n">
        <v>6829.4</v>
      </c>
      <c r="M46" t="n">
        <v>6610.5</v>
      </c>
      <c r="N46" t="n">
        <v>5869.3</v>
      </c>
      <c r="O46" t="n">
        <v>6267.7</v>
      </c>
      <c r="P46" t="n">
        <v>6669.8</v>
      </c>
      <c r="Q46" t="n">
        <v>6518.1</v>
      </c>
      <c r="R46" t="n">
        <v>8021.1</v>
      </c>
      <c r="S46" t="n">
        <v>7924.3</v>
      </c>
      <c r="T46" t="n">
        <v>6028.2</v>
      </c>
      <c r="U46" t="n">
        <v>5817.9</v>
      </c>
      <c r="V46" t="n">
        <v>6442.2</v>
      </c>
      <c r="W46" t="n">
        <v>6680</v>
      </c>
      <c r="X46" t="n">
        <v>5020.9</v>
      </c>
      <c r="Y46" t="n">
        <v>5966.6</v>
      </c>
      <c r="Z46" t="n">
        <v>6482.2</v>
      </c>
      <c r="AA46" t="n">
        <v>7433.7</v>
      </c>
      <c r="AB46" t="n">
        <v>9190.7</v>
      </c>
      <c r="AC46" t="n">
        <v>9101.4</v>
      </c>
      <c r="AD46" t="n">
        <v>9722.8</v>
      </c>
      <c r="AE46" t="n">
        <v>7609.1</v>
      </c>
      <c r="AF46" t="n">
        <v>8328</v>
      </c>
    </row>
    <row r="47">
      <c r="A47" t="s">
        <v>46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18041.6</v>
      </c>
      <c r="H47" t="n">
        <v>18962.7</v>
      </c>
      <c r="I47" t="n">
        <v>20433.8</v>
      </c>
      <c r="J47" t="n">
        <v>22417</v>
      </c>
      <c r="K47" t="n">
        <v>22146.9</v>
      </c>
      <c r="L47" t="n">
        <v>24473.4</v>
      </c>
      <c r="M47" t="n">
        <v>26540.1</v>
      </c>
      <c r="N47" t="n">
        <v>28082.4</v>
      </c>
      <c r="O47" t="n">
        <v>30922.7</v>
      </c>
      <c r="P47" t="n">
        <v>29311.3</v>
      </c>
      <c r="Q47" t="n">
        <v>28518.8</v>
      </c>
      <c r="R47" t="n">
        <v>29019.1</v>
      </c>
      <c r="S47" t="n">
        <v>29672.4</v>
      </c>
      <c r="T47" t="n">
        <v>34652.2</v>
      </c>
      <c r="U47" t="n">
        <v>27781.7</v>
      </c>
      <c r="V47" t="n">
        <v>26604.7</v>
      </c>
      <c r="W47" t="n">
        <v>24407.1</v>
      </c>
      <c r="X47" t="n">
        <v>22145.1</v>
      </c>
      <c r="Y47" t="n">
        <v>20568.7</v>
      </c>
      <c r="Z47" t="n">
        <v>21549.5</v>
      </c>
      <c r="AA47" t="n">
        <v>20635.9</v>
      </c>
      <c r="AB47" t="n">
        <v>19606.4</v>
      </c>
      <c r="AC47" t="n">
        <v>18748.4</v>
      </c>
      <c r="AD47" t="n">
        <v>22618.1</v>
      </c>
      <c r="AE47" t="n">
        <v>22957.5</v>
      </c>
      <c r="AF47" t="n">
        <v>25653.4</v>
      </c>
    </row>
    <row r="48">
      <c r="A48" t="s">
        <v>46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23618.2</v>
      </c>
      <c r="H48" t="n">
        <v>24949.2</v>
      </c>
      <c r="I48" t="n">
        <v>27185.4</v>
      </c>
      <c r="J48" t="n">
        <v>29636.8</v>
      </c>
      <c r="K48" t="n">
        <v>30293.3</v>
      </c>
      <c r="L48" t="n">
        <v>33370.6</v>
      </c>
      <c r="M48" t="n">
        <v>35659.9</v>
      </c>
      <c r="N48" t="n">
        <v>37481.5</v>
      </c>
      <c r="O48" t="n">
        <v>40311.6</v>
      </c>
      <c r="P48" t="n">
        <v>39400.9</v>
      </c>
      <c r="Q48" t="n">
        <v>39668.3</v>
      </c>
      <c r="R48" t="n">
        <v>40124.8</v>
      </c>
      <c r="S48" t="n">
        <v>39738.6</v>
      </c>
      <c r="T48" t="n">
        <v>45588.9</v>
      </c>
      <c r="U48" t="n">
        <v>39070.5</v>
      </c>
      <c r="V48" t="n">
        <v>36929.4</v>
      </c>
      <c r="W48" t="n">
        <v>33721.4</v>
      </c>
      <c r="X48" t="n">
        <v>30818.6</v>
      </c>
      <c r="Y48" t="n">
        <v>28599</v>
      </c>
      <c r="Z48" t="n">
        <v>29714.9</v>
      </c>
      <c r="AA48" t="n">
        <v>28399.6</v>
      </c>
      <c r="AB48" t="n">
        <v>28086.7</v>
      </c>
      <c r="AC48" t="n">
        <v>27570.9</v>
      </c>
      <c r="AD48" t="n">
        <v>32448</v>
      </c>
      <c r="AE48" t="n">
        <v>33591.2</v>
      </c>
      <c r="AF48" t="n">
        <v>37551.4</v>
      </c>
    </row>
    <row r="49">
      <c r="A49" t="s">
        <v>46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1286.2</v>
      </c>
      <c r="H49" t="n">
        <v>1362.8</v>
      </c>
      <c r="I49" t="n">
        <v>1561.6</v>
      </c>
      <c r="J49" t="n">
        <v>1683.6</v>
      </c>
      <c r="K49" t="n">
        <v>1957.5</v>
      </c>
      <c r="L49" t="n">
        <v>2131.1</v>
      </c>
      <c r="M49" t="n">
        <v>2399.2</v>
      </c>
      <c r="N49" t="n">
        <v>2366.8</v>
      </c>
      <c r="O49" t="n">
        <v>2585.5</v>
      </c>
      <c r="P49" t="n">
        <v>2495.3</v>
      </c>
      <c r="Q49" t="n">
        <v>2735</v>
      </c>
      <c r="R49" t="n">
        <v>2514.4</v>
      </c>
      <c r="S49" t="n">
        <v>2381.5</v>
      </c>
      <c r="T49" t="n">
        <v>2348.2</v>
      </c>
      <c r="U49" t="n">
        <v>2205.5</v>
      </c>
      <c r="V49" t="n">
        <v>2309.4</v>
      </c>
      <c r="W49" t="n">
        <v>2184.8</v>
      </c>
      <c r="X49" t="n">
        <v>2099.1</v>
      </c>
      <c r="Y49" t="n">
        <v>2090.7</v>
      </c>
      <c r="Z49" t="n">
        <v>1991.4</v>
      </c>
      <c r="AA49" t="n">
        <v>1877.4</v>
      </c>
      <c r="AB49" t="n">
        <v>1580.5</v>
      </c>
      <c r="AC49" t="n">
        <v>1734.9</v>
      </c>
      <c r="AD49" t="n">
        <v>1623.1</v>
      </c>
      <c r="AE49" t="n">
        <v>2104.7</v>
      </c>
      <c r="AF49" t="n">
        <v>2354.3</v>
      </c>
    </row>
    <row r="50">
      <c r="A50" t="s">
        <v>46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4290.4</v>
      </c>
      <c r="H50" t="n">
        <v>4623.5</v>
      </c>
      <c r="I50" t="n">
        <v>5190</v>
      </c>
      <c r="J50" t="n">
        <v>5536.3</v>
      </c>
      <c r="K50" t="n">
        <v>6188.9</v>
      </c>
      <c r="L50" t="n">
        <v>6766.1</v>
      </c>
      <c r="M50" t="n">
        <v>6720.5</v>
      </c>
      <c r="N50" t="n">
        <v>7032.4</v>
      </c>
      <c r="O50" t="n">
        <v>6803.4</v>
      </c>
      <c r="P50" t="n">
        <v>7594.3</v>
      </c>
      <c r="Q50" t="n">
        <v>8414.5</v>
      </c>
      <c r="R50" t="n">
        <v>8591.3</v>
      </c>
      <c r="S50" t="n">
        <v>7684.7</v>
      </c>
      <c r="T50" t="n">
        <v>8588.5</v>
      </c>
      <c r="U50" t="n">
        <v>9083.2</v>
      </c>
      <c r="V50" t="n">
        <v>8015.4</v>
      </c>
      <c r="W50" t="n">
        <v>7129.5</v>
      </c>
      <c r="X50" t="n">
        <v>6574.3</v>
      </c>
      <c r="Y50" t="n">
        <v>5939.6</v>
      </c>
      <c r="Z50" t="n">
        <v>6174</v>
      </c>
      <c r="AA50" t="n">
        <v>5886.4</v>
      </c>
      <c r="AB50" t="n">
        <v>6899.8</v>
      </c>
      <c r="AC50" t="n">
        <v>7087.5</v>
      </c>
      <c r="AD50" t="n">
        <v>8206.8</v>
      </c>
      <c r="AE50" t="n">
        <v>8529</v>
      </c>
      <c r="AF50" t="n">
        <v>9543.7</v>
      </c>
    </row>
    <row r="51">
      <c r="A51" t="s">
        <v>46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4032.3</v>
      </c>
      <c r="H51" t="n">
        <v>4328.6</v>
      </c>
      <c r="I51" t="n">
        <v>4856.9</v>
      </c>
      <c r="J51" t="n">
        <v>5168.5</v>
      </c>
      <c r="K51" t="n">
        <v>5795.1</v>
      </c>
      <c r="L51" t="n">
        <v>6331.8</v>
      </c>
      <c r="M51" t="n">
        <v>6319.9</v>
      </c>
      <c r="N51" t="n">
        <v>6640</v>
      </c>
      <c r="O51" t="n">
        <v>6311</v>
      </c>
      <c r="P51" t="n">
        <v>7123.8</v>
      </c>
      <c r="Q51" t="n">
        <v>7958.7</v>
      </c>
      <c r="R51" t="n">
        <v>8061.1</v>
      </c>
      <c r="S51" t="n">
        <v>7266.2</v>
      </c>
      <c r="T51" t="n">
        <v>8221.3</v>
      </c>
      <c r="U51" t="n">
        <v>8678.3</v>
      </c>
      <c r="V51" t="n">
        <v>7559.6</v>
      </c>
      <c r="W51" t="n">
        <v>6667.4</v>
      </c>
      <c r="X51" t="n">
        <v>6057.8</v>
      </c>
      <c r="Y51" t="n">
        <v>5436.9</v>
      </c>
      <c r="Z51" t="n">
        <v>5692.5</v>
      </c>
      <c r="AA51" t="n">
        <v>5334.1</v>
      </c>
      <c r="AB51" t="n">
        <v>6310.5</v>
      </c>
      <c r="AC51" t="n">
        <v>6581.3</v>
      </c>
      <c r="AD51" t="n">
        <v>7582.5</v>
      </c>
      <c r="AE51" t="n">
        <v>7960.9</v>
      </c>
      <c r="AF51" t="n">
        <v>8893.4</v>
      </c>
    </row>
    <row r="52">
      <c r="A52" t="s">
        <v>46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258.1</v>
      </c>
      <c r="H52" t="n">
        <v>294.9</v>
      </c>
      <c r="I52" t="n">
        <v>333.1</v>
      </c>
      <c r="J52" t="n">
        <v>367.8</v>
      </c>
      <c r="K52" t="n">
        <v>393.8</v>
      </c>
      <c r="L52" t="n">
        <v>434.3</v>
      </c>
      <c r="M52" t="n">
        <v>400.6</v>
      </c>
      <c r="N52" t="n">
        <v>392.4</v>
      </c>
      <c r="O52" t="n">
        <v>492.4</v>
      </c>
      <c r="P52" t="n">
        <v>470.5</v>
      </c>
      <c r="Q52" t="n">
        <v>455.8</v>
      </c>
      <c r="R52" t="n">
        <v>530.2</v>
      </c>
      <c r="S52" t="n">
        <v>418.5</v>
      </c>
      <c r="T52" t="n">
        <v>367.2</v>
      </c>
      <c r="U52" t="n">
        <v>404.9</v>
      </c>
      <c r="V52" t="n">
        <v>455.8</v>
      </c>
      <c r="W52" t="n">
        <v>462.1</v>
      </c>
      <c r="X52" t="n">
        <v>516.5</v>
      </c>
      <c r="Y52" t="n">
        <v>502.7</v>
      </c>
      <c r="Z52" t="n">
        <v>481.5</v>
      </c>
      <c r="AA52" t="n">
        <v>552.3</v>
      </c>
      <c r="AB52" t="n">
        <v>589.3</v>
      </c>
      <c r="AC52" t="n">
        <v>506.2</v>
      </c>
      <c r="AD52" t="n">
        <v>624.3</v>
      </c>
      <c r="AE52" t="n">
        <v>568.1</v>
      </c>
      <c r="AF52" t="n">
        <v>650.3</v>
      </c>
    </row>
    <row r="53">
      <c r="A53" t="s">
        <v>46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2197.3</v>
      </c>
      <c r="H53" t="n">
        <v>2500.3</v>
      </c>
      <c r="I53" t="n">
        <v>2780</v>
      </c>
      <c r="J53" t="n">
        <v>2802.5</v>
      </c>
      <c r="K53" t="n">
        <v>2943.9</v>
      </c>
      <c r="L53" t="n">
        <v>3254.6</v>
      </c>
      <c r="M53" t="n">
        <v>3657.6</v>
      </c>
      <c r="N53" t="n">
        <v>3336.8</v>
      </c>
      <c r="O53" t="n">
        <v>3411.3</v>
      </c>
      <c r="P53" t="n">
        <v>4093.7</v>
      </c>
      <c r="Q53" t="n">
        <v>3764.9</v>
      </c>
      <c r="R53" t="n">
        <v>3999.2</v>
      </c>
      <c r="S53" t="n">
        <v>3336.7</v>
      </c>
      <c r="T53" t="n">
        <v>3713.7</v>
      </c>
      <c r="U53" t="n">
        <v>3666.1</v>
      </c>
      <c r="V53" t="n">
        <v>3726.5</v>
      </c>
      <c r="W53" t="n">
        <v>2540.1</v>
      </c>
      <c r="X53" t="n">
        <v>2943.2</v>
      </c>
      <c r="Y53" t="n">
        <v>2687.8</v>
      </c>
      <c r="Z53" t="n">
        <v>2769.6</v>
      </c>
      <c r="AA53" t="n">
        <v>3244.8</v>
      </c>
      <c r="AB53" t="n">
        <v>3267.5</v>
      </c>
      <c r="AC53" t="n">
        <v>3503.8</v>
      </c>
      <c r="AD53" t="n">
        <v>3364.9</v>
      </c>
      <c r="AE53" t="n">
        <v>3120.2</v>
      </c>
      <c r="AF53" t="n">
        <v>4011</v>
      </c>
    </row>
    <row r="54">
      <c r="A54" t="s">
        <v>46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3209</v>
      </c>
      <c r="H54" t="n">
        <v>3641.8</v>
      </c>
      <c r="I54" t="n">
        <v>4086.2</v>
      </c>
      <c r="J54" t="n">
        <v>4040.9</v>
      </c>
      <c r="K54" t="n">
        <v>4285</v>
      </c>
      <c r="L54" t="n">
        <v>4749.8</v>
      </c>
      <c r="M54" t="n">
        <v>5270.3</v>
      </c>
      <c r="N54" t="n">
        <v>5022.8</v>
      </c>
      <c r="O54" t="n">
        <v>5028.8</v>
      </c>
      <c r="P54" t="n">
        <v>5939.2</v>
      </c>
      <c r="Q54" t="n">
        <v>5664.7</v>
      </c>
      <c r="R54" t="n">
        <v>5860.5</v>
      </c>
      <c r="S54" t="n">
        <v>5406.8</v>
      </c>
      <c r="T54" t="n">
        <v>5036.4</v>
      </c>
      <c r="U54" t="n">
        <v>5341.9</v>
      </c>
      <c r="V54" t="n">
        <v>5436.3</v>
      </c>
      <c r="W54" t="n">
        <v>4030.1</v>
      </c>
      <c r="X54" t="n">
        <v>4123.8</v>
      </c>
      <c r="Y54" t="n">
        <v>4151.7</v>
      </c>
      <c r="Z54" t="n">
        <v>4089.8</v>
      </c>
      <c r="AA54" t="n">
        <v>4881.5</v>
      </c>
      <c r="AB54" t="n">
        <v>5117.1</v>
      </c>
      <c r="AC54" t="n">
        <v>4952.4</v>
      </c>
      <c r="AD54" t="n">
        <v>4900.5</v>
      </c>
      <c r="AE54" t="n">
        <v>4322.4</v>
      </c>
      <c r="AF54" t="n">
        <v>5523.4</v>
      </c>
    </row>
    <row r="55">
      <c r="A55" t="s">
        <v>46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1011.7</v>
      </c>
      <c r="H55" t="n">
        <v>1141.5</v>
      </c>
      <c r="I55" t="n">
        <v>1306.2</v>
      </c>
      <c r="J55" t="n">
        <v>1238.4</v>
      </c>
      <c r="K55" t="n">
        <v>1341.1</v>
      </c>
      <c r="L55" t="n">
        <v>1495.2</v>
      </c>
      <c r="M55" t="n">
        <v>1612.7</v>
      </c>
      <c r="N55" t="n">
        <v>1686</v>
      </c>
      <c r="O55" t="n">
        <v>1617.5</v>
      </c>
      <c r="P55" t="n">
        <v>1845.5</v>
      </c>
      <c r="Q55" t="n">
        <v>1899.8</v>
      </c>
      <c r="R55" t="n">
        <v>1861.3</v>
      </c>
      <c r="S55" t="n">
        <v>2070.1</v>
      </c>
      <c r="T55" t="n">
        <v>1322.7</v>
      </c>
      <c r="U55" t="n">
        <v>1675.8</v>
      </c>
      <c r="V55" t="n">
        <v>1709.8</v>
      </c>
      <c r="W55" t="n">
        <v>1490</v>
      </c>
      <c r="X55" t="n">
        <v>1180.6</v>
      </c>
      <c r="Y55" t="n">
        <v>1463.9</v>
      </c>
      <c r="Z55" t="n">
        <v>1320.2</v>
      </c>
      <c r="AA55" t="n">
        <v>1636.7</v>
      </c>
      <c r="AB55" t="n">
        <v>1849.6</v>
      </c>
      <c r="AC55" t="n">
        <v>1448.6</v>
      </c>
      <c r="AD55" t="n">
        <v>1535.6</v>
      </c>
      <c r="AE55" t="n">
        <v>1202.2</v>
      </c>
      <c r="AF55" t="n">
        <v>1512.4</v>
      </c>
    </row>
    <row r="56">
      <c r="A56" t="s">
        <v>46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46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201168.2</v>
      </c>
      <c r="H57" t="n">
        <v>210678.9</v>
      </c>
      <c r="I57" t="n">
        <v>223642.1</v>
      </c>
      <c r="J57" t="n">
        <v>238342.6</v>
      </c>
      <c r="K57" t="n">
        <v>256441.6</v>
      </c>
      <c r="L57" t="n">
        <v>270588.7</v>
      </c>
      <c r="M57" t="n">
        <v>287350.3</v>
      </c>
      <c r="N57" t="n">
        <v>293046.9</v>
      </c>
      <c r="O57" t="n">
        <v>302789.4</v>
      </c>
      <c r="P57" t="n">
        <v>316503.7</v>
      </c>
      <c r="Q57" t="n">
        <v>333379.2</v>
      </c>
      <c r="R57" t="n">
        <v>347434.6</v>
      </c>
      <c r="S57" t="n">
        <v>344877.7</v>
      </c>
      <c r="T57" t="n">
        <v>317614.5</v>
      </c>
      <c r="U57" t="n">
        <v>321692.1</v>
      </c>
      <c r="V57" t="n">
        <v>322438.5</v>
      </c>
      <c r="W57" t="n">
        <v>297490.2</v>
      </c>
      <c r="X57" t="n">
        <v>281489.9</v>
      </c>
      <c r="Y57" t="n">
        <v>274608.2</v>
      </c>
      <c r="Z57" t="n">
        <v>280847.1</v>
      </c>
      <c r="AA57" t="n">
        <v>295033.2</v>
      </c>
      <c r="AB57" t="n">
        <v>304437.5</v>
      </c>
      <c r="AC57" t="n">
        <v>316732.8</v>
      </c>
      <c r="AD57" t="n">
        <v>324545.5</v>
      </c>
      <c r="AE57" t="n">
        <v>303820.1</v>
      </c>
      <c r="AF57" t="n">
        <v>369458.6</v>
      </c>
    </row>
    <row r="58">
      <c r="A58" t="s">
        <v>46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201168.2</v>
      </c>
      <c r="H58" t="n">
        <v>210678.9</v>
      </c>
      <c r="I58" t="n">
        <v>223642.1</v>
      </c>
      <c r="J58" t="n">
        <v>238342.6</v>
      </c>
      <c r="K58" t="n">
        <v>256441.6</v>
      </c>
      <c r="L58" t="n">
        <v>270588.7</v>
      </c>
      <c r="M58" t="n">
        <v>287350.3</v>
      </c>
      <c r="N58" t="n">
        <v>293046.9</v>
      </c>
      <c r="O58" t="n">
        <v>302789.4</v>
      </c>
      <c r="P58" t="n">
        <v>316503.7</v>
      </c>
      <c r="Q58" t="n">
        <v>333379.2</v>
      </c>
      <c r="R58" t="n">
        <v>347434.6</v>
      </c>
      <c r="S58" t="n">
        <v>344877.7</v>
      </c>
      <c r="T58" t="n">
        <v>317614.5</v>
      </c>
      <c r="U58" t="n">
        <v>321692.1</v>
      </c>
      <c r="V58" t="n">
        <v>322438.5</v>
      </c>
      <c r="W58" t="n">
        <v>297490.2</v>
      </c>
      <c r="X58" t="n">
        <v>281489.9</v>
      </c>
      <c r="Y58" t="n">
        <v>274608.2</v>
      </c>
      <c r="Z58" t="n">
        <v>280847.1</v>
      </c>
      <c r="AA58" t="n">
        <v>295033.2</v>
      </c>
      <c r="AB58" t="n">
        <v>304437.5</v>
      </c>
      <c r="AC58" t="n">
        <v>316732.8</v>
      </c>
      <c r="AD58" t="n">
        <v>324545.5</v>
      </c>
      <c r="AE58" t="n">
        <v>303820.1</v>
      </c>
      <c r="AF58" t="n">
        <v>369458.6</v>
      </c>
    </row>
    <row r="59">
      <c r="A59" t="s">
        <v>46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72</v>
      </c>
      <c r="B2" t="s">
        <v>197</v>
      </c>
      <c r="C2" t="s">
        <v>246</v>
      </c>
      <c r="D2" t="s">
        <v>199</v>
      </c>
      <c r="E2" t="s">
        <v>247</v>
      </c>
      <c r="F2" t="n">
        <v>110.483007771274</v>
      </c>
      <c r="G2" t="n">
        <v>109.996298485938</v>
      </c>
      <c r="H2" t="n">
        <v>112.020770237213</v>
      </c>
      <c r="I2" t="n">
        <v>105.699849032605</v>
      </c>
      <c r="J2" t="n">
        <v>104.621279144517</v>
      </c>
      <c r="K2" t="n">
        <v>110.756477612869</v>
      </c>
      <c r="L2" t="n">
        <v>109.007691124245</v>
      </c>
      <c r="M2" t="n">
        <v>111.971646472034</v>
      </c>
      <c r="N2" t="n">
        <v>107.091526286812</v>
      </c>
      <c r="O2" t="n">
        <v>102.18854074597</v>
      </c>
      <c r="P2" t="n">
        <v>98.6734558063051</v>
      </c>
      <c r="Q2" t="n">
        <v>95.0689460051615</v>
      </c>
      <c r="R2" t="n">
        <v>90.6264718927708</v>
      </c>
      <c r="S2" t="n">
        <v>84.9916653502151</v>
      </c>
      <c r="T2" t="n">
        <v>89.3972808327316</v>
      </c>
      <c r="U2" t="n">
        <v>88.459547117703</v>
      </c>
      <c r="V2" t="n">
        <v>91.4752134967156</v>
      </c>
      <c r="W2" t="n">
        <v>97.1418196425298</v>
      </c>
      <c r="X2" t="n">
        <v>96.270592560534</v>
      </c>
      <c r="Y2" t="n">
        <v>94.9210048143583</v>
      </c>
      <c r="Z2" t="n">
        <v>100.367291975838</v>
      </c>
      <c r="AA2" t="n">
        <v>104.367437670527</v>
      </c>
      <c r="AB2" t="n">
        <v>100.603366147984</v>
      </c>
      <c r="AC2" t="n">
        <v>98.5074626865672</v>
      </c>
      <c r="AD2" t="n">
        <v>100</v>
      </c>
      <c r="AE2" t="n">
        <v>100</v>
      </c>
      <c r="AF2" t="n">
        <v>105.621301775148</v>
      </c>
    </row>
    <row r="3">
      <c r="A3" t="s">
        <v>72</v>
      </c>
      <c r="B3" t="s">
        <v>276</v>
      </c>
      <c r="C3" t="s">
        <v>246</v>
      </c>
      <c r="D3" t="s">
        <v>277</v>
      </c>
      <c r="E3" t="s">
        <v>247</v>
      </c>
      <c r="F3" t="n">
        <v>105.828279197894</v>
      </c>
      <c r="G3" t="n">
        <v>105.256234445473</v>
      </c>
      <c r="H3" t="n">
        <v>107.121407182294</v>
      </c>
      <c r="I3" t="n">
        <v>99.8589388987489</v>
      </c>
      <c r="J3" t="n">
        <v>99.8589388987489</v>
      </c>
      <c r="K3" t="n">
        <v>107.721847473454</v>
      </c>
      <c r="L3" t="n">
        <v>106.681056676609</v>
      </c>
      <c r="M3" t="n">
        <v>110.897699232996</v>
      </c>
      <c r="N3" t="n">
        <v>105.514315775084</v>
      </c>
      <c r="O3" t="n">
        <v>100.614270150854</v>
      </c>
      <c r="P3" t="n">
        <v>97.3289062275608</v>
      </c>
      <c r="Q3" t="n">
        <v>93.7129716308712</v>
      </c>
      <c r="R3" t="n">
        <v>89.1574799543705</v>
      </c>
      <c r="S3" t="n">
        <v>83.7946240172655</v>
      </c>
      <c r="T3" t="n">
        <v>88.3931094816276</v>
      </c>
      <c r="U3" t="n">
        <v>87.61773132828</v>
      </c>
      <c r="V3" t="n">
        <v>90.8628324885867</v>
      </c>
      <c r="W3" t="n">
        <v>96.801579710063</v>
      </c>
      <c r="X3" t="n">
        <v>96.801579710063</v>
      </c>
      <c r="Y3" t="n">
        <v>95.6441695178774</v>
      </c>
      <c r="Z3" t="n">
        <v>100.957734491093</v>
      </c>
      <c r="AA3" t="n">
        <v>104.214435603709</v>
      </c>
      <c r="AB3" t="n">
        <v>101.12660047471</v>
      </c>
      <c r="AC3" t="n">
        <v>98.6193293885601</v>
      </c>
      <c r="AD3" t="n">
        <v>100</v>
      </c>
      <c r="AE3" t="n">
        <v>100</v>
      </c>
      <c r="AF3" t="n">
        <v>105.357142857143</v>
      </c>
    </row>
    <row r="4">
      <c r="A4" t="s">
        <v>72</v>
      </c>
      <c r="B4" t="s">
        <v>278</v>
      </c>
      <c r="C4" t="s">
        <v>246</v>
      </c>
      <c r="D4" t="s">
        <v>279</v>
      </c>
      <c r="E4" t="s">
        <v>247</v>
      </c>
      <c r="F4" t="n">
        <v>106.518816073171</v>
      </c>
      <c r="G4" t="n">
        <v>106.068101759744</v>
      </c>
      <c r="H4" t="n">
        <v>107.974035524009</v>
      </c>
      <c r="I4" t="n">
        <v>101.395230602154</v>
      </c>
      <c r="J4" t="n">
        <v>101.282781638417</v>
      </c>
      <c r="K4" t="n">
        <v>109.206500675829</v>
      </c>
      <c r="L4" t="n">
        <v>108.048141905606</v>
      </c>
      <c r="M4" t="n">
        <v>112.651747539753</v>
      </c>
      <c r="N4" t="n">
        <v>107.370808569491</v>
      </c>
      <c r="O4" t="n">
        <v>102.356898803003</v>
      </c>
      <c r="P4" t="n">
        <v>98.7740816342461</v>
      </c>
      <c r="Q4" t="n">
        <v>95.2770107145708</v>
      </c>
      <c r="R4" t="n">
        <v>90.627368404115</v>
      </c>
      <c r="S4" t="n">
        <v>84.9150201123542</v>
      </c>
      <c r="T4" t="n">
        <v>89.3842316972149</v>
      </c>
      <c r="U4" t="n">
        <v>88.4833034275601</v>
      </c>
      <c r="V4" t="n">
        <v>91.4577686647326</v>
      </c>
      <c r="W4" t="n">
        <v>97.1845458027689</v>
      </c>
      <c r="X4" t="n">
        <v>96.274345714365</v>
      </c>
      <c r="Y4" t="n">
        <v>95.0912966499279</v>
      </c>
      <c r="Z4" t="n">
        <v>100.520537503848</v>
      </c>
      <c r="AA4" t="n">
        <v>104.51106594141</v>
      </c>
      <c r="AB4" t="n">
        <v>100.736836396346</v>
      </c>
      <c r="AC4" t="n">
        <v>98.5552649136764</v>
      </c>
      <c r="AD4" t="n">
        <v>100.086073334481</v>
      </c>
      <c r="AE4" t="n">
        <v>100</v>
      </c>
      <c r="AF4" t="n">
        <v>105.550597893985</v>
      </c>
    </row>
    <row r="5">
      <c r="A5" t="s">
        <v>72</v>
      </c>
      <c r="B5" t="s">
        <v>280</v>
      </c>
      <c r="C5" t="s">
        <v>246</v>
      </c>
      <c r="D5" t="s">
        <v>281</v>
      </c>
      <c r="E5" t="s">
        <v>247</v>
      </c>
      <c r="F5" t="n">
        <v>106.542007135253</v>
      </c>
      <c r="G5" t="n">
        <v>106.08343321645</v>
      </c>
      <c r="H5" t="n">
        <v>107.983768690296</v>
      </c>
      <c r="I5" t="n">
        <v>101.38387708404</v>
      </c>
      <c r="J5" t="n">
        <v>101.272466230102</v>
      </c>
      <c r="K5" t="n">
        <v>109.267660932478</v>
      </c>
      <c r="L5" t="n">
        <v>108.112611662579</v>
      </c>
      <c r="M5" t="n">
        <v>112.725247928721</v>
      </c>
      <c r="N5" t="n">
        <v>107.455571704411</v>
      </c>
      <c r="O5" t="n">
        <v>102.389135757821</v>
      </c>
      <c r="P5" t="n">
        <v>98.8272828849647</v>
      </c>
      <c r="Q5" t="n">
        <v>95.3363689124112</v>
      </c>
      <c r="R5" t="n">
        <v>90.7038922888733</v>
      </c>
      <c r="S5" t="n">
        <v>84.9961839448417</v>
      </c>
      <c r="T5" t="n">
        <v>89.4267120517059</v>
      </c>
      <c r="U5" t="n">
        <v>88.5650644476289</v>
      </c>
      <c r="V5" t="n">
        <v>91.5305398830936</v>
      </c>
      <c r="W5" t="n">
        <v>97.2160162226954</v>
      </c>
      <c r="X5" t="n">
        <v>96.2738345676737</v>
      </c>
      <c r="Y5" t="n">
        <v>95.1068789971564</v>
      </c>
      <c r="Z5" t="n">
        <v>100.53284837584</v>
      </c>
      <c r="AA5" t="n">
        <v>104.506478746427</v>
      </c>
      <c r="AB5" t="n">
        <v>100.739651820182</v>
      </c>
      <c r="AC5" t="n">
        <v>98.5430729459075</v>
      </c>
      <c r="AD5" t="n">
        <v>100.062344139651</v>
      </c>
      <c r="AE5" t="n">
        <v>100</v>
      </c>
      <c r="AF5" t="n">
        <v>105.551747772447</v>
      </c>
    </row>
    <row r="6">
      <c r="A6" t="s">
        <v>72</v>
      </c>
      <c r="B6" t="s">
        <v>282</v>
      </c>
      <c r="C6" t="s">
        <v>246</v>
      </c>
      <c r="D6" t="s">
        <v>283</v>
      </c>
      <c r="E6" t="s">
        <v>247</v>
      </c>
      <c r="F6" t="n">
        <v>106.471101389035</v>
      </c>
      <c r="G6" t="n">
        <v>105.98419086439</v>
      </c>
      <c r="H6" t="n">
        <v>107.82055060709</v>
      </c>
      <c r="I6" t="n">
        <v>101.1854398005</v>
      </c>
      <c r="J6" t="n">
        <v>101.065976471337</v>
      </c>
      <c r="K6" t="n">
        <v>108.986821849547</v>
      </c>
      <c r="L6" t="n">
        <v>107.878481288365</v>
      </c>
      <c r="M6" t="n">
        <v>112.509913469332</v>
      </c>
      <c r="N6" t="n">
        <v>107.202842079269</v>
      </c>
      <c r="O6" t="n">
        <v>102.176105943495</v>
      </c>
      <c r="P6" t="n">
        <v>98.5894446903413</v>
      </c>
      <c r="Q6" t="n">
        <v>95.113534781387</v>
      </c>
      <c r="R6" t="n">
        <v>90.4603850698597</v>
      </c>
      <c r="S6" t="n">
        <v>84.7992397199859</v>
      </c>
      <c r="T6" t="n">
        <v>89.257568846895</v>
      </c>
      <c r="U6" t="n">
        <v>88.3234780101251</v>
      </c>
      <c r="V6" t="n">
        <v>91.3060791193995</v>
      </c>
      <c r="W6" t="n">
        <v>97.012709064362</v>
      </c>
      <c r="X6" t="n">
        <v>96.1642014049069</v>
      </c>
      <c r="Y6" t="n">
        <v>95.018252629476</v>
      </c>
      <c r="Z6" t="n">
        <v>100.472008439252</v>
      </c>
      <c r="AA6" t="n">
        <v>104.463711225934</v>
      </c>
      <c r="AB6" t="n">
        <v>100.75807282096</v>
      </c>
      <c r="AC6" t="n">
        <v>98.5742735304395</v>
      </c>
      <c r="AD6" t="n">
        <v>100.08210180624</v>
      </c>
      <c r="AE6" t="n">
        <v>100</v>
      </c>
      <c r="AF6" t="n">
        <v>105.498821681068</v>
      </c>
    </row>
    <row r="7">
      <c r="A7" t="s">
        <v>72</v>
      </c>
      <c r="B7" t="s">
        <v>284</v>
      </c>
      <c r="C7" t="s">
        <v>246</v>
      </c>
      <c r="D7" t="s">
        <v>285</v>
      </c>
      <c r="E7" t="s">
        <v>247</v>
      </c>
      <c r="F7" t="n">
        <v>106.175161936274</v>
      </c>
      <c r="G7" t="n">
        <v>105.757149487706</v>
      </c>
      <c r="H7" t="n">
        <v>107.97893834249</v>
      </c>
      <c r="I7" t="n">
        <v>101.518659980119</v>
      </c>
      <c r="J7" t="n">
        <v>101.518659980119</v>
      </c>
      <c r="K7" t="n">
        <v>109.343220729574</v>
      </c>
      <c r="L7" t="n">
        <v>108.112340196033</v>
      </c>
      <c r="M7" t="n">
        <v>112.653058484267</v>
      </c>
      <c r="N7" t="n">
        <v>107.485486994163</v>
      </c>
      <c r="O7" t="n">
        <v>102.536799747654</v>
      </c>
      <c r="P7" t="n">
        <v>98.900743019014</v>
      </c>
      <c r="Q7" t="n">
        <v>95.4903725700824</v>
      </c>
      <c r="R7" t="n">
        <v>90.7766758349351</v>
      </c>
      <c r="S7" t="n">
        <v>84.8793511867258</v>
      </c>
      <c r="T7" t="n">
        <v>89.4062499166845</v>
      </c>
      <c r="U7" t="n">
        <v>88.5254001638108</v>
      </c>
      <c r="V7" t="n">
        <v>91.5850338100255</v>
      </c>
      <c r="W7" t="n">
        <v>97.3846137874413</v>
      </c>
      <c r="X7" t="n">
        <v>96.2716467727277</v>
      </c>
      <c r="Y7" t="n">
        <v>95.0148367626398</v>
      </c>
      <c r="Z7" t="n">
        <v>100.536280061195</v>
      </c>
      <c r="AA7" t="n">
        <v>104.535915072671</v>
      </c>
      <c r="AB7" t="n">
        <v>100.684591885783</v>
      </c>
      <c r="AC7" t="n">
        <v>98.622791369351</v>
      </c>
      <c r="AD7" t="n">
        <v>100.152905198777</v>
      </c>
      <c r="AE7" t="n">
        <v>100</v>
      </c>
      <c r="AF7" t="n">
        <v>105.440900562852</v>
      </c>
    </row>
    <row r="8">
      <c r="A8" t="s">
        <v>72</v>
      </c>
      <c r="B8" t="s">
        <v>286</v>
      </c>
      <c r="C8" t="s">
        <v>246</v>
      </c>
      <c r="D8" t="s">
        <v>287</v>
      </c>
      <c r="E8" t="s">
        <v>247</v>
      </c>
      <c r="F8" t="n">
        <v>106.609616620372</v>
      </c>
      <c r="G8" t="n">
        <v>106.217669500444</v>
      </c>
      <c r="H8" t="n">
        <v>108.129587551452</v>
      </c>
      <c r="I8" t="n">
        <v>101.328984560795</v>
      </c>
      <c r="J8" t="n">
        <v>101.328984560795</v>
      </c>
      <c r="K8" t="n">
        <v>109.253430789267</v>
      </c>
      <c r="L8" t="n">
        <v>108.047875690903</v>
      </c>
      <c r="M8" t="n">
        <v>112.61607631754</v>
      </c>
      <c r="N8" t="n">
        <v>107.400173835465</v>
      </c>
      <c r="O8" t="n">
        <v>102.42410400525</v>
      </c>
      <c r="P8" t="n">
        <v>99.0474851918903</v>
      </c>
      <c r="Q8" t="n">
        <v>95.472839109777</v>
      </c>
      <c r="R8" t="n">
        <v>90.8934732803836</v>
      </c>
      <c r="S8" t="n">
        <v>85.1648930316199</v>
      </c>
      <c r="T8" t="n">
        <v>89.7610936079296</v>
      </c>
      <c r="U8" t="n">
        <v>88.7570545295412</v>
      </c>
      <c r="V8" t="n">
        <v>91.7342303628171</v>
      </c>
      <c r="W8" t="n">
        <v>97.5147435089673</v>
      </c>
      <c r="X8" t="n">
        <v>96.5760989190414</v>
      </c>
      <c r="Y8" t="n">
        <v>95.4519326882377</v>
      </c>
      <c r="Z8" t="n">
        <v>100.740826056188</v>
      </c>
      <c r="AA8" t="n">
        <v>104.582637219347</v>
      </c>
      <c r="AB8" t="n">
        <v>100.691190253046</v>
      </c>
      <c r="AC8" t="n">
        <v>98.4536082474227</v>
      </c>
      <c r="AD8" t="n">
        <v>100</v>
      </c>
      <c r="AE8" t="n">
        <v>100</v>
      </c>
      <c r="AF8" t="n">
        <v>105.729166666667</v>
      </c>
    </row>
    <row r="9">
      <c r="A9" t="s">
        <v>72</v>
      </c>
      <c r="B9" t="s">
        <v>288</v>
      </c>
      <c r="C9" t="s">
        <v>246</v>
      </c>
      <c r="D9" t="s">
        <v>289</v>
      </c>
      <c r="E9" t="s">
        <v>247</v>
      </c>
      <c r="F9" t="n">
        <v>106.541838955275</v>
      </c>
      <c r="G9" t="n">
        <v>106.027144081095</v>
      </c>
      <c r="H9" t="n">
        <v>107.920485939686</v>
      </c>
      <c r="I9" t="n">
        <v>101.175455568456</v>
      </c>
      <c r="J9" t="n">
        <v>100.933409024034</v>
      </c>
      <c r="K9" t="n">
        <v>108.841593648597</v>
      </c>
      <c r="L9" t="n">
        <v>107.784879147155</v>
      </c>
      <c r="M9" t="n">
        <v>112.358776232735</v>
      </c>
      <c r="N9" t="n">
        <v>107.0204633348</v>
      </c>
      <c r="O9" t="n">
        <v>101.95640355555</v>
      </c>
      <c r="P9" t="n">
        <v>98.4722818513139</v>
      </c>
      <c r="Q9" t="n">
        <v>94.9449165312668</v>
      </c>
      <c r="R9" t="n">
        <v>90.4375774616355</v>
      </c>
      <c r="S9" t="n">
        <v>84.6726322847982</v>
      </c>
      <c r="T9" t="n">
        <v>89.2412994944096</v>
      </c>
      <c r="U9" t="n">
        <v>88.4445021774952</v>
      </c>
      <c r="V9" t="n">
        <v>91.3988070519001</v>
      </c>
      <c r="W9" t="n">
        <v>97.1603364362605</v>
      </c>
      <c r="X9" t="n">
        <v>96.4476689318381</v>
      </c>
      <c r="Y9" t="n">
        <v>95.1971318954447</v>
      </c>
      <c r="Z9" t="n">
        <v>100.611186789972</v>
      </c>
      <c r="AA9" t="n">
        <v>104.454760217904</v>
      </c>
      <c r="AB9" t="n">
        <v>100.650116633808</v>
      </c>
      <c r="AC9" t="n">
        <v>98.6236042183623</v>
      </c>
      <c r="AD9" t="n">
        <v>100.240384615385</v>
      </c>
      <c r="AE9" t="n">
        <v>100</v>
      </c>
      <c r="AF9" t="n">
        <v>105.623471882641</v>
      </c>
    </row>
    <row r="10">
      <c r="A10" t="s">
        <v>72</v>
      </c>
      <c r="B10" t="s">
        <v>290</v>
      </c>
      <c r="C10" t="s">
        <v>246</v>
      </c>
      <c r="D10" t="s">
        <v>291</v>
      </c>
      <c r="E10" t="s">
        <v>247</v>
      </c>
      <c r="F10" t="n">
        <v>106.34216040786</v>
      </c>
      <c r="G10" t="n">
        <v>106.027538631505</v>
      </c>
      <c r="H10" t="n">
        <v>107.855599642393</v>
      </c>
      <c r="I10" t="n">
        <v>101.226600993276</v>
      </c>
      <c r="J10" t="n">
        <v>100.914173212433</v>
      </c>
      <c r="K10" t="n">
        <v>108.744994852636</v>
      </c>
      <c r="L10" t="n">
        <v>107.65317763524</v>
      </c>
      <c r="M10" t="n">
        <v>112.327943413445</v>
      </c>
      <c r="N10" t="n">
        <v>106.93471434227</v>
      </c>
      <c r="O10" t="n">
        <v>101.85869942096</v>
      </c>
      <c r="P10" t="n">
        <v>98.327597841033</v>
      </c>
      <c r="Q10" t="n">
        <v>94.8583781591417</v>
      </c>
      <c r="R10" t="n">
        <v>90.3076030875411</v>
      </c>
      <c r="S10" t="n">
        <v>84.6890723946895</v>
      </c>
      <c r="T10" t="n">
        <v>89.2259869872622</v>
      </c>
      <c r="U10" t="n">
        <v>88.3868711221782</v>
      </c>
      <c r="V10" t="n">
        <v>91.372037107215</v>
      </c>
      <c r="W10" t="n">
        <v>97.2096950335093</v>
      </c>
      <c r="X10" t="n">
        <v>96.360172105626</v>
      </c>
      <c r="Y10" t="n">
        <v>95.0961133393564</v>
      </c>
      <c r="Z10" t="n">
        <v>100.491637500455</v>
      </c>
      <c r="AA10" t="n">
        <v>104.428423299442</v>
      </c>
      <c r="AB10" t="n">
        <v>100.64774652637</v>
      </c>
      <c r="AC10" t="n">
        <v>98.5337915234822</v>
      </c>
      <c r="AD10" t="n">
        <v>100.114547537228</v>
      </c>
      <c r="AE10" t="n">
        <v>100</v>
      </c>
      <c r="AF10" t="n">
        <v>105.577172503243</v>
      </c>
    </row>
    <row r="11">
      <c r="A11" t="s">
        <v>72</v>
      </c>
      <c r="B11" t="s">
        <v>292</v>
      </c>
      <c r="C11" t="s">
        <v>246</v>
      </c>
      <c r="D11" t="s">
        <v>293</v>
      </c>
      <c r="E11" t="s">
        <v>247</v>
      </c>
      <c r="F11" t="n">
        <v>106.271910872083</v>
      </c>
      <c r="G11" t="n">
        <v>106.271910872083</v>
      </c>
      <c r="H11" t="n">
        <v>107.790081027399</v>
      </c>
      <c r="I11" t="n">
        <v>101.362232158792</v>
      </c>
      <c r="J11" t="n">
        <v>100.92152680158</v>
      </c>
      <c r="K11" t="n">
        <v>108.567097013821</v>
      </c>
      <c r="L11" t="n">
        <v>107.382728682761</v>
      </c>
      <c r="M11" t="n">
        <v>112.263761804705</v>
      </c>
      <c r="N11" t="n">
        <v>106.719872332868</v>
      </c>
      <c r="O11" t="n">
        <v>101.621789259642</v>
      </c>
      <c r="P11" t="n">
        <v>97.9550236677988</v>
      </c>
      <c r="Q11" t="n">
        <v>94.6087340393958</v>
      </c>
      <c r="R11" t="n">
        <v>89.9612874550044</v>
      </c>
      <c r="S11" t="n">
        <v>84.8042709766921</v>
      </c>
      <c r="T11" t="n">
        <v>89.2676536596758</v>
      </c>
      <c r="U11" t="n">
        <v>88.3279941474687</v>
      </c>
      <c r="V11" t="n">
        <v>91.388865231787</v>
      </c>
      <c r="W11" t="n">
        <v>97.300813386943</v>
      </c>
      <c r="X11" t="n">
        <v>96.3079479442191</v>
      </c>
      <c r="Y11" t="n">
        <v>95.0204085332001</v>
      </c>
      <c r="Z11" t="n">
        <v>100.398922223759</v>
      </c>
      <c r="AA11" t="n">
        <v>104.414879112709</v>
      </c>
      <c r="AB11" t="n">
        <v>100.667933690004</v>
      </c>
      <c r="AC11" t="n">
        <v>98.4581497797357</v>
      </c>
      <c r="AD11" t="n">
        <v>100</v>
      </c>
      <c r="AE11" t="n">
        <v>100</v>
      </c>
      <c r="AF11" t="n">
        <v>105.524861878453</v>
      </c>
    </row>
    <row r="12">
      <c r="A12" t="s">
        <v>72</v>
      </c>
      <c r="B12" t="s">
        <v>294</v>
      </c>
      <c r="C12" t="s">
        <v>246</v>
      </c>
      <c r="D12" t="s">
        <v>295</v>
      </c>
      <c r="E12" t="s">
        <v>247</v>
      </c>
      <c r="F12" t="n">
        <v>106.97771662346</v>
      </c>
      <c r="G12" t="n">
        <v>106.534561210769</v>
      </c>
      <c r="H12" t="n">
        <v>108.424216415533</v>
      </c>
      <c r="I12" t="n">
        <v>101.829069431619</v>
      </c>
      <c r="J12" t="n">
        <v>101.829069431619</v>
      </c>
      <c r="K12" t="n">
        <v>109.791643281912</v>
      </c>
      <c r="L12" t="n">
        <v>108.559567484484</v>
      </c>
      <c r="M12" t="n">
        <v>113.230318106371</v>
      </c>
      <c r="N12" t="n">
        <v>107.786552812796</v>
      </c>
      <c r="O12" t="n">
        <v>102.790652334798</v>
      </c>
      <c r="P12" t="n">
        <v>99.2421999713477</v>
      </c>
      <c r="Q12" t="n">
        <v>95.723833468696</v>
      </c>
      <c r="R12" t="n">
        <v>91.0647088308391</v>
      </c>
      <c r="S12" t="n">
        <v>85.240803033518</v>
      </c>
      <c r="T12" t="n">
        <v>89.6822076003947</v>
      </c>
      <c r="U12" t="n">
        <v>88.8267334420443</v>
      </c>
      <c r="V12" t="n">
        <v>91.7347515011589</v>
      </c>
      <c r="W12" t="n">
        <v>97.5057450425162</v>
      </c>
      <c r="X12" t="n">
        <v>96.5090934747903</v>
      </c>
      <c r="Y12" t="n">
        <v>95.3077354647307</v>
      </c>
      <c r="Z12" t="n">
        <v>100.690564378021</v>
      </c>
      <c r="AA12" t="n">
        <v>104.705339672201</v>
      </c>
      <c r="AB12" t="n">
        <v>100.893252062776</v>
      </c>
      <c r="AC12" t="n">
        <v>98.6792935535613</v>
      </c>
      <c r="AD12" t="n">
        <v>100.138121546961</v>
      </c>
      <c r="AE12" t="n">
        <v>100</v>
      </c>
      <c r="AF12" t="n">
        <v>105.639097744361</v>
      </c>
    </row>
    <row r="13">
      <c r="A13" t="s">
        <v>72</v>
      </c>
      <c r="B13" t="s">
        <v>296</v>
      </c>
      <c r="C13" t="s">
        <v>246</v>
      </c>
      <c r="D13" t="s">
        <v>297</v>
      </c>
      <c r="E13" t="s">
        <v>247</v>
      </c>
      <c r="F13" t="n">
        <v>106.32930112888</v>
      </c>
      <c r="G13" t="n">
        <v>105.965159686658</v>
      </c>
      <c r="H13" t="n">
        <v>107.89883048386</v>
      </c>
      <c r="I13" t="n">
        <v>101.307521173967</v>
      </c>
      <c r="J13" t="n">
        <v>101.307521173967</v>
      </c>
      <c r="K13" t="n">
        <v>109.210166379303</v>
      </c>
      <c r="L13" t="n">
        <v>108.048356098673</v>
      </c>
      <c r="M13" t="n">
        <v>112.641504839709</v>
      </c>
      <c r="N13" t="n">
        <v>107.4426661548</v>
      </c>
      <c r="O13" t="n">
        <v>102.429330405582</v>
      </c>
      <c r="P13" t="n">
        <v>98.793861713281</v>
      </c>
      <c r="Q13" t="n">
        <v>95.2713608395902</v>
      </c>
      <c r="R13" t="n">
        <v>90.5421867906936</v>
      </c>
      <c r="S13" t="n">
        <v>84.8556057279828</v>
      </c>
      <c r="T13" t="n">
        <v>89.3587224498658</v>
      </c>
      <c r="U13" t="n">
        <v>88.4047147368779</v>
      </c>
      <c r="V13" t="n">
        <v>91.3515385614405</v>
      </c>
      <c r="W13" t="n">
        <v>97.0362218583174</v>
      </c>
      <c r="X13" t="n">
        <v>96.1812771723411</v>
      </c>
      <c r="Y13" t="n">
        <v>95.0275213938288</v>
      </c>
      <c r="Z13" t="n">
        <v>100.484393007913</v>
      </c>
      <c r="AA13" t="n">
        <v>104.489836749996</v>
      </c>
      <c r="AB13" t="n">
        <v>100.735440018286</v>
      </c>
      <c r="AC13" t="n">
        <v>98.5468250560565</v>
      </c>
      <c r="AD13" t="n">
        <v>100.07299270073</v>
      </c>
      <c r="AE13" t="n">
        <v>100</v>
      </c>
      <c r="AF13" t="n">
        <v>105.580969807868</v>
      </c>
    </row>
    <row r="14">
      <c r="A14" t="s">
        <v>72</v>
      </c>
      <c r="B14" t="s">
        <v>298</v>
      </c>
      <c r="C14" t="s">
        <v>246</v>
      </c>
      <c r="D14" t="s">
        <v>299</v>
      </c>
      <c r="E14" t="s">
        <v>247</v>
      </c>
      <c r="F14" t="n">
        <v>106.125871047058</v>
      </c>
      <c r="G14" t="n">
        <v>105.744123309479</v>
      </c>
      <c r="H14" t="n">
        <v>107.83806634531</v>
      </c>
      <c r="I14" t="n">
        <v>101.429656664954</v>
      </c>
      <c r="J14" t="n">
        <v>101.184657494265</v>
      </c>
      <c r="K14" t="n">
        <v>109.103456776425</v>
      </c>
      <c r="L14" t="n">
        <v>107.930301327216</v>
      </c>
      <c r="M14" t="n">
        <v>112.497507842176</v>
      </c>
      <c r="N14" t="n">
        <v>107.298043194009</v>
      </c>
      <c r="O14" t="n">
        <v>102.278251699552</v>
      </c>
      <c r="P14" t="n">
        <v>98.6705532269048</v>
      </c>
      <c r="Q14" t="n">
        <v>95.1345777699679</v>
      </c>
      <c r="R14" t="n">
        <v>90.5099802394833</v>
      </c>
      <c r="S14" t="n">
        <v>84.9645109906747</v>
      </c>
      <c r="T14" t="n">
        <v>89.4612399846102</v>
      </c>
      <c r="U14" t="n">
        <v>88.5947872971079</v>
      </c>
      <c r="V14" t="n">
        <v>91.6082154364653</v>
      </c>
      <c r="W14" t="n">
        <v>97.3337289012444</v>
      </c>
      <c r="X14" t="n">
        <v>96.4769179073954</v>
      </c>
      <c r="Y14" t="n">
        <v>95.351822654831</v>
      </c>
      <c r="Z14" t="n">
        <v>100.704211868304</v>
      </c>
      <c r="AA14" t="n">
        <v>104.732380343036</v>
      </c>
      <c r="AB14" t="n">
        <v>100.950834427981</v>
      </c>
      <c r="AC14" t="n">
        <v>98.7209967197328</v>
      </c>
      <c r="AD14" t="n">
        <v>100.1414427157</v>
      </c>
      <c r="AE14" t="n">
        <v>100</v>
      </c>
      <c r="AF14" t="n">
        <v>105.643340857788</v>
      </c>
    </row>
    <row r="15">
      <c r="A15" t="s">
        <v>72</v>
      </c>
      <c r="B15" t="s">
        <v>300</v>
      </c>
      <c r="C15" t="s">
        <v>246</v>
      </c>
      <c r="D15" t="s">
        <v>301</v>
      </c>
      <c r="E15" t="s">
        <v>247</v>
      </c>
      <c r="F15" t="n">
        <v>106.394605719233</v>
      </c>
      <c r="G15" t="n">
        <v>105.955865077091</v>
      </c>
      <c r="H15" t="n">
        <v>107.850753871317</v>
      </c>
      <c r="I15" t="n">
        <v>101.351856220534</v>
      </c>
      <c r="J15" t="n">
        <v>101.245950414661</v>
      </c>
      <c r="K15" t="n">
        <v>109.222124399044</v>
      </c>
      <c r="L15" t="n">
        <v>108.059235277678</v>
      </c>
      <c r="M15" t="n">
        <v>112.618176788823</v>
      </c>
      <c r="N15" t="n">
        <v>107.307137368986</v>
      </c>
      <c r="O15" t="n">
        <v>102.344320121705</v>
      </c>
      <c r="P15" t="n">
        <v>98.7374718354771</v>
      </c>
      <c r="Q15" t="n">
        <v>95.1930497695882</v>
      </c>
      <c r="R15" t="n">
        <v>90.5662048662959</v>
      </c>
      <c r="S15" t="n">
        <v>84.9421792964402</v>
      </c>
      <c r="T15" t="n">
        <v>89.4333749833784</v>
      </c>
      <c r="U15" t="n">
        <v>88.547896023147</v>
      </c>
      <c r="V15" t="n">
        <v>91.5234336647127</v>
      </c>
      <c r="W15" t="n">
        <v>97.2895148234289</v>
      </c>
      <c r="X15" t="n">
        <v>96.4041704013754</v>
      </c>
      <c r="Y15" t="n">
        <v>95.2398688264796</v>
      </c>
      <c r="Z15" t="n">
        <v>100.62905164788</v>
      </c>
      <c r="AA15" t="n">
        <v>104.548022252258</v>
      </c>
      <c r="AB15" t="n">
        <v>100.775670933877</v>
      </c>
      <c r="AC15" t="n">
        <v>98.595952023988</v>
      </c>
      <c r="AD15" t="n">
        <v>100.137931034483</v>
      </c>
      <c r="AE15" t="n">
        <v>100</v>
      </c>
      <c r="AF15" t="n">
        <v>105.599214145383</v>
      </c>
    </row>
    <row r="16">
      <c r="A16" t="s">
        <v>72</v>
      </c>
      <c r="B16" t="s">
        <v>302</v>
      </c>
      <c r="C16" t="s">
        <v>246</v>
      </c>
      <c r="D16" t="s">
        <v>303</v>
      </c>
      <c r="E16" t="s">
        <v>247</v>
      </c>
      <c r="F16" t="n">
        <v>106.746183547064</v>
      </c>
      <c r="G16" t="n">
        <v>106.230501500943</v>
      </c>
      <c r="H16" t="n">
        <v>108.042535641684</v>
      </c>
      <c r="I16" t="n">
        <v>101.322186534785</v>
      </c>
      <c r="J16" t="n">
        <v>101.322186534785</v>
      </c>
      <c r="K16" t="n">
        <v>109.345436599757</v>
      </c>
      <c r="L16" t="n">
        <v>108.19443200397</v>
      </c>
      <c r="M16" t="n">
        <v>112.744665125633</v>
      </c>
      <c r="N16" t="n">
        <v>107.317132012364</v>
      </c>
      <c r="O16" t="n">
        <v>102.417871637886</v>
      </c>
      <c r="P16" t="n">
        <v>98.811608552045</v>
      </c>
      <c r="Q16" t="n">
        <v>95.2584513952078</v>
      </c>
      <c r="R16" t="n">
        <v>90.6290687105809</v>
      </c>
      <c r="S16" t="n">
        <v>84.9291272822424</v>
      </c>
      <c r="T16" t="n">
        <v>89.416576277586</v>
      </c>
      <c r="U16" t="n">
        <v>88.5110919608509</v>
      </c>
      <c r="V16" t="n">
        <v>91.4474788979408</v>
      </c>
      <c r="W16" t="n">
        <v>97.260766065047</v>
      </c>
      <c r="X16" t="n">
        <v>96.3366732758304</v>
      </c>
      <c r="Y16" t="n">
        <v>95.1448793796346</v>
      </c>
      <c r="Z16" t="n">
        <v>100.566738314871</v>
      </c>
      <c r="AA16" t="n">
        <v>104.43468978852</v>
      </c>
      <c r="AB16" t="n">
        <v>100.668667687963</v>
      </c>
      <c r="AC16" t="n">
        <v>98.5171438566118</v>
      </c>
      <c r="AD16" t="n">
        <v>100.134589502019</v>
      </c>
      <c r="AE16" t="n">
        <v>100</v>
      </c>
      <c r="AF16" t="n">
        <v>105.565217391304</v>
      </c>
    </row>
    <row r="17">
      <c r="A17" t="s">
        <v>72</v>
      </c>
      <c r="B17" t="s">
        <v>304</v>
      </c>
      <c r="C17" t="s">
        <v>246</v>
      </c>
      <c r="D17" t="s">
        <v>305</v>
      </c>
      <c r="E17" t="s">
        <v>247</v>
      </c>
      <c r="F17" t="n">
        <v>106.536240835771</v>
      </c>
      <c r="G17" t="n">
        <v>106.220109557327</v>
      </c>
      <c r="H17" t="n">
        <v>108.063408638582</v>
      </c>
      <c r="I17" t="n">
        <v>101.53060811635</v>
      </c>
      <c r="J17" t="n">
        <v>101.382388250487</v>
      </c>
      <c r="K17" t="n">
        <v>109.287864257374</v>
      </c>
      <c r="L17" t="n">
        <v>108.102295710203</v>
      </c>
      <c r="M17" t="n">
        <v>112.697504879606</v>
      </c>
      <c r="N17" t="n">
        <v>107.402991227544</v>
      </c>
      <c r="O17" t="n">
        <v>102.459757321674</v>
      </c>
      <c r="P17" t="n">
        <v>98.8814188820347</v>
      </c>
      <c r="Q17" t="n">
        <v>95.4118954124896</v>
      </c>
      <c r="R17" t="n">
        <v>90.7224638799287</v>
      </c>
      <c r="S17" t="n">
        <v>84.9595354717715</v>
      </c>
      <c r="T17" t="n">
        <v>89.396493803953</v>
      </c>
      <c r="U17" t="n">
        <v>88.4365314543804</v>
      </c>
      <c r="V17" t="n">
        <v>91.4400362962273</v>
      </c>
      <c r="W17" t="n">
        <v>97.1247087574029</v>
      </c>
      <c r="X17" t="n">
        <v>96.2356954049323</v>
      </c>
      <c r="Y17" t="n">
        <v>95.0118888737714</v>
      </c>
      <c r="Z17" t="n">
        <v>100.418348968268</v>
      </c>
      <c r="AA17" t="n">
        <v>104.487988237498</v>
      </c>
      <c r="AB17" t="n">
        <v>100.725736615199</v>
      </c>
      <c r="AC17" t="n">
        <v>98.5206091716751</v>
      </c>
      <c r="AD17" t="n">
        <v>100.078247261346</v>
      </c>
      <c r="AE17" t="n">
        <v>100</v>
      </c>
      <c r="AF17" t="n">
        <v>105.534204458109</v>
      </c>
    </row>
    <row r="18">
      <c r="A18" t="s">
        <v>72</v>
      </c>
      <c r="B18" t="s">
        <v>306</v>
      </c>
      <c r="C18" t="s">
        <v>246</v>
      </c>
      <c r="D18" t="s">
        <v>307</v>
      </c>
      <c r="E18" t="s">
        <v>247</v>
      </c>
      <c r="F18" t="n">
        <v>106.549280257209</v>
      </c>
      <c r="G18" t="n">
        <v>106.001938064106</v>
      </c>
      <c r="H18" t="n">
        <v>107.91344842264</v>
      </c>
      <c r="I18" t="n">
        <v>101.349516571039</v>
      </c>
      <c r="J18" t="n">
        <v>101.181301605776</v>
      </c>
      <c r="K18" t="n">
        <v>109.086090793727</v>
      </c>
      <c r="L18" t="n">
        <v>107.971261046219</v>
      </c>
      <c r="M18" t="n">
        <v>112.5253078282</v>
      </c>
      <c r="N18" t="n">
        <v>107.309469091483</v>
      </c>
      <c r="O18" t="n">
        <v>102.295007918983</v>
      </c>
      <c r="P18" t="n">
        <v>98.6838234289038</v>
      </c>
      <c r="Q18" t="n">
        <v>95.1735554698722</v>
      </c>
      <c r="R18" t="n">
        <v>90.5379469491414</v>
      </c>
      <c r="S18" t="n">
        <v>84.8533920765326</v>
      </c>
      <c r="T18" t="n">
        <v>89.2924815694253</v>
      </c>
      <c r="U18" t="n">
        <v>88.3963563063629</v>
      </c>
      <c r="V18" t="n">
        <v>91.3626769877845</v>
      </c>
      <c r="W18" t="n">
        <v>97.055900182869</v>
      </c>
      <c r="X18" t="n">
        <v>96.1434088136284</v>
      </c>
      <c r="Y18" t="n">
        <v>95.0087501730269</v>
      </c>
      <c r="Z18" t="n">
        <v>100.447533724971</v>
      </c>
      <c r="AA18" t="n">
        <v>104.460172596761</v>
      </c>
      <c r="AB18" t="n">
        <v>100.700153295176</v>
      </c>
      <c r="AC18" t="n">
        <v>98.4983493002977</v>
      </c>
      <c r="AD18" t="n">
        <v>100.079744816587</v>
      </c>
      <c r="AE18" t="n">
        <v>100</v>
      </c>
      <c r="AF18" t="n">
        <v>105.507631055076</v>
      </c>
    </row>
    <row r="19">
      <c r="A19" t="s">
        <v>72</v>
      </c>
      <c r="B19" t="s">
        <v>308</v>
      </c>
      <c r="C19" t="s">
        <v>246</v>
      </c>
      <c r="D19" t="s">
        <v>309</v>
      </c>
      <c r="E19" t="s">
        <v>247</v>
      </c>
      <c r="F19" t="n">
        <v>106.390633805954</v>
      </c>
      <c r="G19" t="n">
        <v>105.83506913856</v>
      </c>
      <c r="H19" t="n">
        <v>107.980374594071</v>
      </c>
      <c r="I19" t="n">
        <v>101.436109467158</v>
      </c>
      <c r="J19" t="n">
        <v>101.274070953632</v>
      </c>
      <c r="K19" t="n">
        <v>109.205172895784</v>
      </c>
      <c r="L19" t="n">
        <v>107.988778643232</v>
      </c>
      <c r="M19" t="n">
        <v>112.657749546914</v>
      </c>
      <c r="N19" t="n">
        <v>107.350165601695</v>
      </c>
      <c r="O19" t="n">
        <v>102.316000674872</v>
      </c>
      <c r="P19" t="n">
        <v>98.7048477098769</v>
      </c>
      <c r="Q19" t="n">
        <v>95.258793176365</v>
      </c>
      <c r="R19" t="n">
        <v>90.5505999504067</v>
      </c>
      <c r="S19" t="n">
        <v>84.7531530023624</v>
      </c>
      <c r="T19" t="n">
        <v>89.287272298785</v>
      </c>
      <c r="U19" t="n">
        <v>88.4032398997872</v>
      </c>
      <c r="V19" t="n">
        <v>91.4092233276007</v>
      </c>
      <c r="W19" t="n">
        <v>97.1769181073537</v>
      </c>
      <c r="X19" t="n">
        <v>96.2334528830104</v>
      </c>
      <c r="Y19" t="n">
        <v>94.9481980865762</v>
      </c>
      <c r="Z19" t="n">
        <v>100.456242726958</v>
      </c>
      <c r="AA19" t="n">
        <v>104.464471863195</v>
      </c>
      <c r="AB19" t="n">
        <v>100.647660341585</v>
      </c>
      <c r="AC19" t="n">
        <v>98.501872659176</v>
      </c>
      <c r="AD19" t="n">
        <v>100</v>
      </c>
      <c r="AE19" t="n">
        <v>100</v>
      </c>
      <c r="AF19" t="n">
        <v>105.551149881047</v>
      </c>
    </row>
    <row r="20">
      <c r="A20" t="s">
        <v>72</v>
      </c>
      <c r="B20" t="s">
        <v>310</v>
      </c>
      <c r="C20" t="s">
        <v>246</v>
      </c>
      <c r="D20" t="s">
        <v>311</v>
      </c>
      <c r="E20" t="s">
        <v>247</v>
      </c>
      <c r="F20" t="n">
        <v>106.676654889003</v>
      </c>
      <c r="G20" t="n">
        <v>106.106191493875</v>
      </c>
      <c r="H20" t="n">
        <v>108.271623973342</v>
      </c>
      <c r="I20" t="n">
        <v>101.833851737089</v>
      </c>
      <c r="J20" t="n">
        <v>101.57003346834</v>
      </c>
      <c r="K20" t="n">
        <v>109.353177795416</v>
      </c>
      <c r="L20" t="n">
        <v>108.180489561685</v>
      </c>
      <c r="M20" t="n">
        <v>112.856879600374</v>
      </c>
      <c r="N20" t="n">
        <v>107.634710364367</v>
      </c>
      <c r="O20" t="n">
        <v>102.572681906637</v>
      </c>
      <c r="P20" t="n">
        <v>98.9212272109316</v>
      </c>
      <c r="Q20" t="n">
        <v>95.4676182808741</v>
      </c>
      <c r="R20" t="n">
        <v>90.7724895129623</v>
      </c>
      <c r="S20" t="n">
        <v>84.8914549811366</v>
      </c>
      <c r="T20" t="n">
        <v>89.3128849280708</v>
      </c>
      <c r="U20" t="n">
        <v>88.6537492459448</v>
      </c>
      <c r="V20" t="n">
        <v>91.4050724984051</v>
      </c>
      <c r="W20" t="n">
        <v>96.8737520495917</v>
      </c>
      <c r="X20" t="n">
        <v>96.0797049016443</v>
      </c>
      <c r="Y20" t="n">
        <v>94.8426271561295</v>
      </c>
      <c r="Z20" t="n">
        <v>100.340750469528</v>
      </c>
      <c r="AA20" t="n">
        <v>104.400780835347</v>
      </c>
      <c r="AB20" t="n">
        <v>100.703869332679</v>
      </c>
      <c r="AC20" t="n">
        <v>98.5583807716635</v>
      </c>
      <c r="AD20" t="n">
        <v>100.129032258065</v>
      </c>
      <c r="AE20" t="n">
        <v>100</v>
      </c>
      <c r="AF20" t="n">
        <v>105.466666666667</v>
      </c>
    </row>
    <row r="21">
      <c r="A21" t="s">
        <v>72</v>
      </c>
      <c r="B21" t="s">
        <v>312</v>
      </c>
      <c r="C21" t="s">
        <v>246</v>
      </c>
      <c r="D21" t="s">
        <v>313</v>
      </c>
      <c r="E21" t="s">
        <v>247</v>
      </c>
      <c r="F21" t="n">
        <v>106.459648634102</v>
      </c>
      <c r="G21" t="n">
        <v>106.127998638357</v>
      </c>
      <c r="H21" t="n">
        <v>108.003051617834</v>
      </c>
      <c r="I21" t="n">
        <v>101.606515531128</v>
      </c>
      <c r="J21" t="n">
        <v>101.436320362735</v>
      </c>
      <c r="K21" t="n">
        <v>109.206804531308</v>
      </c>
      <c r="L21" t="n">
        <v>108.156739103123</v>
      </c>
      <c r="M21" t="n">
        <v>112.792027921828</v>
      </c>
      <c r="N21" t="n">
        <v>107.591759543874</v>
      </c>
      <c r="O21" t="n">
        <v>102.553027003252</v>
      </c>
      <c r="P21" t="n">
        <v>98.8102157987537</v>
      </c>
      <c r="Q21" t="n">
        <v>95.3407559743592</v>
      </c>
      <c r="R21" t="n">
        <v>90.6686209189542</v>
      </c>
      <c r="S21" t="n">
        <v>84.9404589475401</v>
      </c>
      <c r="T21" t="n">
        <v>89.4827294794941</v>
      </c>
      <c r="U21" t="n">
        <v>88.7244012635662</v>
      </c>
      <c r="V21" t="n">
        <v>91.5579150763747</v>
      </c>
      <c r="W21" t="n">
        <v>97.1203643519746</v>
      </c>
      <c r="X21" t="n">
        <v>96.2662907961155</v>
      </c>
      <c r="Y21" t="n">
        <v>95.0451539149809</v>
      </c>
      <c r="Z21" t="n">
        <v>100.431045970163</v>
      </c>
      <c r="AA21" t="n">
        <v>104.439620620536</v>
      </c>
      <c r="AB21" t="n">
        <v>100.697484376804</v>
      </c>
      <c r="AC21" t="n">
        <v>98.5401343649505</v>
      </c>
      <c r="AD21" t="n">
        <v>100.120992135511</v>
      </c>
      <c r="AE21" t="n">
        <v>100</v>
      </c>
      <c r="AF21" t="n">
        <v>105.46218487395</v>
      </c>
    </row>
    <row r="22">
      <c r="A22" t="s">
        <v>72</v>
      </c>
      <c r="B22" t="s">
        <v>314</v>
      </c>
      <c r="C22" t="s">
        <v>246</v>
      </c>
      <c r="D22" t="s">
        <v>315</v>
      </c>
      <c r="E22" t="s">
        <v>247</v>
      </c>
      <c r="F22" t="n">
        <v>106.21549266499</v>
      </c>
      <c r="G22" t="n">
        <v>106.21549266499</v>
      </c>
      <c r="H22" t="n">
        <v>107.436360396771</v>
      </c>
      <c r="I22" t="n">
        <v>101.091693444206</v>
      </c>
      <c r="J22" t="n">
        <v>101.091693444206</v>
      </c>
      <c r="K22" t="n">
        <v>108.832949248492</v>
      </c>
      <c r="L22" t="n">
        <v>107.965754433763</v>
      </c>
      <c r="M22" t="n">
        <v>112.527687719697</v>
      </c>
      <c r="N22" t="n">
        <v>107.370168699211</v>
      </c>
      <c r="O22" t="n">
        <v>102.368452766018</v>
      </c>
      <c r="P22" t="n">
        <v>98.513573791565</v>
      </c>
      <c r="Q22" t="n">
        <v>95.0291708600306</v>
      </c>
      <c r="R22" t="n">
        <v>90.3936015497852</v>
      </c>
      <c r="S22" t="n">
        <v>84.942731104572</v>
      </c>
      <c r="T22" t="n">
        <v>89.6099141322957</v>
      </c>
      <c r="U22" t="n">
        <v>88.718273195656</v>
      </c>
      <c r="V22" t="n">
        <v>91.6615334438531</v>
      </c>
      <c r="W22" t="n">
        <v>97.2639361670767</v>
      </c>
      <c r="X22" t="n">
        <v>96.3591553655225</v>
      </c>
      <c r="Y22" t="n">
        <v>95.1428406414135</v>
      </c>
      <c r="Z22" t="n">
        <v>100.497199638549</v>
      </c>
      <c r="AA22" t="n">
        <v>104.475574150919</v>
      </c>
      <c r="AB22" t="n">
        <v>100.694793421694</v>
      </c>
      <c r="AC22" t="n">
        <v>98.5267237068726</v>
      </c>
      <c r="AD22" t="n">
        <v>100.113895216401</v>
      </c>
      <c r="AE22" t="n">
        <v>100</v>
      </c>
      <c r="AF22" t="n">
        <v>105.457227138643</v>
      </c>
    </row>
    <row r="23">
      <c r="A23" t="s">
        <v>72</v>
      </c>
      <c r="B23" t="s">
        <v>316</v>
      </c>
      <c r="C23" t="s">
        <v>246</v>
      </c>
      <c r="D23" t="s">
        <v>317</v>
      </c>
      <c r="E23" t="s">
        <v>247</v>
      </c>
      <c r="F23" t="n">
        <v>106.740662486698</v>
      </c>
      <c r="G23" t="n">
        <v>106.2765726498</v>
      </c>
      <c r="H23" t="n">
        <v>108.24061608686</v>
      </c>
      <c r="I23" t="n">
        <v>101.629646781348</v>
      </c>
      <c r="J23" t="n">
        <v>101.526678547527</v>
      </c>
      <c r="K23" t="n">
        <v>109.483630536866</v>
      </c>
      <c r="L23" t="n">
        <v>108.261487684362</v>
      </c>
      <c r="M23" t="n">
        <v>112.820887255298</v>
      </c>
      <c r="N23" t="n">
        <v>107.571184379629</v>
      </c>
      <c r="O23" t="n">
        <v>102.561278604479</v>
      </c>
      <c r="P23" t="n">
        <v>98.9783518410038</v>
      </c>
      <c r="Q23" t="n">
        <v>95.4019856123738</v>
      </c>
      <c r="R23" t="n">
        <v>90.7752499713366</v>
      </c>
      <c r="S23" t="n">
        <v>85.0614778919225</v>
      </c>
      <c r="T23" t="n">
        <v>89.5076074103448</v>
      </c>
      <c r="U23" t="n">
        <v>88.5336399738884</v>
      </c>
      <c r="V23" t="n">
        <v>91.4274872457622</v>
      </c>
      <c r="W23" t="n">
        <v>97.1951091047238</v>
      </c>
      <c r="X23" t="n">
        <v>96.2694413989646</v>
      </c>
      <c r="Y23" t="n">
        <v>95.107234862961</v>
      </c>
      <c r="Z23" t="n">
        <v>100.518741825292</v>
      </c>
      <c r="AA23" t="n">
        <v>104.524654783643</v>
      </c>
      <c r="AB23" t="n">
        <v>100.758000557205</v>
      </c>
      <c r="AC23" t="n">
        <v>98.5698743817126</v>
      </c>
      <c r="AD23" t="n">
        <v>100.07299270073</v>
      </c>
      <c r="AE23" t="n">
        <v>100</v>
      </c>
      <c r="AF23" t="n">
        <v>105.517959396148</v>
      </c>
    </row>
    <row r="24">
      <c r="A24" t="s">
        <v>72</v>
      </c>
      <c r="B24" t="s">
        <v>318</v>
      </c>
      <c r="C24" t="s">
        <v>246</v>
      </c>
      <c r="D24" t="s">
        <v>319</v>
      </c>
      <c r="E24" t="s">
        <v>247</v>
      </c>
      <c r="F24" t="n">
        <v>106.60394434039</v>
      </c>
      <c r="G24" t="n">
        <v>106.142055500093</v>
      </c>
      <c r="H24" t="n">
        <v>108.039012774635</v>
      </c>
      <c r="I24" t="n">
        <v>101.413078269015</v>
      </c>
      <c r="J24" t="n">
        <v>101.298184298166</v>
      </c>
      <c r="K24" t="n">
        <v>109.249115213953</v>
      </c>
      <c r="L24" t="n">
        <v>108.092890711172</v>
      </c>
      <c r="M24" t="n">
        <v>112.675776428459</v>
      </c>
      <c r="N24" t="n">
        <v>107.404297210433</v>
      </c>
      <c r="O24" t="n">
        <v>102.381282250804</v>
      </c>
      <c r="P24" t="n">
        <v>98.797242790735</v>
      </c>
      <c r="Q24" t="n">
        <v>95.2795383170058</v>
      </c>
      <c r="R24" t="n">
        <v>90.6208456728559</v>
      </c>
      <c r="S24" t="n">
        <v>84.9152289791477</v>
      </c>
      <c r="T24" t="n">
        <v>89.3739581848832</v>
      </c>
      <c r="U24" t="n">
        <v>88.484812522291</v>
      </c>
      <c r="V24" t="n">
        <v>91.4356787689628</v>
      </c>
      <c r="W24" t="n">
        <v>97.1584162538021</v>
      </c>
      <c r="X24" t="n">
        <v>96.2439463518096</v>
      </c>
      <c r="Y24" t="n">
        <v>95.0775968139063</v>
      </c>
      <c r="Z24" t="n">
        <v>100.516450575981</v>
      </c>
      <c r="AA24" t="n">
        <v>104.518886128214</v>
      </c>
      <c r="AB24" t="n">
        <v>100.7563859291</v>
      </c>
      <c r="AC24" t="n">
        <v>98.5614854057482</v>
      </c>
      <c r="AD24" t="n">
        <v>100.086430423509</v>
      </c>
      <c r="AE24" t="n">
        <v>100</v>
      </c>
      <c r="AF24" t="n">
        <v>105.535736252922</v>
      </c>
    </row>
    <row r="25">
      <c r="A25" t="s">
        <v>72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72</v>
      </c>
      <c r="B28" t="s">
        <v>326</v>
      </c>
      <c r="C28" t="s">
        <v>246</v>
      </c>
      <c r="D28" t="s">
        <v>327</v>
      </c>
      <c r="E28" t="s">
        <v>247</v>
      </c>
      <c r="F28" t="n">
        <v>106.426244215284</v>
      </c>
      <c r="G28" t="n">
        <v>105.95127850951</v>
      </c>
      <c r="H28" t="n">
        <v>107.839375316396</v>
      </c>
      <c r="I28" t="n">
        <v>101.204097145793</v>
      </c>
      <c r="J28" t="n">
        <v>101.095314526145</v>
      </c>
      <c r="K28" t="n">
        <v>109.02797606743</v>
      </c>
      <c r="L28" t="n">
        <v>107.893310874197</v>
      </c>
      <c r="M28" t="n">
        <v>112.490735204551</v>
      </c>
      <c r="N28" t="n">
        <v>107.258607985735</v>
      </c>
      <c r="O28" t="n">
        <v>102.252996400841</v>
      </c>
      <c r="P28" t="n">
        <v>98.6916275271378</v>
      </c>
      <c r="Q28" t="n">
        <v>95.1936353512798</v>
      </c>
      <c r="R28" t="n">
        <v>90.5482822228861</v>
      </c>
      <c r="S28" t="n">
        <v>84.847001873961</v>
      </c>
      <c r="T28" t="n">
        <v>89.3143129918077</v>
      </c>
      <c r="U28" t="n">
        <v>88.4308875418393</v>
      </c>
      <c r="V28" t="n">
        <v>91.3795110333256</v>
      </c>
      <c r="W28" t="n">
        <v>97.1140035757592</v>
      </c>
      <c r="X28" t="n">
        <v>96.1904825907891</v>
      </c>
      <c r="Y28" t="n">
        <v>95.0405260478613</v>
      </c>
      <c r="Z28" t="n">
        <v>100.472068047703</v>
      </c>
      <c r="AA28" t="n">
        <v>104.453623685507</v>
      </c>
      <c r="AB28" t="n">
        <v>100.72562577545</v>
      </c>
      <c r="AC28" t="n">
        <v>98.5404198130683</v>
      </c>
      <c r="AD28" t="n">
        <v>100.07422068283</v>
      </c>
      <c r="AE28" t="n">
        <v>100</v>
      </c>
      <c r="AF28" t="n">
        <v>105.535461550558</v>
      </c>
    </row>
    <row r="29">
      <c r="A29" t="s">
        <v>72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72</v>
      </c>
      <c r="B34" t="s">
        <v>338</v>
      </c>
      <c r="C34" t="s">
        <v>246</v>
      </c>
      <c r="D34" t="s">
        <v>339</v>
      </c>
      <c r="E34" t="s">
        <v>247</v>
      </c>
      <c r="F34" t="n">
        <v>106.62215239656</v>
      </c>
      <c r="G34" t="n">
        <v>106.150720624726</v>
      </c>
      <c r="H34" t="n">
        <v>108.056967531788</v>
      </c>
      <c r="I34" t="n">
        <v>101.44509014785</v>
      </c>
      <c r="J34" t="n">
        <v>101.322076699813</v>
      </c>
      <c r="K34" t="n">
        <v>109.26953714594</v>
      </c>
      <c r="L34" t="n">
        <v>108.114009985111</v>
      </c>
      <c r="M34" t="n">
        <v>112.723108981519</v>
      </c>
      <c r="N34" t="n">
        <v>107.485179665382</v>
      </c>
      <c r="O34" t="n">
        <v>102.45768865201</v>
      </c>
      <c r="P34" t="n">
        <v>98.8545546627403</v>
      </c>
      <c r="Q34" t="n">
        <v>95.3240348533567</v>
      </c>
      <c r="R34" t="n">
        <v>90.6583079232918</v>
      </c>
      <c r="S34" t="n">
        <v>84.9475483690687</v>
      </c>
      <c r="T34" t="n">
        <v>89.3973555399688</v>
      </c>
      <c r="U34" t="n">
        <v>88.5226260337068</v>
      </c>
      <c r="V34" t="n">
        <v>91.4715765953432</v>
      </c>
      <c r="W34" t="n">
        <v>97.1823427780057</v>
      </c>
      <c r="X34" t="n">
        <v>96.2384854920323</v>
      </c>
      <c r="Y34" t="n">
        <v>95.0896330481421</v>
      </c>
      <c r="Z34" t="n">
        <v>100.498824799753</v>
      </c>
      <c r="AA34" t="n">
        <v>104.499144321697</v>
      </c>
      <c r="AB34" t="n">
        <v>100.75596845049</v>
      </c>
      <c r="AC34" t="n">
        <v>98.5492405089997</v>
      </c>
      <c r="AD34" t="n">
        <v>100.077609623593</v>
      </c>
      <c r="AE34" t="n">
        <v>100</v>
      </c>
      <c r="AF34" t="n">
        <v>105.536239636266</v>
      </c>
    </row>
    <row r="35">
      <c r="A35" t="s">
        <v>72</v>
      </c>
      <c r="B35" t="s">
        <v>340</v>
      </c>
      <c r="C35" t="s">
        <v>246</v>
      </c>
      <c r="D35" t="s">
        <v>341</v>
      </c>
      <c r="E35" t="s">
        <v>247</v>
      </c>
      <c r="F35" t="n">
        <v>106.543773973676</v>
      </c>
      <c r="G35" t="n">
        <v>106.089789059008</v>
      </c>
      <c r="H35" t="n">
        <v>107.998636764942</v>
      </c>
      <c r="I35" t="n">
        <v>101.371007023858</v>
      </c>
      <c r="J35" t="n">
        <v>101.250713910029</v>
      </c>
      <c r="K35" t="n">
        <v>109.204377504499</v>
      </c>
      <c r="L35" t="n">
        <v>108.046688973172</v>
      </c>
      <c r="M35" t="n">
        <v>112.616301194697</v>
      </c>
      <c r="N35" t="n">
        <v>107.360873805611</v>
      </c>
      <c r="O35" t="n">
        <v>102.345216339253</v>
      </c>
      <c r="P35" t="n">
        <v>98.7699772482869</v>
      </c>
      <c r="Q35" t="n">
        <v>95.2624860710358</v>
      </c>
      <c r="R35" t="n">
        <v>90.5978026723122</v>
      </c>
      <c r="S35" t="n">
        <v>84.8925604155464</v>
      </c>
      <c r="T35" t="n">
        <v>89.3531663937672</v>
      </c>
      <c r="U35" t="n">
        <v>88.4709771627992</v>
      </c>
      <c r="V35" t="n">
        <v>91.4285031428351</v>
      </c>
      <c r="W35" t="n">
        <v>97.1565227853575</v>
      </c>
      <c r="X35" t="n">
        <v>96.2515385411825</v>
      </c>
      <c r="Y35" t="n">
        <v>95.0924514464374</v>
      </c>
      <c r="Z35" t="n">
        <v>100.53382206648</v>
      </c>
      <c r="AA35" t="n">
        <v>104.534526153849</v>
      </c>
      <c r="AB35" t="n">
        <v>100.762532186306</v>
      </c>
      <c r="AC35" t="n">
        <v>98.5677293070324</v>
      </c>
      <c r="AD35" t="n">
        <v>100.094161958569</v>
      </c>
      <c r="AE35" t="n">
        <v>100</v>
      </c>
      <c r="AF35" t="n">
        <v>105.528255528256</v>
      </c>
    </row>
    <row r="36">
      <c r="A36" t="s">
        <v>72</v>
      </c>
      <c r="B36" t="s">
        <v>342</v>
      </c>
      <c r="C36" t="s">
        <v>246</v>
      </c>
      <c r="D36" t="s">
        <v>343</v>
      </c>
      <c r="E36" t="s">
        <v>247</v>
      </c>
      <c r="F36" t="n">
        <v>105.225877347376</v>
      </c>
      <c r="G36" t="n">
        <v>104.702365519777</v>
      </c>
      <c r="H36" t="n">
        <v>107.256081751967</v>
      </c>
      <c r="I36" t="n">
        <v>100.595639844457</v>
      </c>
      <c r="J36" t="n">
        <v>100.204217121327</v>
      </c>
      <c r="K36" t="n">
        <v>108.241988548172</v>
      </c>
      <c r="L36" t="n">
        <v>106.885572651578</v>
      </c>
      <c r="M36" t="n">
        <v>111.215114834933</v>
      </c>
      <c r="N36" t="n">
        <v>105.992305574729</v>
      </c>
      <c r="O36" t="n">
        <v>101.21069780444</v>
      </c>
      <c r="P36" t="n">
        <v>97.6964374640085</v>
      </c>
      <c r="Q36" t="n">
        <v>94.3629632198297</v>
      </c>
      <c r="R36" t="n">
        <v>89.6838080188464</v>
      </c>
      <c r="S36" t="n">
        <v>83.9703607898465</v>
      </c>
      <c r="T36" t="n">
        <v>88.3479625371845</v>
      </c>
      <c r="U36" t="n">
        <v>87.5144911924941</v>
      </c>
      <c r="V36" t="n">
        <v>90.6123492878036</v>
      </c>
      <c r="W36" t="n">
        <v>96.3503344669785</v>
      </c>
      <c r="X36" t="n">
        <v>95.6330863195817</v>
      </c>
      <c r="Y36" t="n">
        <v>94.6985610461004</v>
      </c>
      <c r="Z36" t="n">
        <v>100.285496801033</v>
      </c>
      <c r="AA36" t="n">
        <v>104.552964750013</v>
      </c>
      <c r="AB36" t="n">
        <v>100.727856283549</v>
      </c>
      <c r="AC36" t="n">
        <v>98.6117248490205</v>
      </c>
      <c r="AD36" t="n">
        <v>100.228310502283</v>
      </c>
      <c r="AE36" t="n">
        <v>100</v>
      </c>
      <c r="AF36" t="n">
        <v>105.46218487395</v>
      </c>
    </row>
    <row r="37">
      <c r="A37" t="s">
        <v>72</v>
      </c>
      <c r="B37" t="s">
        <v>344</v>
      </c>
      <c r="C37" t="s">
        <v>246</v>
      </c>
      <c r="D37" t="s">
        <v>345</v>
      </c>
      <c r="E37" t="s">
        <v>247</v>
      </c>
      <c r="F37" t="n">
        <v>106.594475275863</v>
      </c>
      <c r="G37" t="n">
        <v>106.133160466533</v>
      </c>
      <c r="H37" t="n">
        <v>108.036758789491</v>
      </c>
      <c r="I37" t="n">
        <v>101.419739218526</v>
      </c>
      <c r="J37" t="n">
        <v>101.318890952814</v>
      </c>
      <c r="K37" t="n">
        <v>109.268088775768</v>
      </c>
      <c r="L37" t="n">
        <v>108.121680703739</v>
      </c>
      <c r="M37" t="n">
        <v>112.698259781146</v>
      </c>
      <c r="N37" t="n">
        <v>107.431492092092</v>
      </c>
      <c r="O37" t="n">
        <v>102.408316916172</v>
      </c>
      <c r="P37" t="n">
        <v>98.8294684929332</v>
      </c>
      <c r="Q37" t="n">
        <v>95.315630055908</v>
      </c>
      <c r="R37" t="n">
        <v>90.653783381032</v>
      </c>
      <c r="S37" t="n">
        <v>84.9440528315715</v>
      </c>
      <c r="T37" t="n">
        <v>89.4041825708738</v>
      </c>
      <c r="U37" t="n">
        <v>88.5179126506196</v>
      </c>
      <c r="V37" t="n">
        <v>91.4752501092497</v>
      </c>
      <c r="W37" t="n">
        <v>97.196486067176</v>
      </c>
      <c r="X37" t="n">
        <v>96.2924261512969</v>
      </c>
      <c r="Y37" t="n">
        <v>95.1244587181949</v>
      </c>
      <c r="Z37" t="n">
        <v>100.549551829647</v>
      </c>
      <c r="AA37" t="n">
        <v>104.540283727128</v>
      </c>
      <c r="AB37" t="n">
        <v>100.764448774306</v>
      </c>
      <c r="AC37" t="n">
        <v>98.5620500247087</v>
      </c>
      <c r="AD37" t="n">
        <v>100.087361677344</v>
      </c>
      <c r="AE37" t="n">
        <v>100</v>
      </c>
      <c r="AF37" t="n">
        <v>105.539682539683</v>
      </c>
    </row>
    <row r="38">
      <c r="A38" t="s">
        <v>72</v>
      </c>
      <c r="B38" t="s">
        <v>346</v>
      </c>
      <c r="C38" t="s">
        <v>246</v>
      </c>
      <c r="D38" t="s">
        <v>347</v>
      </c>
      <c r="E38" t="s">
        <v>247</v>
      </c>
      <c r="F38" t="n">
        <v>106.523160674567</v>
      </c>
      <c r="G38" t="n">
        <v>106.128995417677</v>
      </c>
      <c r="H38" t="n">
        <v>108.009381587374</v>
      </c>
      <c r="I38" t="n">
        <v>101.377226577623</v>
      </c>
      <c r="J38" t="n">
        <v>101.234842832429</v>
      </c>
      <c r="K38" t="n">
        <v>109.208518442816</v>
      </c>
      <c r="L38" t="n">
        <v>108.055121082942</v>
      </c>
      <c r="M38" t="n">
        <v>112.645698122414</v>
      </c>
      <c r="N38" t="n">
        <v>107.408031903983</v>
      </c>
      <c r="O38" t="n">
        <v>102.381547652319</v>
      </c>
      <c r="P38" t="n">
        <v>98.8086657246205</v>
      </c>
      <c r="Q38" t="n">
        <v>95.2946955703294</v>
      </c>
      <c r="R38" t="n">
        <v>90.6192198733017</v>
      </c>
      <c r="S38" t="n">
        <v>84.9272203380765</v>
      </c>
      <c r="T38" t="n">
        <v>89.4004134899886</v>
      </c>
      <c r="U38" t="n">
        <v>88.5224418801381</v>
      </c>
      <c r="V38" t="n">
        <v>91.4620269614878</v>
      </c>
      <c r="W38" t="n">
        <v>97.1994972874852</v>
      </c>
      <c r="X38" t="n">
        <v>96.2591327578789</v>
      </c>
      <c r="Y38" t="n">
        <v>95.0910279993457</v>
      </c>
      <c r="Z38" t="n">
        <v>100.530665866551</v>
      </c>
      <c r="AA38" t="n">
        <v>104.525976969733</v>
      </c>
      <c r="AB38" t="n">
        <v>100.764044980686</v>
      </c>
      <c r="AC38" t="n">
        <v>98.570661328516</v>
      </c>
      <c r="AD38" t="n">
        <v>100.084222346996</v>
      </c>
      <c r="AE38" t="n">
        <v>100</v>
      </c>
      <c r="AF38" t="n">
        <v>105.509641873278</v>
      </c>
    </row>
    <row r="39">
      <c r="A39" t="s">
        <v>72</v>
      </c>
      <c r="B39" t="s">
        <v>348</v>
      </c>
      <c r="C39" t="s">
        <v>246</v>
      </c>
      <c r="D39" t="s">
        <v>349</v>
      </c>
      <c r="E39" t="s">
        <v>247</v>
      </c>
      <c r="F39" t="n">
        <v>107.208463030768</v>
      </c>
      <c r="G39" t="n">
        <v>106.75365456163</v>
      </c>
      <c r="H39" t="n">
        <v>108.6727482908</v>
      </c>
      <c r="I39" t="n">
        <v>102.015897008572</v>
      </c>
      <c r="J39" t="n">
        <v>101.897874278844</v>
      </c>
      <c r="K39" t="n">
        <v>110.001563493146</v>
      </c>
      <c r="L39" t="n">
        <v>108.804012369073</v>
      </c>
      <c r="M39" t="n">
        <v>113.436804624755</v>
      </c>
      <c r="N39" t="n">
        <v>108.059161172701</v>
      </c>
      <c r="O39" t="n">
        <v>102.939491502484</v>
      </c>
      <c r="P39" t="n">
        <v>99.2895936667594</v>
      </c>
      <c r="Q39" t="n">
        <v>95.6810247590445</v>
      </c>
      <c r="R39" t="n">
        <v>90.939069210039</v>
      </c>
      <c r="S39" t="n">
        <v>85.109641696575</v>
      </c>
      <c r="T39" t="n">
        <v>89.4231481062033</v>
      </c>
      <c r="U39" t="n">
        <v>88.4806011952522</v>
      </c>
      <c r="V39" t="n">
        <v>91.4290529012389</v>
      </c>
      <c r="W39" t="n">
        <v>97.1457747352742</v>
      </c>
      <c r="X39" t="n">
        <v>96.2302305775537</v>
      </c>
      <c r="Y39" t="n">
        <v>95.0609163446132</v>
      </c>
      <c r="Z39" t="n">
        <v>100.505473431754</v>
      </c>
      <c r="AA39" t="n">
        <v>104.503972129186</v>
      </c>
      <c r="AB39" t="n">
        <v>100.733210248236</v>
      </c>
      <c r="AC39" t="n">
        <v>98.5422875424462</v>
      </c>
      <c r="AD39" t="n">
        <v>100.07403294466</v>
      </c>
      <c r="AE39" t="n">
        <v>100</v>
      </c>
      <c r="AF39" t="n">
        <v>105.544299134279</v>
      </c>
    </row>
    <row r="40">
      <c r="A40" t="s">
        <v>72</v>
      </c>
      <c r="B40" t="s">
        <v>350</v>
      </c>
      <c r="C40" t="s">
        <v>246</v>
      </c>
      <c r="D40" t="s">
        <v>351</v>
      </c>
      <c r="E40" t="s">
        <v>247</v>
      </c>
      <c r="F40" t="n">
        <v>104.874627648762</v>
      </c>
      <c r="G40" t="n">
        <v>104.874627648762</v>
      </c>
      <c r="H40" t="n">
        <v>107.258141913506</v>
      </c>
      <c r="I40" t="n">
        <v>100.010970162594</v>
      </c>
      <c r="J40" t="n">
        <v>100.010970162594</v>
      </c>
      <c r="K40" t="n">
        <v>107.458595600233</v>
      </c>
      <c r="L40" t="n">
        <v>106.098360212889</v>
      </c>
      <c r="M40" t="n">
        <v>110.976445739918</v>
      </c>
      <c r="N40" t="n">
        <v>106.477400642354</v>
      </c>
      <c r="O40" t="n">
        <v>101.68112133414</v>
      </c>
      <c r="P40" t="n">
        <v>98.0169367815581</v>
      </c>
      <c r="Q40" t="n">
        <v>94.3866798637226</v>
      </c>
      <c r="R40" t="n">
        <v>89.8920760606882</v>
      </c>
      <c r="S40" t="n">
        <v>85.0330449222726</v>
      </c>
      <c r="T40" t="n">
        <v>90.135027617609</v>
      </c>
      <c r="U40" t="n">
        <v>89.2336773414329</v>
      </c>
      <c r="V40" t="n">
        <v>91.6132420705378</v>
      </c>
      <c r="W40" t="n">
        <v>97.460895819721</v>
      </c>
      <c r="X40" t="n">
        <v>96.5237718214545</v>
      </c>
      <c r="Y40" t="n">
        <v>95.496923185056</v>
      </c>
      <c r="Z40" t="n">
        <v>100.212820626293</v>
      </c>
      <c r="AA40" t="n">
        <v>104.70954975696</v>
      </c>
      <c r="AB40" t="n">
        <v>100.859933957072</v>
      </c>
      <c r="AC40" t="n">
        <v>98.3695652173913</v>
      </c>
      <c r="AD40" t="n">
        <v>100</v>
      </c>
      <c r="AE40" t="n">
        <v>100</v>
      </c>
      <c r="AF40" t="n">
        <v>105.676855895197</v>
      </c>
    </row>
    <row r="41">
      <c r="A41" t="s">
        <v>72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72</v>
      </c>
      <c r="B42" t="s">
        <v>354</v>
      </c>
      <c r="C42" t="s">
        <v>246</v>
      </c>
      <c r="D42" t="s">
        <v>355</v>
      </c>
      <c r="E42" t="s">
        <v>247</v>
      </c>
      <c r="F42" t="n">
        <v>106.590134212743</v>
      </c>
      <c r="G42" t="n">
        <v>106.109998473046</v>
      </c>
      <c r="H42" t="n">
        <v>107.984473679878</v>
      </c>
      <c r="I42" t="n">
        <v>101.378191346495</v>
      </c>
      <c r="J42" t="n">
        <v>101.282888698931</v>
      </c>
      <c r="K42" t="n">
        <v>109.222652838143</v>
      </c>
      <c r="L42" t="n">
        <v>108.070312558508</v>
      </c>
      <c r="M42" t="n">
        <v>112.666406310996</v>
      </c>
      <c r="N42" t="n">
        <v>107.400790397822</v>
      </c>
      <c r="O42" t="n">
        <v>102.377590846921</v>
      </c>
      <c r="P42" t="n">
        <v>98.7917864849857</v>
      </c>
      <c r="Q42" t="n">
        <v>95.2792622425065</v>
      </c>
      <c r="R42" t="n">
        <v>90.6133976959362</v>
      </c>
      <c r="S42" t="n">
        <v>84.9153932776609</v>
      </c>
      <c r="T42" t="n">
        <v>89.3779139454059</v>
      </c>
      <c r="U42" t="n">
        <v>88.4887825383071</v>
      </c>
      <c r="V42" t="n">
        <v>91.4570014933291</v>
      </c>
      <c r="W42" t="n">
        <v>97.1662673416047</v>
      </c>
      <c r="X42" t="n">
        <v>96.2566600958439</v>
      </c>
      <c r="Y42" t="n">
        <v>95.0869481415197</v>
      </c>
      <c r="Z42" t="n">
        <v>100.525000942209</v>
      </c>
      <c r="AA42" t="n">
        <v>104.524059244082</v>
      </c>
      <c r="AB42" t="n">
        <v>100.758430164515</v>
      </c>
      <c r="AC42" t="n">
        <v>98.5472427884253</v>
      </c>
      <c r="AD42" t="n">
        <v>100.075301204819</v>
      </c>
      <c r="AE42" t="n">
        <v>100</v>
      </c>
      <c r="AF42" t="n">
        <v>105.540833534088</v>
      </c>
    </row>
    <row r="43">
      <c r="A43" t="s">
        <v>72</v>
      </c>
      <c r="B43" t="s">
        <v>356</v>
      </c>
      <c r="C43" t="s">
        <v>246</v>
      </c>
      <c r="D43" t="s">
        <v>357</v>
      </c>
      <c r="E43" t="s">
        <v>247</v>
      </c>
      <c r="F43" t="n">
        <v>106.593591724493</v>
      </c>
      <c r="G43" t="n">
        <v>106.129831117927</v>
      </c>
      <c r="H43" t="n">
        <v>107.987552611239</v>
      </c>
      <c r="I43" t="n">
        <v>101.391209349246</v>
      </c>
      <c r="J43" t="n">
        <v>101.275465959578</v>
      </c>
      <c r="K43" t="n">
        <v>109.215094276162</v>
      </c>
      <c r="L43" t="n">
        <v>108.04887249024</v>
      </c>
      <c r="M43" t="n">
        <v>112.637499787872</v>
      </c>
      <c r="N43" t="n">
        <v>107.366421050018</v>
      </c>
      <c r="O43" t="n">
        <v>102.360993495238</v>
      </c>
      <c r="P43" t="n">
        <v>98.7649524294578</v>
      </c>
      <c r="Q43" t="n">
        <v>95.2547279489278</v>
      </c>
      <c r="R43" t="n">
        <v>90.5997697040267</v>
      </c>
      <c r="S43" t="n">
        <v>84.8991696202205</v>
      </c>
      <c r="T43" t="n">
        <v>89.3657103976099</v>
      </c>
      <c r="U43" t="n">
        <v>88.4809013837722</v>
      </c>
      <c r="V43" t="n">
        <v>91.4329387100848</v>
      </c>
      <c r="W43" t="n">
        <v>97.1546734682085</v>
      </c>
      <c r="X43" t="n">
        <v>96.2540507709366</v>
      </c>
      <c r="Y43" t="n">
        <v>95.0856860043456</v>
      </c>
      <c r="Z43" t="n">
        <v>100.513136134088</v>
      </c>
      <c r="AA43" t="n">
        <v>104.506587334028</v>
      </c>
      <c r="AB43" t="n">
        <v>100.757702382979</v>
      </c>
      <c r="AC43" t="n">
        <v>98.5444055733112</v>
      </c>
      <c r="AD43" t="n">
        <v>100.072358900145</v>
      </c>
      <c r="AE43" t="n">
        <v>100</v>
      </c>
      <c r="AF43" t="n">
        <v>105.541848548112</v>
      </c>
    </row>
    <row r="44">
      <c r="A44" t="s">
        <v>72</v>
      </c>
      <c r="B44" t="s">
        <v>358</v>
      </c>
      <c r="C44" t="s">
        <v>246</v>
      </c>
      <c r="D44" t="s">
        <v>359</v>
      </c>
      <c r="E44" t="s">
        <v>247</v>
      </c>
      <c r="F44" t="n">
        <v>106.678185655613</v>
      </c>
      <c r="G44" t="n">
        <v>106.217438132448</v>
      </c>
      <c r="H44" t="n">
        <v>108.116204823295</v>
      </c>
      <c r="I44" t="n">
        <v>101.505000570276</v>
      </c>
      <c r="J44" t="n">
        <v>101.380142375687</v>
      </c>
      <c r="K44" t="n">
        <v>109.33070520714</v>
      </c>
      <c r="L44" t="n">
        <v>108.164691350811</v>
      </c>
      <c r="M44" t="n">
        <v>112.748499917202</v>
      </c>
      <c r="N44" t="n">
        <v>107.471322597425</v>
      </c>
      <c r="O44" t="n">
        <v>102.440027062495</v>
      </c>
      <c r="P44" t="n">
        <v>98.8502073486754</v>
      </c>
      <c r="Q44" t="n">
        <v>95.3246562402502</v>
      </c>
      <c r="R44" t="n">
        <v>90.658466652717</v>
      </c>
      <c r="S44" t="n">
        <v>84.9291440168416</v>
      </c>
      <c r="T44" t="n">
        <v>89.379957640889</v>
      </c>
      <c r="U44" t="n">
        <v>88.4792864094675</v>
      </c>
      <c r="V44" t="n">
        <v>91.4341582151364</v>
      </c>
      <c r="W44" t="n">
        <v>97.1558485309905</v>
      </c>
      <c r="X44" t="n">
        <v>96.2478903541623</v>
      </c>
      <c r="Y44" t="n">
        <v>95.0798037448317</v>
      </c>
      <c r="Z44" t="n">
        <v>100.512055195422</v>
      </c>
      <c r="AA44" t="n">
        <v>104.505492335345</v>
      </c>
      <c r="AB44" t="n">
        <v>100.74495314246</v>
      </c>
      <c r="AC44" t="n">
        <v>98.5527411399821</v>
      </c>
      <c r="AD44" t="n">
        <v>100.082309483659</v>
      </c>
      <c r="AE44" t="n">
        <v>100</v>
      </c>
      <c r="AF44" t="n">
        <v>105.536822470137</v>
      </c>
    </row>
    <row r="45">
      <c r="A45" t="s">
        <v>72</v>
      </c>
      <c r="B45" t="s">
        <v>360</v>
      </c>
      <c r="C45" t="s">
        <v>246</v>
      </c>
      <c r="D45" t="s">
        <v>361</v>
      </c>
      <c r="E45" t="s">
        <v>247</v>
      </c>
      <c r="F45" t="n">
        <v>106.655542831013</v>
      </c>
      <c r="G45" t="n">
        <v>106.19495940533</v>
      </c>
      <c r="H45" t="n">
        <v>108.093058726178</v>
      </c>
      <c r="I45" t="n">
        <v>101.479431715097</v>
      </c>
      <c r="J45" t="n">
        <v>101.360861584801</v>
      </c>
      <c r="K45" t="n">
        <v>109.32218098068</v>
      </c>
      <c r="L45" t="n">
        <v>108.160276806925</v>
      </c>
      <c r="M45" t="n">
        <v>112.754324883156</v>
      </c>
      <c r="N45" t="n">
        <v>107.473923214123</v>
      </c>
      <c r="O45" t="n">
        <v>102.441717845524</v>
      </c>
      <c r="P45" t="n">
        <v>98.8513861132724</v>
      </c>
      <c r="Q45" t="n">
        <v>95.3264195945273</v>
      </c>
      <c r="R45" t="n">
        <v>90.6587111132198</v>
      </c>
      <c r="S45" t="n">
        <v>84.9287639240256</v>
      </c>
      <c r="T45" t="n">
        <v>89.3801361104018</v>
      </c>
      <c r="U45" t="n">
        <v>88.4796760365271</v>
      </c>
      <c r="V45" t="n">
        <v>91.4340989174837</v>
      </c>
      <c r="W45" t="n">
        <v>97.1560848375129</v>
      </c>
      <c r="X45" t="n">
        <v>96.2479419125352</v>
      </c>
      <c r="Y45" t="n">
        <v>95.0806796382767</v>
      </c>
      <c r="Z45" t="n">
        <v>100.512858486256</v>
      </c>
      <c r="AA45" t="n">
        <v>104.506257155729</v>
      </c>
      <c r="AB45" t="n">
        <v>100.745735459758</v>
      </c>
      <c r="AC45" t="n">
        <v>98.5529971133873</v>
      </c>
      <c r="AD45" t="n">
        <v>100.082799846517</v>
      </c>
      <c r="AE45" t="n">
        <v>100</v>
      </c>
      <c r="AF45" t="n">
        <v>105.536307203696</v>
      </c>
    </row>
    <row r="46">
      <c r="A46" t="s">
        <v>72</v>
      </c>
      <c r="B46" t="s">
        <v>362</v>
      </c>
      <c r="C46" t="s">
        <v>246</v>
      </c>
      <c r="D46" t="s">
        <v>363</v>
      </c>
      <c r="E46" t="s">
        <v>247</v>
      </c>
      <c r="F46" t="n">
        <v>106.630837716691</v>
      </c>
      <c r="G46" t="n">
        <v>106.240248567546</v>
      </c>
      <c r="H46" t="n">
        <v>108.024435948069</v>
      </c>
      <c r="I46" t="n">
        <v>101.470880683272</v>
      </c>
      <c r="J46" t="n">
        <v>101.268141660928</v>
      </c>
      <c r="K46" t="n">
        <v>109.209066765874</v>
      </c>
      <c r="L46" t="n">
        <v>107.979037051697</v>
      </c>
      <c r="M46" t="n">
        <v>112.537964339259</v>
      </c>
      <c r="N46" t="n">
        <v>107.240884312633</v>
      </c>
      <c r="O46" t="n">
        <v>102.316045201744</v>
      </c>
      <c r="P46" t="n">
        <v>98.6714249990752</v>
      </c>
      <c r="Q46" t="n">
        <v>95.1704113676815</v>
      </c>
      <c r="R46" t="n">
        <v>90.5589237382082</v>
      </c>
      <c r="S46" t="n">
        <v>84.8480006195825</v>
      </c>
      <c r="T46" t="n">
        <v>89.334216744296</v>
      </c>
      <c r="U46" t="n">
        <v>88.4677354955637</v>
      </c>
      <c r="V46" t="n">
        <v>91.3534491417378</v>
      </c>
      <c r="W46" t="n">
        <v>97.1034187128938</v>
      </c>
      <c r="X46" t="n">
        <v>96.2378290809312</v>
      </c>
      <c r="Y46" t="n">
        <v>95.0736617936619</v>
      </c>
      <c r="Z46" t="n">
        <v>100.473615998257</v>
      </c>
      <c r="AA46" t="n">
        <v>104.448776264243</v>
      </c>
      <c r="AB46" t="n">
        <v>100.75539662265</v>
      </c>
      <c r="AC46" t="n">
        <v>98.5370604754182</v>
      </c>
      <c r="AD46" t="n">
        <v>100.064766839378</v>
      </c>
      <c r="AE46" t="n">
        <v>100</v>
      </c>
      <c r="AF46" t="n">
        <v>105.545617173524</v>
      </c>
    </row>
    <row r="47">
      <c r="A47" t="s">
        <v>72</v>
      </c>
      <c r="B47" t="s">
        <v>364</v>
      </c>
      <c r="C47" t="s">
        <v>246</v>
      </c>
      <c r="D47" t="s">
        <v>365</v>
      </c>
      <c r="E47" t="s">
        <v>247</v>
      </c>
      <c r="F47" t="n">
        <v>107.323497093454</v>
      </c>
      <c r="G47" t="n">
        <v>106.867528969849</v>
      </c>
      <c r="H47" t="n">
        <v>108.805680628748</v>
      </c>
      <c r="I47" t="n">
        <v>102.148519398384</v>
      </c>
      <c r="J47" t="n">
        <v>102.038366429946</v>
      </c>
      <c r="K47" t="n">
        <v>110.169083154234</v>
      </c>
      <c r="L47" t="n">
        <v>108.983150187838</v>
      </c>
      <c r="M47" t="n">
        <v>113.659880515983</v>
      </c>
      <c r="N47" t="n">
        <v>108.251427264377</v>
      </c>
      <c r="O47" t="n">
        <v>103.11155469577</v>
      </c>
      <c r="P47" t="n">
        <v>99.4484461756131</v>
      </c>
      <c r="Q47" t="n">
        <v>95.8210787460087</v>
      </c>
      <c r="R47" t="n">
        <v>91.0280359942884</v>
      </c>
      <c r="S47" t="n">
        <v>85.164716445542</v>
      </c>
      <c r="T47" t="n">
        <v>89.3937092325895</v>
      </c>
      <c r="U47" t="n">
        <v>88.4650582833517</v>
      </c>
      <c r="V47" t="n">
        <v>91.4042882328311</v>
      </c>
      <c r="W47" t="n">
        <v>97.1064495485072</v>
      </c>
      <c r="X47" t="n">
        <v>96.1675750362978</v>
      </c>
      <c r="Y47" t="n">
        <v>95.033721531503</v>
      </c>
      <c r="Z47" t="n">
        <v>100.477944837436</v>
      </c>
      <c r="AA47" t="n">
        <v>104.48118202062</v>
      </c>
      <c r="AB47" t="n">
        <v>100.735248169105</v>
      </c>
      <c r="AC47" t="n">
        <v>98.5502652245249</v>
      </c>
      <c r="AD47" t="n">
        <v>100.06993006993</v>
      </c>
      <c r="AE47" t="n">
        <v>100</v>
      </c>
      <c r="AF47" t="n">
        <v>105.525751072961</v>
      </c>
    </row>
    <row r="48">
      <c r="A48" t="s">
        <v>72</v>
      </c>
      <c r="B48" t="s">
        <v>366</v>
      </c>
      <c r="C48" t="s">
        <v>246</v>
      </c>
      <c r="D48" t="s">
        <v>367</v>
      </c>
      <c r="E48" t="s">
        <v>247</v>
      </c>
      <c r="F48" t="n">
        <v>107.234199826214</v>
      </c>
      <c r="G48" t="n">
        <v>106.801105319646</v>
      </c>
      <c r="H48" t="n">
        <v>108.711976904517</v>
      </c>
      <c r="I48" t="n">
        <v>102.060687919434</v>
      </c>
      <c r="J48" t="n">
        <v>101.949993030151</v>
      </c>
      <c r="K48" t="n">
        <v>110.040296772997</v>
      </c>
      <c r="L48" t="n">
        <v>108.838128896666</v>
      </c>
      <c r="M48" t="n">
        <v>113.479242108182</v>
      </c>
      <c r="N48" t="n">
        <v>108.085701155872</v>
      </c>
      <c r="O48" t="n">
        <v>102.96563217227</v>
      </c>
      <c r="P48" t="n">
        <v>99.3313328915629</v>
      </c>
      <c r="Q48" t="n">
        <v>95.7269595829773</v>
      </c>
      <c r="R48" t="n">
        <v>90.9768032709676</v>
      </c>
      <c r="S48" t="n">
        <v>85.1474480848739</v>
      </c>
      <c r="T48" t="n">
        <v>89.4216766015779</v>
      </c>
      <c r="U48" t="n">
        <v>88.4975921044957</v>
      </c>
      <c r="V48" t="n">
        <v>91.4625657916</v>
      </c>
      <c r="W48" t="n">
        <v>97.1836604559748</v>
      </c>
      <c r="X48" t="n">
        <v>96.2552280656622</v>
      </c>
      <c r="Y48" t="n">
        <v>95.1036201526134</v>
      </c>
      <c r="Z48" t="n">
        <v>100.527688514259</v>
      </c>
      <c r="AA48" t="n">
        <v>104.527060338393</v>
      </c>
      <c r="AB48" t="n">
        <v>100.763245517216</v>
      </c>
      <c r="AC48" t="n">
        <v>98.5619495131986</v>
      </c>
      <c r="AD48" t="n">
        <v>100.078926598264</v>
      </c>
      <c r="AE48" t="n">
        <v>100</v>
      </c>
      <c r="AF48" t="n">
        <v>105.545224006762</v>
      </c>
    </row>
    <row r="49">
      <c r="A49" t="s">
        <v>72</v>
      </c>
      <c r="B49" t="s">
        <v>368</v>
      </c>
      <c r="C49" t="s">
        <v>246</v>
      </c>
      <c r="D49" t="s">
        <v>369</v>
      </c>
      <c r="E49" t="s">
        <v>247</v>
      </c>
      <c r="F49" t="n">
        <v>106.736775452874</v>
      </c>
      <c r="G49" t="n">
        <v>105.940232352479</v>
      </c>
      <c r="H49" t="n">
        <v>107.954305210891</v>
      </c>
      <c r="I49" t="n">
        <v>101.339458077871</v>
      </c>
      <c r="J49" t="n">
        <v>101.339458077871</v>
      </c>
      <c r="K49" t="n">
        <v>109.268217634086</v>
      </c>
      <c r="L49" t="n">
        <v>107.953995085222</v>
      </c>
      <c r="M49" t="n">
        <v>112.602731715686</v>
      </c>
      <c r="N49" t="n">
        <v>107.331068245851</v>
      </c>
      <c r="O49" t="n">
        <v>102.40488569771</v>
      </c>
      <c r="P49" t="n">
        <v>98.758891315284</v>
      </c>
      <c r="Q49" t="n">
        <v>95.2936670586073</v>
      </c>
      <c r="R49" t="n">
        <v>90.6484325919621</v>
      </c>
      <c r="S49" t="n">
        <v>84.8566308067402</v>
      </c>
      <c r="T49" t="n">
        <v>89.3076554345049</v>
      </c>
      <c r="U49" t="n">
        <v>88.3916794813305</v>
      </c>
      <c r="V49" t="n">
        <v>91.3536581588354</v>
      </c>
      <c r="W49" t="n">
        <v>97.0403316586826</v>
      </c>
      <c r="X49" t="n">
        <v>95.9901116190864</v>
      </c>
      <c r="Y49" t="n">
        <v>94.8123188384841</v>
      </c>
      <c r="Z49" t="n">
        <v>100.279493521128</v>
      </c>
      <c r="AA49" t="n">
        <v>104.41473036736</v>
      </c>
      <c r="AB49" t="n">
        <v>100.647686441063</v>
      </c>
      <c r="AC49" t="n">
        <v>98.5287877791461</v>
      </c>
      <c r="AD49" t="n">
        <v>100.094996833439</v>
      </c>
      <c r="AE49" t="n">
        <v>100</v>
      </c>
      <c r="AF49" t="n">
        <v>105.650684931507</v>
      </c>
    </row>
    <row r="50">
      <c r="A50" t="s">
        <v>72</v>
      </c>
      <c r="B50" t="s">
        <v>370</v>
      </c>
      <c r="C50" t="s">
        <v>246</v>
      </c>
      <c r="D50" t="s">
        <v>371</v>
      </c>
      <c r="E50" t="s">
        <v>247</v>
      </c>
      <c r="F50" t="n">
        <v>105.89087123805</v>
      </c>
      <c r="G50" t="n">
        <v>105.566052614621</v>
      </c>
      <c r="H50" t="n">
        <v>107.533121917999</v>
      </c>
      <c r="I50" t="n">
        <v>100.962870069648</v>
      </c>
      <c r="J50" t="n">
        <v>100.962870069648</v>
      </c>
      <c r="K50" t="n">
        <v>108.914158371837</v>
      </c>
      <c r="L50" t="n">
        <v>107.759008207287</v>
      </c>
      <c r="M50" t="n">
        <v>112.540124612388</v>
      </c>
      <c r="N50" t="n">
        <v>107.340250867922</v>
      </c>
      <c r="O50" t="n">
        <v>102.313743652052</v>
      </c>
      <c r="P50" t="n">
        <v>98.7237877344364</v>
      </c>
      <c r="Q50" t="n">
        <v>95.2315176921298</v>
      </c>
      <c r="R50" t="n">
        <v>90.6575901182468</v>
      </c>
      <c r="S50" t="n">
        <v>84.9468757800895</v>
      </c>
      <c r="T50" t="n">
        <v>89.40101907942</v>
      </c>
      <c r="U50" t="n">
        <v>88.3838140582888</v>
      </c>
      <c r="V50" t="n">
        <v>91.3265587284271</v>
      </c>
      <c r="W50" t="n">
        <v>96.9616017137981</v>
      </c>
      <c r="X50" t="n">
        <v>96.0270320587253</v>
      </c>
      <c r="Y50" t="n">
        <v>94.9490859551662</v>
      </c>
      <c r="Z50" t="n">
        <v>100.362374778152</v>
      </c>
      <c r="AA50" t="n">
        <v>104.36595092524</v>
      </c>
      <c r="AB50" t="n">
        <v>100.655878481221</v>
      </c>
      <c r="AC50" t="n">
        <v>98.4404859404859</v>
      </c>
      <c r="AD50" t="n">
        <v>100.063131313131</v>
      </c>
      <c r="AE50" t="n">
        <v>100</v>
      </c>
      <c r="AF50" t="n">
        <v>105.552089831566</v>
      </c>
    </row>
    <row r="51">
      <c r="A51" t="s">
        <v>72</v>
      </c>
      <c r="B51" t="s">
        <v>372</v>
      </c>
      <c r="C51" t="s">
        <v>246</v>
      </c>
      <c r="D51" t="s">
        <v>373</v>
      </c>
      <c r="E51" t="s">
        <v>247</v>
      </c>
      <c r="F51" t="n">
        <v>106.262847732586</v>
      </c>
      <c r="G51" t="n">
        <v>105.884688132114</v>
      </c>
      <c r="H51" t="n">
        <v>107.775486134473</v>
      </c>
      <c r="I51" t="n">
        <v>101.203810150664</v>
      </c>
      <c r="J51" t="n">
        <v>101.203810150664</v>
      </c>
      <c r="K51" t="n">
        <v>109.128045844787</v>
      </c>
      <c r="L51" t="n">
        <v>107.883239238193</v>
      </c>
      <c r="M51" t="n">
        <v>112.59429772021</v>
      </c>
      <c r="N51" t="n">
        <v>107.377573501513</v>
      </c>
      <c r="O51" t="n">
        <v>102.350533543577</v>
      </c>
      <c r="P51" t="n">
        <v>98.7742253831524</v>
      </c>
      <c r="Q51" t="n">
        <v>95.2465744766112</v>
      </c>
      <c r="R51" t="n">
        <v>90.6900253889956</v>
      </c>
      <c r="S51" t="n">
        <v>84.9783648038207</v>
      </c>
      <c r="T51" t="n">
        <v>89.495892817817</v>
      </c>
      <c r="U51" t="n">
        <v>88.4987240956129</v>
      </c>
      <c r="V51" t="n">
        <v>91.4175474496898</v>
      </c>
      <c r="W51" t="n">
        <v>97.0386911440073</v>
      </c>
      <c r="X51" t="n">
        <v>96.1041291105177</v>
      </c>
      <c r="Y51" t="n">
        <v>95.003700151237</v>
      </c>
      <c r="Z51" t="n">
        <v>100.440658894832</v>
      </c>
      <c r="AA51" t="n">
        <v>104.430124318225</v>
      </c>
      <c r="AB51" t="n">
        <v>100.710963377182</v>
      </c>
      <c r="AC51" t="n">
        <v>98.481200350381</v>
      </c>
      <c r="AD51" t="n">
        <v>100.075018754689</v>
      </c>
      <c r="AE51" t="n">
        <v>100</v>
      </c>
      <c r="AF51" t="n">
        <v>105.571227080395</v>
      </c>
    </row>
    <row r="52">
      <c r="A52" t="s">
        <v>72</v>
      </c>
      <c r="B52" t="s">
        <v>374</v>
      </c>
      <c r="C52" t="s">
        <v>246</v>
      </c>
      <c r="D52" t="s">
        <v>375</v>
      </c>
      <c r="E52" t="s">
        <v>247</v>
      </c>
      <c r="F52" t="n">
        <v>104.39360356224</v>
      </c>
      <c r="G52" t="n">
        <v>104.39360356224</v>
      </c>
      <c r="H52" t="n">
        <v>106.879165551817</v>
      </c>
      <c r="I52" t="n">
        <v>100.281686196767</v>
      </c>
      <c r="J52" t="n">
        <v>100.281686196767</v>
      </c>
      <c r="K52" t="n">
        <v>108.385256798525</v>
      </c>
      <c r="L52" t="n">
        <v>107.576411598536</v>
      </c>
      <c r="M52" t="n">
        <v>112.619055892218</v>
      </c>
      <c r="N52" t="n">
        <v>107.500007897117</v>
      </c>
      <c r="O52" t="n">
        <v>102.46094502694</v>
      </c>
      <c r="P52" t="n">
        <v>98.8016255616918</v>
      </c>
      <c r="Q52" t="n">
        <v>95.4410260527907</v>
      </c>
      <c r="R52" t="n">
        <v>90.7853662453375</v>
      </c>
      <c r="S52" t="n">
        <v>85.0601629686045</v>
      </c>
      <c r="T52" t="n">
        <v>89.1106469194905</v>
      </c>
      <c r="U52" t="n">
        <v>87.8899531260728</v>
      </c>
      <c r="V52" t="n">
        <v>91.0011019092966</v>
      </c>
      <c r="W52" t="n">
        <v>96.6533442639113</v>
      </c>
      <c r="X52" t="n">
        <v>95.719495527062</v>
      </c>
      <c r="Y52" t="n">
        <v>94.7048012281885</v>
      </c>
      <c r="Z52" t="n">
        <v>100.040282987523</v>
      </c>
      <c r="AA52" t="n">
        <v>104.090496873658</v>
      </c>
      <c r="AB52" t="n">
        <v>100.422109318639</v>
      </c>
      <c r="AC52" t="n">
        <v>98.2578397212544</v>
      </c>
      <c r="AD52" t="n">
        <v>100</v>
      </c>
      <c r="AE52" t="n">
        <v>100</v>
      </c>
      <c r="AF52" t="n">
        <v>105.405405405405</v>
      </c>
    </row>
    <row r="53">
      <c r="A53" t="s">
        <v>72</v>
      </c>
      <c r="B53" t="s">
        <v>376</v>
      </c>
      <c r="C53" t="s">
        <v>246</v>
      </c>
      <c r="D53" t="s">
        <v>377</v>
      </c>
      <c r="E53" t="s">
        <v>247</v>
      </c>
      <c r="F53" t="n">
        <v>106.402124374471</v>
      </c>
      <c r="G53" t="n">
        <v>105.856472454601</v>
      </c>
      <c r="H53" t="n">
        <v>107.63557283199</v>
      </c>
      <c r="I53" t="n">
        <v>101.033609985778</v>
      </c>
      <c r="J53" t="n">
        <v>100.831137821478</v>
      </c>
      <c r="K53" t="n">
        <v>108.698865207958</v>
      </c>
      <c r="L53" t="n">
        <v>107.589693114</v>
      </c>
      <c r="M53" t="n">
        <v>112.213382404849</v>
      </c>
      <c r="N53" t="n">
        <v>106.95621263144</v>
      </c>
      <c r="O53" t="n">
        <v>101.948899305998</v>
      </c>
      <c r="P53" t="n">
        <v>98.4430912143196</v>
      </c>
      <c r="Q53" t="n">
        <v>94.8574157065133</v>
      </c>
      <c r="R53" t="n">
        <v>90.2113382025208</v>
      </c>
      <c r="S53" t="n">
        <v>84.5037667169483</v>
      </c>
      <c r="T53" t="n">
        <v>89.0963627341737</v>
      </c>
      <c r="U53" t="n">
        <v>88.205399106832</v>
      </c>
      <c r="V53" t="n">
        <v>91.1092805589088</v>
      </c>
      <c r="W53" t="n">
        <v>96.7160055163801</v>
      </c>
      <c r="X53" t="n">
        <v>95.9888175049788</v>
      </c>
      <c r="Y53" t="n">
        <v>94.8550913139751</v>
      </c>
      <c r="Z53" t="n">
        <v>100.353937187249</v>
      </c>
      <c r="AA53" t="n">
        <v>104.176944318192</v>
      </c>
      <c r="AB53" t="n">
        <v>100.561258615174</v>
      </c>
      <c r="AC53" t="n">
        <v>98.406374501992</v>
      </c>
      <c r="AD53" t="n">
        <v>100</v>
      </c>
      <c r="AE53" t="n">
        <v>100</v>
      </c>
      <c r="AF53" t="n">
        <v>105.526512322629</v>
      </c>
    </row>
    <row r="54">
      <c r="A54" t="s">
        <v>72</v>
      </c>
      <c r="B54" t="s">
        <v>378</v>
      </c>
      <c r="C54" t="s">
        <v>246</v>
      </c>
      <c r="D54" t="s">
        <v>379</v>
      </c>
      <c r="E54" t="s">
        <v>247</v>
      </c>
      <c r="F54" t="n">
        <v>106.896780832101</v>
      </c>
      <c r="G54" t="n">
        <v>106.32283838468</v>
      </c>
      <c r="H54" t="n">
        <v>108.033125329206</v>
      </c>
      <c r="I54" t="n">
        <v>101.404978678174</v>
      </c>
      <c r="J54" t="n">
        <v>101.186197710152</v>
      </c>
      <c r="K54" t="n">
        <v>109.10431691222</v>
      </c>
      <c r="L54" t="n">
        <v>107.955043911038</v>
      </c>
      <c r="M54" t="n">
        <v>112.527725329001</v>
      </c>
      <c r="N54" t="n">
        <v>107.266920420593</v>
      </c>
      <c r="O54" t="n">
        <v>102.217944592626</v>
      </c>
      <c r="P54" t="n">
        <v>98.727205579069</v>
      </c>
      <c r="Q54" t="n">
        <v>95.1605809347829</v>
      </c>
      <c r="R54" t="n">
        <v>90.4794560820528</v>
      </c>
      <c r="S54" t="n">
        <v>84.8131876798457</v>
      </c>
      <c r="T54" t="n">
        <v>89.3513487328695</v>
      </c>
      <c r="U54" t="n">
        <v>88.4497205922755</v>
      </c>
      <c r="V54" t="n">
        <v>91.3425261220526</v>
      </c>
      <c r="W54" t="n">
        <v>97.0344936252072</v>
      </c>
      <c r="X54" t="n">
        <v>96.1985898753849</v>
      </c>
      <c r="Y54" t="n">
        <v>95.0472004094916</v>
      </c>
      <c r="Z54" t="n">
        <v>100.507863880145</v>
      </c>
      <c r="AA54" t="n">
        <v>104.436742709859</v>
      </c>
      <c r="AB54" t="n">
        <v>100.686769901606</v>
      </c>
      <c r="AC54" t="n">
        <v>98.497927077658</v>
      </c>
      <c r="AD54" t="n">
        <v>100.076745970837</v>
      </c>
      <c r="AE54" t="n">
        <v>100</v>
      </c>
      <c r="AF54" t="n">
        <v>105.547498187092</v>
      </c>
    </row>
    <row r="55">
      <c r="A55" t="s">
        <v>72</v>
      </c>
      <c r="B55" t="s">
        <v>380</v>
      </c>
      <c r="C55" t="s">
        <v>246</v>
      </c>
      <c r="D55" t="s">
        <v>381</v>
      </c>
      <c r="E55" t="s">
        <v>247</v>
      </c>
      <c r="F55" t="n">
        <v>107.33222727786</v>
      </c>
      <c r="G55" t="n">
        <v>106.727538673478</v>
      </c>
      <c r="H55" t="n">
        <v>108.308687394566</v>
      </c>
      <c r="I55" t="n">
        <v>101.661977202344</v>
      </c>
      <c r="J55" t="n">
        <v>101.424449218227</v>
      </c>
      <c r="K55" t="n">
        <v>109.37930798044</v>
      </c>
      <c r="L55" t="n">
        <v>108.193624425097</v>
      </c>
      <c r="M55" t="n">
        <v>112.692319827388</v>
      </c>
      <c r="N55" t="n">
        <v>107.434513303559</v>
      </c>
      <c r="O55" t="n">
        <v>102.353151187851</v>
      </c>
      <c r="P55" t="n">
        <v>98.8863509056814</v>
      </c>
      <c r="Q55" t="n">
        <v>95.3394947038995</v>
      </c>
      <c r="R55" t="n">
        <v>90.6279499074859</v>
      </c>
      <c r="S55" t="n">
        <v>84.9880131106681</v>
      </c>
      <c r="T55" t="n">
        <v>89.4493261348501</v>
      </c>
      <c r="U55" t="n">
        <v>88.5384368666745</v>
      </c>
      <c r="V55" t="n">
        <v>91.416359288727</v>
      </c>
      <c r="W55" t="n">
        <v>97.1354668102114</v>
      </c>
      <c r="X55" t="n">
        <v>96.2559706318493</v>
      </c>
      <c r="Y55" t="n">
        <v>95.0972573138391</v>
      </c>
      <c r="Z55" t="n">
        <v>100.53483873585</v>
      </c>
      <c r="AA55" t="n">
        <v>104.493628173251</v>
      </c>
      <c r="AB55" t="n">
        <v>100.716750046507</v>
      </c>
      <c r="AC55" t="n">
        <v>98.5176943686356</v>
      </c>
      <c r="AD55" t="n">
        <v>100.091240875912</v>
      </c>
      <c r="AE55" t="n">
        <v>100</v>
      </c>
      <c r="AF55" t="n">
        <v>105.567300916138</v>
      </c>
    </row>
    <row r="56">
      <c r="A56" t="s">
        <v>72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72</v>
      </c>
      <c r="B57" t="s">
        <v>384</v>
      </c>
      <c r="C57" t="s">
        <v>246</v>
      </c>
      <c r="D57" t="s">
        <v>385</v>
      </c>
      <c r="E57" t="s">
        <v>247</v>
      </c>
      <c r="F57" t="n">
        <v>106.730564362162</v>
      </c>
      <c r="G57" t="n">
        <v>106.269188554539</v>
      </c>
      <c r="H57" t="n">
        <v>108.172508786699</v>
      </c>
      <c r="I57" t="n">
        <v>101.55648182081</v>
      </c>
      <c r="J57" t="n">
        <v>101.435090935389</v>
      </c>
      <c r="K57" t="n">
        <v>109.394886950153</v>
      </c>
      <c r="L57" t="n">
        <v>108.225938500688</v>
      </c>
      <c r="M57" t="n">
        <v>112.818894193907</v>
      </c>
      <c r="N57" t="n">
        <v>107.533623668212</v>
      </c>
      <c r="O57" t="n">
        <v>102.496601801488</v>
      </c>
      <c r="P57" t="n">
        <v>98.9008614639904</v>
      </c>
      <c r="Q57" t="n">
        <v>95.3691670245307</v>
      </c>
      <c r="R57" t="n">
        <v>90.6951544610646</v>
      </c>
      <c r="S57" t="n">
        <v>84.954694367</v>
      </c>
      <c r="T57" t="n">
        <v>89.3790171120637</v>
      </c>
      <c r="U57" t="n">
        <v>88.4745019757554</v>
      </c>
      <c r="V57" t="n">
        <v>91.4274115329483</v>
      </c>
      <c r="W57" t="n">
        <v>97.1470283218525</v>
      </c>
      <c r="X57" t="n">
        <v>96.2354240019781</v>
      </c>
      <c r="Y57" t="n">
        <v>95.0709001744439</v>
      </c>
      <c r="Z57" t="n">
        <v>100.502604748305</v>
      </c>
      <c r="AA57" t="n">
        <v>104.499476076488</v>
      </c>
      <c r="AB57" t="n">
        <v>100.740407517309</v>
      </c>
      <c r="AC57" t="n">
        <v>98.548921711627</v>
      </c>
      <c r="AD57" t="n">
        <v>100.081489701089</v>
      </c>
      <c r="AE57" t="n">
        <v>100</v>
      </c>
      <c r="AF57" t="n">
        <v>105.538143397202</v>
      </c>
    </row>
    <row r="58">
      <c r="A58" t="s">
        <v>72</v>
      </c>
      <c r="B58" t="s">
        <v>386</v>
      </c>
      <c r="C58" t="s">
        <v>246</v>
      </c>
      <c r="D58" t="s">
        <v>387</v>
      </c>
      <c r="E58" t="s">
        <v>247</v>
      </c>
      <c r="F58" t="n">
        <v>106.730564362162</v>
      </c>
      <c r="G58" t="n">
        <v>106.269188554539</v>
      </c>
      <c r="H58" t="n">
        <v>108.172508786699</v>
      </c>
      <c r="I58" t="n">
        <v>101.55648182081</v>
      </c>
      <c r="J58" t="n">
        <v>101.435090935389</v>
      </c>
      <c r="K58" t="n">
        <v>109.394886950153</v>
      </c>
      <c r="L58" t="n">
        <v>108.225938500688</v>
      </c>
      <c r="M58" t="n">
        <v>112.818894193907</v>
      </c>
      <c r="N58" t="n">
        <v>107.533623668212</v>
      </c>
      <c r="O58" t="n">
        <v>102.496601801488</v>
      </c>
      <c r="P58" t="n">
        <v>98.9008614639904</v>
      </c>
      <c r="Q58" t="n">
        <v>95.3691670245307</v>
      </c>
      <c r="R58" t="n">
        <v>90.6951544610646</v>
      </c>
      <c r="S58" t="n">
        <v>84.954694367</v>
      </c>
      <c r="T58" t="n">
        <v>89.3790171120637</v>
      </c>
      <c r="U58" t="n">
        <v>88.4745019757554</v>
      </c>
      <c r="V58" t="n">
        <v>91.4274115329483</v>
      </c>
      <c r="W58" t="n">
        <v>97.1470283218525</v>
      </c>
      <c r="X58" t="n">
        <v>96.2354240019781</v>
      </c>
      <c r="Y58" t="n">
        <v>95.0709001744439</v>
      </c>
      <c r="Z58" t="n">
        <v>100.502604748305</v>
      </c>
      <c r="AA58" t="n">
        <v>104.499476076488</v>
      </c>
      <c r="AB58" t="n">
        <v>100.740407517309</v>
      </c>
      <c r="AC58" t="n">
        <v>98.548921711627</v>
      </c>
      <c r="AD58" t="n">
        <v>100.081489701089</v>
      </c>
      <c r="AE58" t="n">
        <v>100</v>
      </c>
      <c r="AF58" t="n">
        <v>105.538143397202</v>
      </c>
    </row>
    <row r="59">
      <c r="A59" t="s">
        <v>72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74</v>
      </c>
      <c r="B2" t="s">
        <v>197</v>
      </c>
      <c r="C2" t="s">
        <v>246</v>
      </c>
      <c r="D2" t="s">
        <v>199</v>
      </c>
      <c r="E2" t="s">
        <v>247</v>
      </c>
      <c r="F2" t="n">
        <v>133.892572620308</v>
      </c>
      <c r="G2" t="n">
        <v>133.892572620308</v>
      </c>
      <c r="H2" t="n">
        <v>133.892572620308</v>
      </c>
      <c r="I2" t="n">
        <v>130.459429732608</v>
      </c>
      <c r="J2" t="n">
        <v>126.83555668448</v>
      </c>
      <c r="K2" t="n">
        <v>126.83555668448</v>
      </c>
      <c r="L2" t="n">
        <v>129.10047733956</v>
      </c>
      <c r="M2" t="n">
        <v>134.369884577909</v>
      </c>
      <c r="N2" t="n">
        <v>132.554075326856</v>
      </c>
      <c r="O2" t="n">
        <v>128.278137413087</v>
      </c>
      <c r="P2" t="n">
        <v>125.030589630477</v>
      </c>
      <c r="Q2" t="n">
        <v>115.970401976095</v>
      </c>
      <c r="R2" t="n">
        <v>113.650993936573</v>
      </c>
      <c r="S2" t="n">
        <v>112.247895245998</v>
      </c>
      <c r="T2" t="n">
        <v>115.649346617089</v>
      </c>
      <c r="U2" t="n">
        <v>111.143527917721</v>
      </c>
      <c r="V2" t="n">
        <v>108.364939719778</v>
      </c>
      <c r="W2" t="n">
        <v>108.364939719778</v>
      </c>
      <c r="X2" t="n">
        <v>102.759856630824</v>
      </c>
      <c r="Y2" t="n">
        <v>98.3870967741936</v>
      </c>
      <c r="Z2" t="n">
        <v>98.3870967741935</v>
      </c>
      <c r="AA2" t="n">
        <v>100</v>
      </c>
      <c r="AB2" t="n">
        <v>100</v>
      </c>
      <c r="AC2" t="n">
        <v>102.040816326531</v>
      </c>
      <c r="AD2" t="n">
        <v>100</v>
      </c>
      <c r="AE2" t="n">
        <v>100</v>
      </c>
      <c r="AF2" t="n">
        <v>97.6744186046512</v>
      </c>
    </row>
    <row r="3">
      <c r="A3" t="s">
        <v>74</v>
      </c>
      <c r="B3" t="s">
        <v>276</v>
      </c>
      <c r="C3" t="s">
        <v>246</v>
      </c>
      <c r="D3" t="s">
        <v>277</v>
      </c>
      <c r="E3" t="s">
        <v>247</v>
      </c>
      <c r="F3" t="n">
        <v>140.328215866993</v>
      </c>
      <c r="G3" t="n">
        <v>138.888952114511</v>
      </c>
      <c r="H3" t="n">
        <v>137.83676308334</v>
      </c>
      <c r="I3" t="n">
        <v>134.324998418796</v>
      </c>
      <c r="J3" t="n">
        <v>132.078760987044</v>
      </c>
      <c r="K3" t="n">
        <v>133.290492739219</v>
      </c>
      <c r="L3" t="n">
        <v>135.612626759066</v>
      </c>
      <c r="M3" t="n">
        <v>138.841498824758</v>
      </c>
      <c r="N3" t="n">
        <v>136.101206084796</v>
      </c>
      <c r="O3" t="n">
        <v>131.49627805937</v>
      </c>
      <c r="P3" t="n">
        <v>127.961431874978</v>
      </c>
      <c r="Q3" t="n">
        <v>118.695259221963</v>
      </c>
      <c r="R3" t="n">
        <v>116.033930539856</v>
      </c>
      <c r="S3" t="n">
        <v>114.969399067013</v>
      </c>
      <c r="T3" t="n">
        <v>116.95163008541</v>
      </c>
      <c r="U3" t="n">
        <v>112.45349046674</v>
      </c>
      <c r="V3" t="n">
        <v>109.985859014492</v>
      </c>
      <c r="W3" t="n">
        <v>110.512737381029</v>
      </c>
      <c r="X3" t="n">
        <v>105.78491973906</v>
      </c>
      <c r="Y3" t="n">
        <v>102.565378703523</v>
      </c>
      <c r="Z3" t="n">
        <v>101.404518891299</v>
      </c>
      <c r="AA3" t="n">
        <v>101.744688360911</v>
      </c>
      <c r="AB3" t="n">
        <v>101.645618557249</v>
      </c>
      <c r="AC3" t="n">
        <v>102.704706379199</v>
      </c>
      <c r="AD3" t="n">
        <v>101.553016779722</v>
      </c>
      <c r="AE3" t="n">
        <v>100</v>
      </c>
      <c r="AF3" t="n">
        <v>96.9707769066287</v>
      </c>
    </row>
    <row r="4">
      <c r="A4" t="s">
        <v>74</v>
      </c>
      <c r="B4" t="s">
        <v>278</v>
      </c>
      <c r="C4" t="s">
        <v>246</v>
      </c>
      <c r="D4" t="s">
        <v>279</v>
      </c>
      <c r="E4" t="s">
        <v>247</v>
      </c>
      <c r="F4" t="n">
        <v>140.624527847521</v>
      </c>
      <c r="G4" t="n">
        <v>138.749996990013</v>
      </c>
      <c r="H4" t="n">
        <v>136.596806318812</v>
      </c>
      <c r="I4" t="n">
        <v>134.006505015967</v>
      </c>
      <c r="J4" t="n">
        <v>131.457099739404</v>
      </c>
      <c r="K4" t="n">
        <v>132.505139771717</v>
      </c>
      <c r="L4" t="n">
        <v>134.818605918405</v>
      </c>
      <c r="M4" t="n">
        <v>138.136646032561</v>
      </c>
      <c r="N4" t="n">
        <v>135.914428294956</v>
      </c>
      <c r="O4" t="n">
        <v>131.468792171917</v>
      </c>
      <c r="P4" t="n">
        <v>128.20487921283</v>
      </c>
      <c r="Q4" t="n">
        <v>119.0710261765</v>
      </c>
      <c r="R4" t="n">
        <v>116.599740727554</v>
      </c>
      <c r="S4" t="n">
        <v>114.75292087772</v>
      </c>
      <c r="T4" t="n">
        <v>117.11704355321</v>
      </c>
      <c r="U4" t="n">
        <v>112.581572244007</v>
      </c>
      <c r="V4" t="n">
        <v>109.940045233343</v>
      </c>
      <c r="W4" t="n">
        <v>110.459101194132</v>
      </c>
      <c r="X4" t="n">
        <v>105.715737284213</v>
      </c>
      <c r="Y4" t="n">
        <v>102.538234869133</v>
      </c>
      <c r="Z4" t="n">
        <v>101.375022872544</v>
      </c>
      <c r="AA4" t="n">
        <v>101.684355032521</v>
      </c>
      <c r="AB4" t="n">
        <v>101.594408676897</v>
      </c>
      <c r="AC4" t="n">
        <v>102.681810604632</v>
      </c>
      <c r="AD4" t="n">
        <v>101.534653465347</v>
      </c>
      <c r="AE4" t="n">
        <v>100</v>
      </c>
      <c r="AF4" t="n">
        <v>96.9230769230769</v>
      </c>
    </row>
    <row r="5">
      <c r="A5" t="s">
        <v>74</v>
      </c>
      <c r="B5" t="s">
        <v>280</v>
      </c>
      <c r="C5" t="s">
        <v>246</v>
      </c>
      <c r="D5" t="s">
        <v>281</v>
      </c>
      <c r="E5" t="s">
        <v>247</v>
      </c>
      <c r="F5" t="n">
        <v>139.595740809608</v>
      </c>
      <c r="G5" t="n">
        <v>138.030181099593</v>
      </c>
      <c r="H5" t="n">
        <v>136.819390037316</v>
      </c>
      <c r="I5" t="n">
        <v>134.166994753879</v>
      </c>
      <c r="J5" t="n">
        <v>131.842319102203</v>
      </c>
      <c r="K5" t="n">
        <v>132.938395389276</v>
      </c>
      <c r="L5" t="n">
        <v>135.203586365025</v>
      </c>
      <c r="M5" t="n">
        <v>138.501234812952</v>
      </c>
      <c r="N5" t="n">
        <v>136.292012662562</v>
      </c>
      <c r="O5" t="n">
        <v>131.796269189317</v>
      </c>
      <c r="P5" t="n">
        <v>128.585131274747</v>
      </c>
      <c r="Q5" t="n">
        <v>119.342713932447</v>
      </c>
      <c r="R5" t="n">
        <v>116.846004435952</v>
      </c>
      <c r="S5" t="n">
        <v>115.014152182757</v>
      </c>
      <c r="T5" t="n">
        <v>117.364577636083</v>
      </c>
      <c r="U5" t="n">
        <v>112.826971186203</v>
      </c>
      <c r="V5" t="n">
        <v>110.176286469878</v>
      </c>
      <c r="W5" t="n">
        <v>110.652724465423</v>
      </c>
      <c r="X5" t="n">
        <v>105.97725723449</v>
      </c>
      <c r="Y5" t="n">
        <v>102.710387406053</v>
      </c>
      <c r="Z5" t="n">
        <v>101.459093346284</v>
      </c>
      <c r="AA5" t="n">
        <v>101.788238823482</v>
      </c>
      <c r="AB5" t="n">
        <v>101.665602391165</v>
      </c>
      <c r="AC5" t="n">
        <v>102.729368036513</v>
      </c>
      <c r="AD5" t="n">
        <v>101.604278074866</v>
      </c>
      <c r="AE5" t="n">
        <v>100</v>
      </c>
      <c r="AF5" t="n">
        <v>96.9661610268378</v>
      </c>
    </row>
    <row r="6">
      <c r="A6" t="s">
        <v>74</v>
      </c>
      <c r="B6" t="s">
        <v>282</v>
      </c>
      <c r="C6" t="s">
        <v>246</v>
      </c>
      <c r="D6" t="s">
        <v>283</v>
      </c>
      <c r="E6" t="s">
        <v>247</v>
      </c>
      <c r="F6" t="n">
        <v>139.351961072407</v>
      </c>
      <c r="G6" t="n">
        <v>137.610061559002</v>
      </c>
      <c r="H6" t="n">
        <v>136.146124733907</v>
      </c>
      <c r="I6" t="n">
        <v>133.492602062931</v>
      </c>
      <c r="J6" t="n">
        <v>131.461192901104</v>
      </c>
      <c r="K6" t="n">
        <v>132.436424302447</v>
      </c>
      <c r="L6" t="n">
        <v>134.717002334716</v>
      </c>
      <c r="M6" t="n">
        <v>138.127559355848</v>
      </c>
      <c r="N6" t="n">
        <v>135.899695495269</v>
      </c>
      <c r="O6" t="n">
        <v>131.60812616384</v>
      </c>
      <c r="P6" t="n">
        <v>128.371860766368</v>
      </c>
      <c r="Q6" t="n">
        <v>119.310317653448</v>
      </c>
      <c r="R6" t="n">
        <v>116.827272540994</v>
      </c>
      <c r="S6" t="n">
        <v>115.040922807951</v>
      </c>
      <c r="T6" t="n">
        <v>117.393497916498</v>
      </c>
      <c r="U6" t="n">
        <v>112.775901931885</v>
      </c>
      <c r="V6" t="n">
        <v>110.106649815154</v>
      </c>
      <c r="W6" t="n">
        <v>110.671299301386</v>
      </c>
      <c r="X6" t="n">
        <v>105.859503679586</v>
      </c>
      <c r="Y6" t="n">
        <v>102.677933896867</v>
      </c>
      <c r="Z6" t="n">
        <v>101.608372085441</v>
      </c>
      <c r="AA6" t="n">
        <v>101.836193547516</v>
      </c>
      <c r="AB6" t="n">
        <v>101.632112999325</v>
      </c>
      <c r="AC6" t="n">
        <v>102.740826959317</v>
      </c>
      <c r="AD6" t="n">
        <v>101.433691756272</v>
      </c>
      <c r="AE6" t="n">
        <v>100</v>
      </c>
      <c r="AF6" t="n">
        <v>96.9283276450512</v>
      </c>
    </row>
    <row r="7">
      <c r="A7" t="s">
        <v>74</v>
      </c>
      <c r="B7" t="s">
        <v>284</v>
      </c>
      <c r="C7" t="s">
        <v>246</v>
      </c>
      <c r="D7" t="s">
        <v>285</v>
      </c>
      <c r="E7" t="s">
        <v>247</v>
      </c>
      <c r="F7" t="n">
        <v>139.457636959405</v>
      </c>
      <c r="G7" t="n">
        <v>137.69553685342</v>
      </c>
      <c r="H7" t="n">
        <v>135.751599862548</v>
      </c>
      <c r="I7" t="n">
        <v>133.089803786812</v>
      </c>
      <c r="J7" t="n">
        <v>130.467344598895</v>
      </c>
      <c r="K7" t="n">
        <v>131.603489834879</v>
      </c>
      <c r="L7" t="n">
        <v>133.828256243011</v>
      </c>
      <c r="M7" t="n">
        <v>137.198745659502</v>
      </c>
      <c r="N7" t="n">
        <v>134.88640724951</v>
      </c>
      <c r="O7" t="n">
        <v>130.404422198498</v>
      </c>
      <c r="P7" t="n">
        <v>127.093064440132</v>
      </c>
      <c r="Q7" t="n">
        <v>118.014988408694</v>
      </c>
      <c r="R7" t="n">
        <v>115.474930711156</v>
      </c>
      <c r="S7" t="n">
        <v>113.601098164119</v>
      </c>
      <c r="T7" t="n">
        <v>116.094780806746</v>
      </c>
      <c r="U7" t="n">
        <v>111.641830310049</v>
      </c>
      <c r="V7" t="n">
        <v>108.951665724265</v>
      </c>
      <c r="W7" t="n">
        <v>109.487054745023</v>
      </c>
      <c r="X7" t="n">
        <v>104.599239801048</v>
      </c>
      <c r="Y7" t="n">
        <v>101.739104337738</v>
      </c>
      <c r="Z7" t="n">
        <v>100.53746137312</v>
      </c>
      <c r="AA7" t="n">
        <v>100.942038682468</v>
      </c>
      <c r="AB7" t="n">
        <v>100.942038682468</v>
      </c>
      <c r="AC7" t="n">
        <v>102.147316756289</v>
      </c>
      <c r="AD7" t="n">
        <v>101.310043668122</v>
      </c>
      <c r="AE7" t="n">
        <v>100</v>
      </c>
      <c r="AF7" t="n">
        <v>96.7078189300411</v>
      </c>
    </row>
    <row r="8">
      <c r="A8" t="s">
        <v>74</v>
      </c>
      <c r="B8" t="s">
        <v>286</v>
      </c>
      <c r="C8" t="s">
        <v>246</v>
      </c>
      <c r="D8" t="s">
        <v>287</v>
      </c>
      <c r="E8" t="s">
        <v>247</v>
      </c>
      <c r="F8" t="n">
        <v>138.284659672875</v>
      </c>
      <c r="G8" t="n">
        <v>138.284659672875</v>
      </c>
      <c r="H8" t="n">
        <v>137.082184371372</v>
      </c>
      <c r="I8" t="n">
        <v>134.420394383579</v>
      </c>
      <c r="J8" t="n">
        <v>134.420394383579</v>
      </c>
      <c r="K8" t="n">
        <v>135.079317885459</v>
      </c>
      <c r="L8" t="n">
        <v>137.246365765974</v>
      </c>
      <c r="M8" t="n">
        <v>140.63516492069</v>
      </c>
      <c r="N8" t="n">
        <v>138.146046957492</v>
      </c>
      <c r="O8" t="n">
        <v>132.468812151019</v>
      </c>
      <c r="P8" t="n">
        <v>128.392848700219</v>
      </c>
      <c r="Q8" t="n">
        <v>119.221930935917</v>
      </c>
      <c r="R8" t="n">
        <v>116.951037013329</v>
      </c>
      <c r="S8" t="n">
        <v>115.09467134645</v>
      </c>
      <c r="T8" t="n">
        <v>118.33677476466</v>
      </c>
      <c r="U8" t="n">
        <v>113.785360350635</v>
      </c>
      <c r="V8" t="n">
        <v>111.218773275057</v>
      </c>
      <c r="W8" t="n">
        <v>112.353658716639</v>
      </c>
      <c r="X8" t="n">
        <v>106.361463585085</v>
      </c>
      <c r="Y8" t="n">
        <v>101.929735935706</v>
      </c>
      <c r="Z8" t="n">
        <v>100.430769230769</v>
      </c>
      <c r="AA8" t="n">
        <v>102</v>
      </c>
      <c r="AB8" t="n">
        <v>102</v>
      </c>
      <c r="AC8" t="n">
        <v>102</v>
      </c>
      <c r="AD8" t="n">
        <v>102</v>
      </c>
      <c r="AE8" t="n">
        <v>100</v>
      </c>
      <c r="AF8" t="n">
        <v>97.2222222222222</v>
      </c>
    </row>
    <row r="9">
      <c r="A9" t="s">
        <v>74</v>
      </c>
      <c r="B9" t="s">
        <v>288</v>
      </c>
      <c r="C9" t="s">
        <v>246</v>
      </c>
      <c r="D9" t="s">
        <v>289</v>
      </c>
      <c r="E9" t="s">
        <v>247</v>
      </c>
      <c r="F9" t="n">
        <v>140.881054253238</v>
      </c>
      <c r="G9" t="n">
        <v>138.46595046604</v>
      </c>
      <c r="H9" t="n">
        <v>135.836850140735</v>
      </c>
      <c r="I9" t="n">
        <v>133.640027766492</v>
      </c>
      <c r="J9" t="n">
        <v>130.000027010206</v>
      </c>
      <c r="K9" t="n">
        <v>131.214980533666</v>
      </c>
      <c r="L9" t="n">
        <v>133.675261418672</v>
      </c>
      <c r="M9" t="n">
        <v>136.845425721091</v>
      </c>
      <c r="N9" t="n">
        <v>134.765708004965</v>
      </c>
      <c r="O9" t="n">
        <v>130.233229036188</v>
      </c>
      <c r="P9" t="n">
        <v>127.14294902516</v>
      </c>
      <c r="Q9" t="n">
        <v>118.092095026759</v>
      </c>
      <c r="R9" t="n">
        <v>115.531832803956</v>
      </c>
      <c r="S9" t="n">
        <v>113.896948377485</v>
      </c>
      <c r="T9" t="n">
        <v>116.817382951267</v>
      </c>
      <c r="U9" t="n">
        <v>112.347330032213</v>
      </c>
      <c r="V9" t="n">
        <v>109.825818884358</v>
      </c>
      <c r="W9" t="n">
        <v>110.322768291075</v>
      </c>
      <c r="X9" t="n">
        <v>105.870279884708</v>
      </c>
      <c r="Y9" t="n">
        <v>102.76659089786</v>
      </c>
      <c r="Z9" t="n">
        <v>101.728544525155</v>
      </c>
      <c r="AA9" t="n">
        <v>101.728544525155</v>
      </c>
      <c r="AB9" t="n">
        <v>101.728544525155</v>
      </c>
      <c r="AC9" t="n">
        <v>102.542372881356</v>
      </c>
      <c r="AD9" t="n">
        <v>101.694915254237</v>
      </c>
      <c r="AE9" t="n">
        <v>100</v>
      </c>
      <c r="AF9" t="n">
        <v>96.875</v>
      </c>
    </row>
    <row r="10">
      <c r="A10" t="s">
        <v>74</v>
      </c>
      <c r="B10" t="s">
        <v>290</v>
      </c>
      <c r="C10" t="s">
        <v>246</v>
      </c>
      <c r="D10" t="s">
        <v>291</v>
      </c>
      <c r="E10" t="s">
        <v>247</v>
      </c>
      <c r="F10" t="n">
        <v>140.767341105135</v>
      </c>
      <c r="G10" t="n">
        <v>138.482156996285</v>
      </c>
      <c r="H10" t="n">
        <v>135.853788654718</v>
      </c>
      <c r="I10" t="n">
        <v>133.575318404744</v>
      </c>
      <c r="J10" t="n">
        <v>130.000309882963</v>
      </c>
      <c r="K10" t="n">
        <v>131.011985446254</v>
      </c>
      <c r="L10" t="n">
        <v>133.207717045912</v>
      </c>
      <c r="M10" t="n">
        <v>136.472612071547</v>
      </c>
      <c r="N10" t="n">
        <v>134.465661894024</v>
      </c>
      <c r="O10" t="n">
        <v>130.042449331721</v>
      </c>
      <c r="P10" t="n">
        <v>126.893721744997</v>
      </c>
      <c r="Q10" t="n">
        <v>117.883516650677</v>
      </c>
      <c r="R10" t="n">
        <v>115.357441293877</v>
      </c>
      <c r="S10" t="n">
        <v>113.777202372043</v>
      </c>
      <c r="T10" t="n">
        <v>116.598124744904</v>
      </c>
      <c r="U10" t="n">
        <v>112.160133837658</v>
      </c>
      <c r="V10" t="n">
        <v>109.507698240146</v>
      </c>
      <c r="W10" t="n">
        <v>110.069276179839</v>
      </c>
      <c r="X10" t="n">
        <v>105.641201850765</v>
      </c>
      <c r="Y10" t="n">
        <v>102.561973994128</v>
      </c>
      <c r="Z10" t="n">
        <v>101.441078103482</v>
      </c>
      <c r="AA10" t="n">
        <v>101.441078103482</v>
      </c>
      <c r="AB10" t="n">
        <v>101.441078103482</v>
      </c>
      <c r="AC10" t="n">
        <v>102.568201193521</v>
      </c>
      <c r="AD10" t="n">
        <v>101.449275362319</v>
      </c>
      <c r="AE10" t="n">
        <v>100</v>
      </c>
      <c r="AF10" t="n">
        <v>96.6244725738397</v>
      </c>
    </row>
    <row r="11">
      <c r="A11" t="s">
        <v>74</v>
      </c>
      <c r="B11" t="s">
        <v>292</v>
      </c>
      <c r="C11" t="s">
        <v>246</v>
      </c>
      <c r="D11" t="s">
        <v>293</v>
      </c>
      <c r="E11" t="s">
        <v>247</v>
      </c>
      <c r="F11" t="n">
        <v>140.914888765823</v>
      </c>
      <c r="G11" t="n">
        <v>138.795867882127</v>
      </c>
      <c r="H11" t="n">
        <v>136.162883938564</v>
      </c>
      <c r="I11" t="n">
        <v>133.593772920855</v>
      </c>
      <c r="J11" t="n">
        <v>130.12380479304</v>
      </c>
      <c r="K11" t="n">
        <v>130.798021398186</v>
      </c>
      <c r="L11" t="n">
        <v>132.606288975119</v>
      </c>
      <c r="M11" t="n">
        <v>136.028386755122</v>
      </c>
      <c r="N11" t="n">
        <v>134.177660404712</v>
      </c>
      <c r="O11" t="n">
        <v>129.904486506473</v>
      </c>
      <c r="P11" t="n">
        <v>126.601830069868</v>
      </c>
      <c r="Q11" t="n">
        <v>117.66523030023</v>
      </c>
      <c r="R11" t="n">
        <v>115.201036995513</v>
      </c>
      <c r="S11" t="n">
        <v>113.87688714499</v>
      </c>
      <c r="T11" t="n">
        <v>116.525186846036</v>
      </c>
      <c r="U11" t="n">
        <v>112.139830351831</v>
      </c>
      <c r="V11" t="n">
        <v>109.204232698641</v>
      </c>
      <c r="W11" t="n">
        <v>109.850411590349</v>
      </c>
      <c r="X11" t="n">
        <v>105.456395126735</v>
      </c>
      <c r="Y11" t="n">
        <v>102.421678720211</v>
      </c>
      <c r="Z11" t="n">
        <v>101.20237302116</v>
      </c>
      <c r="AA11" t="n">
        <v>101.20237302116</v>
      </c>
      <c r="AB11" t="n">
        <v>101.20237302116</v>
      </c>
      <c r="AC11" t="n">
        <v>102.598267821452</v>
      </c>
      <c r="AD11" t="n">
        <v>101.26582278481</v>
      </c>
      <c r="AE11" t="n">
        <v>100</v>
      </c>
      <c r="AF11" t="n">
        <v>96.4539007092199</v>
      </c>
    </row>
    <row r="12">
      <c r="A12" t="s">
        <v>74</v>
      </c>
      <c r="B12" t="s">
        <v>294</v>
      </c>
      <c r="C12" t="s">
        <v>246</v>
      </c>
      <c r="D12" t="s">
        <v>295</v>
      </c>
      <c r="E12" t="s">
        <v>247</v>
      </c>
      <c r="F12" t="n">
        <v>139.80221505013</v>
      </c>
      <c r="G12" t="n">
        <v>138.097309988543</v>
      </c>
      <c r="H12" t="n">
        <v>136.488409289647</v>
      </c>
      <c r="I12" t="n">
        <v>133.966036222693</v>
      </c>
      <c r="J12" t="n">
        <v>131.733268952314</v>
      </c>
      <c r="K12" t="n">
        <v>132.826491101296</v>
      </c>
      <c r="L12" t="n">
        <v>135.21976121123</v>
      </c>
      <c r="M12" t="n">
        <v>138.447819171179</v>
      </c>
      <c r="N12" t="n">
        <v>136.26944439401</v>
      </c>
      <c r="O12" t="n">
        <v>131.721065075118</v>
      </c>
      <c r="P12" t="n">
        <v>128.293379366844</v>
      </c>
      <c r="Q12" t="n">
        <v>119.08257264307</v>
      </c>
      <c r="R12" t="n">
        <v>116.796918657599</v>
      </c>
      <c r="S12" t="n">
        <v>114.751438470951</v>
      </c>
      <c r="T12" t="n">
        <v>117.339816782326</v>
      </c>
      <c r="U12" t="n">
        <v>112.613344302477</v>
      </c>
      <c r="V12" t="n">
        <v>110.102240570175</v>
      </c>
      <c r="W12" t="n">
        <v>110.548902803725</v>
      </c>
      <c r="X12" t="n">
        <v>105.606716560735</v>
      </c>
      <c r="Y12" t="n">
        <v>102.416181317208</v>
      </c>
      <c r="Z12" t="n">
        <v>101.473701121038</v>
      </c>
      <c r="AA12" t="n">
        <v>101.756357670122</v>
      </c>
      <c r="AB12" t="n">
        <v>101.756357670122</v>
      </c>
      <c r="AC12" t="n">
        <v>102.633567650036</v>
      </c>
      <c r="AD12" t="n">
        <v>101.287553648069</v>
      </c>
      <c r="AE12" t="n">
        <v>100</v>
      </c>
      <c r="AF12" t="n">
        <v>96.7136150234742</v>
      </c>
    </row>
    <row r="13">
      <c r="A13" t="s">
        <v>74</v>
      </c>
      <c r="B13" t="s">
        <v>296</v>
      </c>
      <c r="C13" t="s">
        <v>246</v>
      </c>
      <c r="D13" t="s">
        <v>297</v>
      </c>
      <c r="E13" t="s">
        <v>247</v>
      </c>
      <c r="F13" t="n">
        <v>140.969060124551</v>
      </c>
      <c r="G13" t="n">
        <v>139.364099288219</v>
      </c>
      <c r="H13" t="n">
        <v>137.913763344822</v>
      </c>
      <c r="I13" t="n">
        <v>135.186173464084</v>
      </c>
      <c r="J13" t="n">
        <v>132.69590184764</v>
      </c>
      <c r="K13" t="n">
        <v>133.924567605488</v>
      </c>
      <c r="L13" t="n">
        <v>136.369438008023</v>
      </c>
      <c r="M13" t="n">
        <v>139.62088323402</v>
      </c>
      <c r="N13" t="n">
        <v>137.323324395992</v>
      </c>
      <c r="O13" t="n">
        <v>132.860316353122</v>
      </c>
      <c r="P13" t="n">
        <v>129.574018775483</v>
      </c>
      <c r="Q13" t="n">
        <v>120.264224729188</v>
      </c>
      <c r="R13" t="n">
        <v>117.755453418019</v>
      </c>
      <c r="S13" t="n">
        <v>115.769216854341</v>
      </c>
      <c r="T13" t="n">
        <v>117.986074198361</v>
      </c>
      <c r="U13" t="n">
        <v>113.448148267655</v>
      </c>
      <c r="V13" t="n">
        <v>110.681120261126</v>
      </c>
      <c r="W13" t="n">
        <v>111.058871524816</v>
      </c>
      <c r="X13" t="n">
        <v>106.204899867263</v>
      </c>
      <c r="Y13" t="n">
        <v>102.885996746411</v>
      </c>
      <c r="Z13" t="n">
        <v>101.653008769423</v>
      </c>
      <c r="AA13" t="n">
        <v>101.984666220547</v>
      </c>
      <c r="AB13" t="n">
        <v>101.984666220547</v>
      </c>
      <c r="AC13" t="n">
        <v>103.017422334173</v>
      </c>
      <c r="AD13" t="n">
        <v>101.736111111111</v>
      </c>
      <c r="AE13" t="n">
        <v>100</v>
      </c>
      <c r="AF13" t="n">
        <v>96.9465648854962</v>
      </c>
    </row>
    <row r="14">
      <c r="A14" t="s">
        <v>74</v>
      </c>
      <c r="B14" t="s">
        <v>298</v>
      </c>
      <c r="C14" t="s">
        <v>246</v>
      </c>
      <c r="D14" t="s">
        <v>299</v>
      </c>
      <c r="E14" t="s">
        <v>247</v>
      </c>
      <c r="F14" t="n">
        <v>142.564369248206</v>
      </c>
      <c r="G14" t="n">
        <v>140.624717965917</v>
      </c>
      <c r="H14" t="n">
        <v>138.148930677785</v>
      </c>
      <c r="I14" t="n">
        <v>135.629497291564</v>
      </c>
      <c r="J14" t="n">
        <v>132.861548367247</v>
      </c>
      <c r="K14" t="n">
        <v>133.568258730902</v>
      </c>
      <c r="L14" t="n">
        <v>135.927080077143</v>
      </c>
      <c r="M14" t="n">
        <v>139.0759699631</v>
      </c>
      <c r="N14" t="n">
        <v>136.882342676616</v>
      </c>
      <c r="O14" t="n">
        <v>132.584104863099</v>
      </c>
      <c r="P14" t="n">
        <v>129.427340461597</v>
      </c>
      <c r="Q14" t="n">
        <v>120.200836983146</v>
      </c>
      <c r="R14" t="n">
        <v>117.742742157315</v>
      </c>
      <c r="S14" t="n">
        <v>116.099820173725</v>
      </c>
      <c r="T14" t="n">
        <v>118.136659124141</v>
      </c>
      <c r="U14" t="n">
        <v>113.314754670094</v>
      </c>
      <c r="V14" t="n">
        <v>110.765172690017</v>
      </c>
      <c r="W14" t="n">
        <v>111.259660068098</v>
      </c>
      <c r="X14" t="n">
        <v>106.445540161305</v>
      </c>
      <c r="Y14" t="n">
        <v>103.31478898009</v>
      </c>
      <c r="Z14" t="n">
        <v>101.80654388549</v>
      </c>
      <c r="AA14" t="n">
        <v>101.80654388549</v>
      </c>
      <c r="AB14" t="n">
        <v>101.343786867829</v>
      </c>
      <c r="AC14" t="n">
        <v>102.736828611716</v>
      </c>
      <c r="AD14" t="n">
        <v>101.85873605948</v>
      </c>
      <c r="AE14" t="n">
        <v>100</v>
      </c>
      <c r="AF14" t="n">
        <v>96.9298245614035</v>
      </c>
    </row>
    <row r="15">
      <c r="A15" t="s">
        <v>74</v>
      </c>
      <c r="B15" t="s">
        <v>300</v>
      </c>
      <c r="C15" t="s">
        <v>246</v>
      </c>
      <c r="D15" t="s">
        <v>301</v>
      </c>
      <c r="E15" t="s">
        <v>247</v>
      </c>
      <c r="F15" t="n">
        <v>140.51851905302</v>
      </c>
      <c r="G15" t="n">
        <v>138.67306007859</v>
      </c>
      <c r="H15" t="n">
        <v>136.215044242633</v>
      </c>
      <c r="I15" t="n">
        <v>133.671130003806</v>
      </c>
      <c r="J15" t="n">
        <v>131.149033211281</v>
      </c>
      <c r="K15" t="n">
        <v>131.982607574912</v>
      </c>
      <c r="L15" t="n">
        <v>134.331052549555</v>
      </c>
      <c r="M15" t="n">
        <v>137.767428312451</v>
      </c>
      <c r="N15" t="n">
        <v>135.669447170637</v>
      </c>
      <c r="O15" t="n">
        <v>131.435529552014</v>
      </c>
      <c r="P15" t="n">
        <v>128.296770637339</v>
      </c>
      <c r="Q15" t="n">
        <v>119.296359431914</v>
      </c>
      <c r="R15" t="n">
        <v>116.880230633293</v>
      </c>
      <c r="S15" t="n">
        <v>115.140078316172</v>
      </c>
      <c r="T15" t="n">
        <v>117.340207201194</v>
      </c>
      <c r="U15" t="n">
        <v>112.679886915189</v>
      </c>
      <c r="V15" t="n">
        <v>110.019389585247</v>
      </c>
      <c r="W15" t="n">
        <v>110.572250839445</v>
      </c>
      <c r="X15" t="n">
        <v>105.920343846199</v>
      </c>
      <c r="Y15" t="n">
        <v>102.883201370323</v>
      </c>
      <c r="Z15" t="n">
        <v>101.686885075319</v>
      </c>
      <c r="AA15" t="n">
        <v>101.686885075319</v>
      </c>
      <c r="AB15" t="n">
        <v>101.371087295582</v>
      </c>
      <c r="AC15" t="n">
        <v>102.680791265809</v>
      </c>
      <c r="AD15" t="n">
        <v>101.724137931034</v>
      </c>
      <c r="AE15" t="n">
        <v>100</v>
      </c>
      <c r="AF15" t="n">
        <v>96.6666666666667</v>
      </c>
    </row>
    <row r="16">
      <c r="A16" t="s">
        <v>74</v>
      </c>
      <c r="B16" t="s">
        <v>302</v>
      </c>
      <c r="C16" t="s">
        <v>246</v>
      </c>
      <c r="D16" t="s">
        <v>303</v>
      </c>
      <c r="E16" t="s">
        <v>247</v>
      </c>
      <c r="F16" t="n">
        <v>137.449347731223</v>
      </c>
      <c r="G16" t="n">
        <v>135.724042111166</v>
      </c>
      <c r="H16" t="n">
        <v>133.306565534122</v>
      </c>
      <c r="I16" t="n">
        <v>130.742977735389</v>
      </c>
      <c r="J16" t="n">
        <v>128.731547308691</v>
      </c>
      <c r="K16" t="n">
        <v>129.638107501005</v>
      </c>
      <c r="L16" t="n">
        <v>131.964945327946</v>
      </c>
      <c r="M16" t="n">
        <v>135.823569460343</v>
      </c>
      <c r="N16" t="n">
        <v>133.840743628805</v>
      </c>
      <c r="O16" t="n">
        <v>129.697067355467</v>
      </c>
      <c r="P16" t="n">
        <v>126.590550772103</v>
      </c>
      <c r="Q16" t="n">
        <v>117.969688891565</v>
      </c>
      <c r="R16" t="n">
        <v>115.618133631268</v>
      </c>
      <c r="S16" t="n">
        <v>113.773163413748</v>
      </c>
      <c r="T16" t="n">
        <v>116.114175006623</v>
      </c>
      <c r="U16" t="n">
        <v>111.662513345028</v>
      </c>
      <c r="V16" t="n">
        <v>108.870950511402</v>
      </c>
      <c r="W16" t="n">
        <v>109.496645629284</v>
      </c>
      <c r="X16" t="n">
        <v>105.160144812282</v>
      </c>
      <c r="Y16" t="n">
        <v>102.218602300051</v>
      </c>
      <c r="Z16" t="n">
        <v>101.37382046286</v>
      </c>
      <c r="AA16" t="n">
        <v>101.37382046286</v>
      </c>
      <c r="AB16" t="n">
        <v>101.37382046286</v>
      </c>
      <c r="AC16" t="n">
        <v>102.429797759348</v>
      </c>
      <c r="AD16" t="n">
        <v>101.26582278481</v>
      </c>
      <c r="AE16" t="n">
        <v>100</v>
      </c>
      <c r="AF16" t="n">
        <v>95.8333333333333</v>
      </c>
    </row>
    <row r="17">
      <c r="A17" t="s">
        <v>74</v>
      </c>
      <c r="B17" t="s">
        <v>304</v>
      </c>
      <c r="C17" t="s">
        <v>246</v>
      </c>
      <c r="D17" t="s">
        <v>305</v>
      </c>
      <c r="E17" t="s">
        <v>247</v>
      </c>
      <c r="F17" t="n">
        <v>141.27384203428</v>
      </c>
      <c r="G17" t="n">
        <v>139.284069611261</v>
      </c>
      <c r="H17" t="n">
        <v>136.904993888088</v>
      </c>
      <c r="I17" t="n">
        <v>134.362991349052</v>
      </c>
      <c r="J17" t="n">
        <v>131.79008300407</v>
      </c>
      <c r="K17" t="n">
        <v>132.747859770088</v>
      </c>
      <c r="L17" t="n">
        <v>135.118357265982</v>
      </c>
      <c r="M17" t="n">
        <v>138.393953805764</v>
      </c>
      <c r="N17" t="n">
        <v>136.077737005667</v>
      </c>
      <c r="O17" t="n">
        <v>131.61617185794</v>
      </c>
      <c r="P17" t="n">
        <v>128.358345821853</v>
      </c>
      <c r="Q17" t="n">
        <v>119.151207092015</v>
      </c>
      <c r="R17" t="n">
        <v>116.672861984501</v>
      </c>
      <c r="S17" t="n">
        <v>114.760192115903</v>
      </c>
      <c r="T17" t="n">
        <v>117.032671167703</v>
      </c>
      <c r="U17" t="n">
        <v>112.55130231592</v>
      </c>
      <c r="V17" t="n">
        <v>109.956459611231</v>
      </c>
      <c r="W17" t="n">
        <v>110.525199919565</v>
      </c>
      <c r="X17" t="n">
        <v>105.903237013837</v>
      </c>
      <c r="Y17" t="n">
        <v>102.682566120751</v>
      </c>
      <c r="Z17" t="n">
        <v>101.476899982347</v>
      </c>
      <c r="AA17" t="n">
        <v>101.834843192161</v>
      </c>
      <c r="AB17" t="n">
        <v>101.718725925123</v>
      </c>
      <c r="AC17" t="n">
        <v>102.857368379509</v>
      </c>
      <c r="AD17" t="n">
        <v>101.618122977346</v>
      </c>
      <c r="AE17" t="n">
        <v>100</v>
      </c>
      <c r="AF17" t="n">
        <v>97.0149253731343</v>
      </c>
    </row>
    <row r="18">
      <c r="A18" t="s">
        <v>74</v>
      </c>
      <c r="B18" t="s">
        <v>306</v>
      </c>
      <c r="C18" t="s">
        <v>246</v>
      </c>
      <c r="D18" t="s">
        <v>307</v>
      </c>
      <c r="E18" t="s">
        <v>247</v>
      </c>
      <c r="F18" t="n">
        <v>144.353043968479</v>
      </c>
      <c r="G18" t="n">
        <v>140.929651621401</v>
      </c>
      <c r="H18" t="n">
        <v>136.944494377608</v>
      </c>
      <c r="I18" t="n">
        <v>134.674696128255</v>
      </c>
      <c r="J18" t="n">
        <v>131.3899474422</v>
      </c>
      <c r="K18" t="n">
        <v>132.475814776433</v>
      </c>
      <c r="L18" t="n">
        <v>134.880094536441</v>
      </c>
      <c r="M18" t="n">
        <v>138.169852939769</v>
      </c>
      <c r="N18" t="n">
        <v>136.094340127369</v>
      </c>
      <c r="O18" t="n">
        <v>131.593165453896</v>
      </c>
      <c r="P18" t="n">
        <v>128.15800250028</v>
      </c>
      <c r="Q18" t="n">
        <v>119.091041779172</v>
      </c>
      <c r="R18" t="n">
        <v>116.583861952242</v>
      </c>
      <c r="S18" t="n">
        <v>114.793324823283</v>
      </c>
      <c r="T18" t="n">
        <v>117.020355816327</v>
      </c>
      <c r="U18" t="n">
        <v>112.512033900455</v>
      </c>
      <c r="V18" t="n">
        <v>109.929790499461</v>
      </c>
      <c r="W18" t="n">
        <v>110.478524894633</v>
      </c>
      <c r="X18" t="n">
        <v>105.74633107707</v>
      </c>
      <c r="Y18" t="n">
        <v>102.691437068177</v>
      </c>
      <c r="Z18" t="n">
        <v>101.477590294322</v>
      </c>
      <c r="AA18" t="n">
        <v>101.888430740857</v>
      </c>
      <c r="AB18" t="n">
        <v>101.888430740857</v>
      </c>
      <c r="AC18" t="n">
        <v>102.811890838207</v>
      </c>
      <c r="AD18" t="n">
        <v>101.40350877193</v>
      </c>
      <c r="AE18" t="n">
        <v>100</v>
      </c>
      <c r="AF18" t="n">
        <v>97.2222222222222</v>
      </c>
    </row>
    <row r="19">
      <c r="A19" t="s">
        <v>74</v>
      </c>
      <c r="B19" t="s">
        <v>308</v>
      </c>
      <c r="C19" t="s">
        <v>246</v>
      </c>
      <c r="D19" t="s">
        <v>309</v>
      </c>
      <c r="E19" t="s">
        <v>247</v>
      </c>
      <c r="F19" t="n">
        <v>139.559206600975</v>
      </c>
      <c r="G19" t="n">
        <v>137.559791033626</v>
      </c>
      <c r="H19" t="n">
        <v>135.240064372013</v>
      </c>
      <c r="I19" t="n">
        <v>132.518515088985</v>
      </c>
      <c r="J19" t="n">
        <v>129.876950004155</v>
      </c>
      <c r="K19" t="n">
        <v>130.97993896385</v>
      </c>
      <c r="L19" t="n">
        <v>133.172071833538</v>
      </c>
      <c r="M19" t="n">
        <v>136.493071131133</v>
      </c>
      <c r="N19" t="n">
        <v>134.135225372629</v>
      </c>
      <c r="O19" t="n">
        <v>129.756240351873</v>
      </c>
      <c r="P19" t="n">
        <v>126.686737891937</v>
      </c>
      <c r="Q19" t="n">
        <v>117.685903938691</v>
      </c>
      <c r="R19" t="n">
        <v>115.224791879136</v>
      </c>
      <c r="S19" t="n">
        <v>113.497653671098</v>
      </c>
      <c r="T19" t="n">
        <v>115.790535563443</v>
      </c>
      <c r="U19" t="n">
        <v>111.425003701985</v>
      </c>
      <c r="V19" t="n">
        <v>108.883731687729</v>
      </c>
      <c r="W19" t="n">
        <v>109.374198947584</v>
      </c>
      <c r="X19" t="n">
        <v>104.816940658101</v>
      </c>
      <c r="Y19" t="n">
        <v>101.754107976533</v>
      </c>
      <c r="Z19" t="n">
        <v>100.871846924714</v>
      </c>
      <c r="AA19" t="n">
        <v>101.200419715999</v>
      </c>
      <c r="AB19" t="n">
        <v>101.200419715999</v>
      </c>
      <c r="AC19" t="n">
        <v>102.258263824529</v>
      </c>
      <c r="AD19" t="n">
        <v>101.282051282051</v>
      </c>
      <c r="AE19" t="n">
        <v>100</v>
      </c>
      <c r="AF19" t="n">
        <v>97.093023255814</v>
      </c>
    </row>
    <row r="20">
      <c r="A20" t="s">
        <v>74</v>
      </c>
      <c r="B20" t="s">
        <v>310</v>
      </c>
      <c r="C20" t="s">
        <v>246</v>
      </c>
      <c r="D20" t="s">
        <v>311</v>
      </c>
      <c r="E20" t="s">
        <v>247</v>
      </c>
      <c r="F20" t="n">
        <v>139.081446429974</v>
      </c>
      <c r="G20" t="n">
        <v>137.595533540765</v>
      </c>
      <c r="H20" t="n">
        <v>136.381455303641</v>
      </c>
      <c r="I20" t="n">
        <v>133.569466534494</v>
      </c>
      <c r="J20" t="n">
        <v>131.445945603898</v>
      </c>
      <c r="K20" t="n">
        <v>132.511363602713</v>
      </c>
      <c r="L20" t="n">
        <v>134.867121177873</v>
      </c>
      <c r="M20" t="n">
        <v>138.156563157821</v>
      </c>
      <c r="N20" t="n">
        <v>135.92566133059</v>
      </c>
      <c r="O20" t="n">
        <v>131.470636168429</v>
      </c>
      <c r="P20" t="n">
        <v>128.277017476079</v>
      </c>
      <c r="Q20" t="n">
        <v>119.067385452155</v>
      </c>
      <c r="R20" t="n">
        <v>116.578838810872</v>
      </c>
      <c r="S20" t="n">
        <v>114.690922392882</v>
      </c>
      <c r="T20" t="n">
        <v>116.952433538658</v>
      </c>
      <c r="U20" t="n">
        <v>112.45426301794</v>
      </c>
      <c r="V20" t="n">
        <v>109.787726936566</v>
      </c>
      <c r="W20" t="n">
        <v>110.322624509948</v>
      </c>
      <c r="X20" t="n">
        <v>105.625720694178</v>
      </c>
      <c r="Y20" t="n">
        <v>102.519081850231</v>
      </c>
      <c r="Z20" t="n">
        <v>101.467604087665</v>
      </c>
      <c r="AA20" t="n">
        <v>101.842715378192</v>
      </c>
      <c r="AB20" t="n">
        <v>101.689568437774</v>
      </c>
      <c r="AC20" t="n">
        <v>102.751996764736</v>
      </c>
      <c r="AD20" t="n">
        <v>101.587301587302</v>
      </c>
      <c r="AE20" t="n">
        <v>100</v>
      </c>
      <c r="AF20" t="n">
        <v>96.9939879759519</v>
      </c>
    </row>
    <row r="21">
      <c r="A21" t="s">
        <v>74</v>
      </c>
      <c r="B21" t="s">
        <v>312</v>
      </c>
      <c r="C21" t="s">
        <v>246</v>
      </c>
      <c r="D21" t="s">
        <v>313</v>
      </c>
      <c r="E21" t="s">
        <v>247</v>
      </c>
      <c r="F21" t="n">
        <v>138.867152476531</v>
      </c>
      <c r="G21" t="n">
        <v>137.283976471098</v>
      </c>
      <c r="H21" t="n">
        <v>135.823508636299</v>
      </c>
      <c r="I21" t="n">
        <v>133.131511167832</v>
      </c>
      <c r="J21" t="n">
        <v>130.923476348463</v>
      </c>
      <c r="K21" t="n">
        <v>131.970864159251</v>
      </c>
      <c r="L21" t="n">
        <v>134.377627639359</v>
      </c>
      <c r="M21" t="n">
        <v>137.722525297048</v>
      </c>
      <c r="N21" t="n">
        <v>135.473994271791</v>
      </c>
      <c r="O21" t="n">
        <v>131.033310506522</v>
      </c>
      <c r="P21" t="n">
        <v>127.856745403333</v>
      </c>
      <c r="Q21" t="n">
        <v>118.756621175338</v>
      </c>
      <c r="R21" t="n">
        <v>116.274569607365</v>
      </c>
      <c r="S21" t="n">
        <v>114.440984768532</v>
      </c>
      <c r="T21" t="n">
        <v>116.73417244042</v>
      </c>
      <c r="U21" t="n">
        <v>112.268179969186</v>
      </c>
      <c r="V21" t="n">
        <v>109.616684935351</v>
      </c>
      <c r="W21" t="n">
        <v>110.206418277304</v>
      </c>
      <c r="X21" t="n">
        <v>105.529005141186</v>
      </c>
      <c r="Y21" t="n">
        <v>102.38882735069</v>
      </c>
      <c r="Z21" t="n">
        <v>101.327803233067</v>
      </c>
      <c r="AA21" t="n">
        <v>101.725167167314</v>
      </c>
      <c r="AB21" t="n">
        <v>101.62494532774</v>
      </c>
      <c r="AC21" t="n">
        <v>102.765730495124</v>
      </c>
      <c r="AD21" t="n">
        <v>101.575393848462</v>
      </c>
      <c r="AE21" t="n">
        <v>100</v>
      </c>
      <c r="AF21" t="n">
        <v>96.984572230014</v>
      </c>
    </row>
    <row r="22">
      <c r="A22" t="s">
        <v>74</v>
      </c>
      <c r="B22" t="s">
        <v>314</v>
      </c>
      <c r="C22" t="s">
        <v>246</v>
      </c>
      <c r="D22" t="s">
        <v>315</v>
      </c>
      <c r="E22" t="s">
        <v>247</v>
      </c>
      <c r="F22" t="n">
        <v>138.3620910102</v>
      </c>
      <c r="G22" t="n">
        <v>136.466719900472</v>
      </c>
      <c r="H22" t="n">
        <v>134.53922385668</v>
      </c>
      <c r="I22" t="n">
        <v>132.122351571829</v>
      </c>
      <c r="J22" t="n">
        <v>129.786855458186</v>
      </c>
      <c r="K22" t="n">
        <v>130.790362072553</v>
      </c>
      <c r="L22" t="n">
        <v>133.412725221877</v>
      </c>
      <c r="M22" t="n">
        <v>136.866776360308</v>
      </c>
      <c r="N22" t="n">
        <v>134.542075275632</v>
      </c>
      <c r="O22" t="n">
        <v>130.130859692824</v>
      </c>
      <c r="P22" t="n">
        <v>126.995176326732</v>
      </c>
      <c r="Q22" t="n">
        <v>118.05471591333</v>
      </c>
      <c r="R22" t="n">
        <v>115.587334391026</v>
      </c>
      <c r="S22" t="n">
        <v>113.96846416146</v>
      </c>
      <c r="T22" t="n">
        <v>116.328757797939</v>
      </c>
      <c r="U22" t="n">
        <v>111.934629769787</v>
      </c>
      <c r="V22" t="n">
        <v>109.316275857043</v>
      </c>
      <c r="W22" t="n">
        <v>109.972830066395</v>
      </c>
      <c r="X22" t="n">
        <v>105.349347721261</v>
      </c>
      <c r="Y22" t="n">
        <v>102.139256793466</v>
      </c>
      <c r="Z22" t="n">
        <v>101.064106721956</v>
      </c>
      <c r="AA22" t="n">
        <v>101.515285769822</v>
      </c>
      <c r="AB22" t="n">
        <v>101.515285769822</v>
      </c>
      <c r="AC22" t="n">
        <v>102.787407145384</v>
      </c>
      <c r="AD22" t="n">
        <v>101.556420233463</v>
      </c>
      <c r="AE22" t="n">
        <v>100</v>
      </c>
      <c r="AF22" t="n">
        <v>96.9626168224299</v>
      </c>
    </row>
    <row r="23">
      <c r="A23" t="s">
        <v>74</v>
      </c>
      <c r="B23" t="s">
        <v>316</v>
      </c>
      <c r="C23" t="s">
        <v>246</v>
      </c>
      <c r="D23" t="s">
        <v>317</v>
      </c>
      <c r="E23" t="s">
        <v>247</v>
      </c>
      <c r="F23" t="n">
        <v>139.615097576458</v>
      </c>
      <c r="G23" t="n">
        <v>138.035741269032</v>
      </c>
      <c r="H23" t="n">
        <v>136.487387469043</v>
      </c>
      <c r="I23" t="n">
        <v>133.746676877295</v>
      </c>
      <c r="J23" t="n">
        <v>131.311967953558</v>
      </c>
      <c r="K23" t="n">
        <v>132.416357927936</v>
      </c>
      <c r="L23" t="n">
        <v>134.766464647587</v>
      </c>
      <c r="M23" t="n">
        <v>138.101656714942</v>
      </c>
      <c r="N23" t="n">
        <v>135.844076080933</v>
      </c>
      <c r="O23" t="n">
        <v>131.299106992723</v>
      </c>
      <c r="P23" t="n">
        <v>128.096689748998</v>
      </c>
      <c r="Q23" t="n">
        <v>118.9712930758</v>
      </c>
      <c r="R23" t="n">
        <v>116.497711529624</v>
      </c>
      <c r="S23" t="n">
        <v>114.641174294092</v>
      </c>
      <c r="T23" t="n">
        <v>116.962367924343</v>
      </c>
      <c r="U23" t="n">
        <v>112.438558310301</v>
      </c>
      <c r="V23" t="n">
        <v>109.831685085291</v>
      </c>
      <c r="W23" t="n">
        <v>110.38639056552</v>
      </c>
      <c r="X23" t="n">
        <v>105.586982280063</v>
      </c>
      <c r="Y23" t="n">
        <v>102.42501917435</v>
      </c>
      <c r="Z23" t="n">
        <v>101.236543213466</v>
      </c>
      <c r="AA23" t="n">
        <v>101.562511843868</v>
      </c>
      <c r="AB23" t="n">
        <v>101.509779490886</v>
      </c>
      <c r="AC23" t="n">
        <v>102.595445581697</v>
      </c>
      <c r="AD23" t="n">
        <v>101.507092198582</v>
      </c>
      <c r="AE23" t="n">
        <v>100</v>
      </c>
      <c r="AF23" t="n">
        <v>97.063492063492</v>
      </c>
    </row>
    <row r="24">
      <c r="A24" t="s">
        <v>74</v>
      </c>
      <c r="B24" t="s">
        <v>318</v>
      </c>
      <c r="C24" t="s">
        <v>246</v>
      </c>
      <c r="D24" t="s">
        <v>319</v>
      </c>
      <c r="E24" t="s">
        <v>247</v>
      </c>
      <c r="F24" t="n">
        <v>139.52250592289</v>
      </c>
      <c r="G24" t="n">
        <v>137.930357206652</v>
      </c>
      <c r="H24" t="n">
        <v>136.46280481759</v>
      </c>
      <c r="I24" t="n">
        <v>133.795296596722</v>
      </c>
      <c r="J24" t="n">
        <v>131.497461184596</v>
      </c>
      <c r="K24" t="n">
        <v>132.583401179363</v>
      </c>
      <c r="L24" t="n">
        <v>134.951901795906</v>
      </c>
      <c r="M24" t="n">
        <v>138.29939758815</v>
      </c>
      <c r="N24" t="n">
        <v>136.0590833663</v>
      </c>
      <c r="O24" t="n">
        <v>131.599591941643</v>
      </c>
      <c r="P24" t="n">
        <v>128.357347523236</v>
      </c>
      <c r="Q24" t="n">
        <v>119.214354922734</v>
      </c>
      <c r="R24" t="n">
        <v>116.715062803453</v>
      </c>
      <c r="S24" t="n">
        <v>114.821581106495</v>
      </c>
      <c r="T24" t="n">
        <v>117.100609241052</v>
      </c>
      <c r="U24" t="n">
        <v>112.572767900642</v>
      </c>
      <c r="V24" t="n">
        <v>109.919537680762</v>
      </c>
      <c r="W24" t="n">
        <v>110.476521458391</v>
      </c>
      <c r="X24" t="n">
        <v>105.736604696149</v>
      </c>
      <c r="Y24" t="n">
        <v>102.530178938328</v>
      </c>
      <c r="Z24" t="n">
        <v>101.379295450741</v>
      </c>
      <c r="AA24" t="n">
        <v>101.693605555013</v>
      </c>
      <c r="AB24" t="n">
        <v>101.628186702935</v>
      </c>
      <c r="AC24" t="n">
        <v>102.69731400519</v>
      </c>
      <c r="AD24" t="n">
        <v>101.544554455446</v>
      </c>
      <c r="AE24" t="n">
        <v>100</v>
      </c>
      <c r="AF24" t="n">
        <v>97.0247100353</v>
      </c>
    </row>
    <row r="25">
      <c r="A25" t="s">
        <v>74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74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74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74</v>
      </c>
      <c r="B28" t="s">
        <v>326</v>
      </c>
      <c r="C28" t="s">
        <v>246</v>
      </c>
      <c r="D28" t="s">
        <v>327</v>
      </c>
      <c r="E28" t="s">
        <v>247</v>
      </c>
      <c r="F28" t="n">
        <v>139.442516135592</v>
      </c>
      <c r="G28" t="n">
        <v>137.938764139959</v>
      </c>
      <c r="H28" t="n">
        <v>136.586135030934</v>
      </c>
      <c r="I28" t="n">
        <v>133.868714543407</v>
      </c>
      <c r="J28" t="n">
        <v>131.621241505442</v>
      </c>
      <c r="K28" t="n">
        <v>132.705380431613</v>
      </c>
      <c r="L28" t="n">
        <v>135.079765914826</v>
      </c>
      <c r="M28" t="n">
        <v>138.43115914221</v>
      </c>
      <c r="N28" t="n">
        <v>136.19000710059</v>
      </c>
      <c r="O28" t="n">
        <v>131.700226646724</v>
      </c>
      <c r="P28" t="n">
        <v>128.452378887249</v>
      </c>
      <c r="Q28" t="n">
        <v>119.285588117343</v>
      </c>
      <c r="R28" t="n">
        <v>116.793904761677</v>
      </c>
      <c r="S28" t="n">
        <v>114.901364329407</v>
      </c>
      <c r="T28" t="n">
        <v>117.193279841297</v>
      </c>
      <c r="U28" t="n">
        <v>112.640845300357</v>
      </c>
      <c r="V28" t="n">
        <v>109.979561681305</v>
      </c>
      <c r="W28" t="n">
        <v>110.529459489711</v>
      </c>
      <c r="X28" t="n">
        <v>105.795243130449</v>
      </c>
      <c r="Y28" t="n">
        <v>102.580947929165</v>
      </c>
      <c r="Z28" t="n">
        <v>101.402801358397</v>
      </c>
      <c r="AA28" t="n">
        <v>101.750428377109</v>
      </c>
      <c r="AB28" t="n">
        <v>101.669545683646</v>
      </c>
      <c r="AC28" t="n">
        <v>102.726983601432</v>
      </c>
      <c r="AD28" t="n">
        <v>101.566978788458</v>
      </c>
      <c r="AE28" t="n">
        <v>100</v>
      </c>
      <c r="AF28" t="n">
        <v>96.9882147533828</v>
      </c>
    </row>
    <row r="29">
      <c r="A29" t="s">
        <v>74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74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74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74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74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74</v>
      </c>
      <c r="B34" t="s">
        <v>338</v>
      </c>
      <c r="C34" t="s">
        <v>246</v>
      </c>
      <c r="D34" t="s">
        <v>339</v>
      </c>
      <c r="E34" t="s">
        <v>247</v>
      </c>
      <c r="F34" t="n">
        <v>140.272099751762</v>
      </c>
      <c r="G34" t="n">
        <v>138.38606676324</v>
      </c>
      <c r="H34" t="n">
        <v>136.659146803632</v>
      </c>
      <c r="I34" t="n">
        <v>134.023801077637</v>
      </c>
      <c r="J34" t="n">
        <v>131.553881334865</v>
      </c>
      <c r="K34" t="n">
        <v>132.635602054254</v>
      </c>
      <c r="L34" t="n">
        <v>134.998936876048</v>
      </c>
      <c r="M34" t="n">
        <v>138.337739931515</v>
      </c>
      <c r="N34" t="n">
        <v>136.090458710393</v>
      </c>
      <c r="O34" t="n">
        <v>131.62000784393</v>
      </c>
      <c r="P34" t="n">
        <v>128.368047318419</v>
      </c>
      <c r="Q34" t="n">
        <v>119.205202900109</v>
      </c>
      <c r="R34" t="n">
        <v>116.72102183342</v>
      </c>
      <c r="S34" t="n">
        <v>114.840975267686</v>
      </c>
      <c r="T34" t="n">
        <v>117.125975804744</v>
      </c>
      <c r="U34" t="n">
        <v>112.590724876603</v>
      </c>
      <c r="V34" t="n">
        <v>109.930485372917</v>
      </c>
      <c r="W34" t="n">
        <v>110.483160240463</v>
      </c>
      <c r="X34" t="n">
        <v>105.758640731532</v>
      </c>
      <c r="Y34" t="n">
        <v>102.560826470011</v>
      </c>
      <c r="Z34" t="n">
        <v>101.385269365796</v>
      </c>
      <c r="AA34" t="n">
        <v>101.726810827769</v>
      </c>
      <c r="AB34" t="n">
        <v>101.645255394182</v>
      </c>
      <c r="AC34" t="n">
        <v>102.710617766108</v>
      </c>
      <c r="AD34" t="n">
        <v>101.557449309433</v>
      </c>
      <c r="AE34" t="n">
        <v>100</v>
      </c>
      <c r="AF34" t="n">
        <v>96.9965222889662</v>
      </c>
    </row>
    <row r="35">
      <c r="A35" t="s">
        <v>74</v>
      </c>
      <c r="B35" t="s">
        <v>340</v>
      </c>
      <c r="C35" t="s">
        <v>246</v>
      </c>
      <c r="D35" t="s">
        <v>341</v>
      </c>
      <c r="E35" t="s">
        <v>247</v>
      </c>
      <c r="F35" t="n">
        <v>139.864246758707</v>
      </c>
      <c r="G35" t="n">
        <v>138.190339550159</v>
      </c>
      <c r="H35" t="n">
        <v>136.589383136362</v>
      </c>
      <c r="I35" t="n">
        <v>133.916914997639</v>
      </c>
      <c r="J35" t="n">
        <v>131.603432212004</v>
      </c>
      <c r="K35" t="n">
        <v>132.688196536785</v>
      </c>
      <c r="L35" t="n">
        <v>135.059684345788</v>
      </c>
      <c r="M35" t="n">
        <v>138.400244868506</v>
      </c>
      <c r="N35" t="n">
        <v>136.155062331757</v>
      </c>
      <c r="O35" t="n">
        <v>131.677567483113</v>
      </c>
      <c r="P35" t="n">
        <v>128.435491799243</v>
      </c>
      <c r="Q35" t="n">
        <v>119.27234357276</v>
      </c>
      <c r="R35" t="n">
        <v>116.78240073979</v>
      </c>
      <c r="S35" t="n">
        <v>114.900404552321</v>
      </c>
      <c r="T35" t="n">
        <v>117.185571220058</v>
      </c>
      <c r="U35" t="n">
        <v>112.646071652363</v>
      </c>
      <c r="V35" t="n">
        <v>109.981978835265</v>
      </c>
      <c r="W35" t="n">
        <v>110.533167804322</v>
      </c>
      <c r="X35" t="n">
        <v>105.794808923344</v>
      </c>
      <c r="Y35" t="n">
        <v>102.579346552409</v>
      </c>
      <c r="Z35" t="n">
        <v>101.407894312155</v>
      </c>
      <c r="AA35" t="n">
        <v>101.739673096209</v>
      </c>
      <c r="AB35" t="n">
        <v>101.647260894657</v>
      </c>
      <c r="AC35" t="n">
        <v>102.714193121879</v>
      </c>
      <c r="AD35" t="n">
        <v>101.557264876599</v>
      </c>
      <c r="AE35" t="n">
        <v>100</v>
      </c>
      <c r="AF35" t="n">
        <v>97.0126735063368</v>
      </c>
    </row>
    <row r="36">
      <c r="A36" t="s">
        <v>74</v>
      </c>
      <c r="B36" t="s">
        <v>342</v>
      </c>
      <c r="C36" t="s">
        <v>246</v>
      </c>
      <c r="D36" t="s">
        <v>343</v>
      </c>
      <c r="E36" t="s">
        <v>247</v>
      </c>
      <c r="F36" t="n">
        <v>140.379616916</v>
      </c>
      <c r="G36" t="n">
        <v>138.464433056686</v>
      </c>
      <c r="H36" t="n">
        <v>136.577675324693</v>
      </c>
      <c r="I36" t="n">
        <v>133.945486930095</v>
      </c>
      <c r="J36" t="n">
        <v>131.607023726377</v>
      </c>
      <c r="K36" t="n">
        <v>132.680636428427</v>
      </c>
      <c r="L36" t="n">
        <v>135.054921501357</v>
      </c>
      <c r="M36" t="n">
        <v>138.390787593487</v>
      </c>
      <c r="N36" t="n">
        <v>136.134549341032</v>
      </c>
      <c r="O36" t="n">
        <v>131.644258593657</v>
      </c>
      <c r="P36" t="n">
        <v>128.399228406952</v>
      </c>
      <c r="Q36" t="n">
        <v>119.227854949313</v>
      </c>
      <c r="R36" t="n">
        <v>116.756027197032</v>
      </c>
      <c r="S36" t="n">
        <v>114.881772496434</v>
      </c>
      <c r="T36" t="n">
        <v>117.158840877118</v>
      </c>
      <c r="U36" t="n">
        <v>112.623050290667</v>
      </c>
      <c r="V36" t="n">
        <v>109.957415964261</v>
      </c>
      <c r="W36" t="n">
        <v>110.505731952406</v>
      </c>
      <c r="X36" t="n">
        <v>105.764224681654</v>
      </c>
      <c r="Y36" t="n">
        <v>102.55693411369</v>
      </c>
      <c r="Z36" t="n">
        <v>101.398098699976</v>
      </c>
      <c r="AA36" t="n">
        <v>101.724531210882</v>
      </c>
      <c r="AB36" t="n">
        <v>101.620358623876</v>
      </c>
      <c r="AC36" t="n">
        <v>102.697868825007</v>
      </c>
      <c r="AD36" t="n">
        <v>101.536</v>
      </c>
      <c r="AE36" t="n">
        <v>100</v>
      </c>
      <c r="AF36" t="n">
        <v>97.0139349701393</v>
      </c>
    </row>
    <row r="37">
      <c r="A37" t="s">
        <v>74</v>
      </c>
      <c r="B37" t="s">
        <v>344</v>
      </c>
      <c r="C37" t="s">
        <v>246</v>
      </c>
      <c r="D37" t="s">
        <v>345</v>
      </c>
      <c r="E37" t="s">
        <v>247</v>
      </c>
      <c r="F37" t="n">
        <v>139.410452371179</v>
      </c>
      <c r="G37" t="n">
        <v>137.914695417666</v>
      </c>
      <c r="H37" t="n">
        <v>136.571029637984</v>
      </c>
      <c r="I37" t="n">
        <v>133.872507899666</v>
      </c>
      <c r="J37" t="n">
        <v>131.607942689217</v>
      </c>
      <c r="K37" t="n">
        <v>132.696501386246</v>
      </c>
      <c r="L37" t="n">
        <v>135.060977913787</v>
      </c>
      <c r="M37" t="n">
        <v>138.407292576482</v>
      </c>
      <c r="N37" t="n">
        <v>136.163889408756</v>
      </c>
      <c r="O37" t="n">
        <v>131.684209792485</v>
      </c>
      <c r="P37" t="n">
        <v>128.439764735104</v>
      </c>
      <c r="Q37" t="n">
        <v>119.278756387586</v>
      </c>
      <c r="R37" t="n">
        <v>116.786814696054</v>
      </c>
      <c r="S37" t="n">
        <v>114.902146193085</v>
      </c>
      <c r="T37" t="n">
        <v>117.187759798248</v>
      </c>
      <c r="U37" t="n">
        <v>112.650160535543</v>
      </c>
      <c r="V37" t="n">
        <v>109.98569376832</v>
      </c>
      <c r="W37" t="n">
        <v>110.536237977396</v>
      </c>
      <c r="X37" t="n">
        <v>105.798714760638</v>
      </c>
      <c r="Y37" t="n">
        <v>102.582372139828</v>
      </c>
      <c r="Z37" t="n">
        <v>101.409098740111</v>
      </c>
      <c r="AA37" t="n">
        <v>101.741236695881</v>
      </c>
      <c r="AB37" t="n">
        <v>101.648576188872</v>
      </c>
      <c r="AC37" t="n">
        <v>102.714248655498</v>
      </c>
      <c r="AD37" t="n">
        <v>101.556748250766</v>
      </c>
      <c r="AE37" t="n">
        <v>100</v>
      </c>
      <c r="AF37" t="n">
        <v>97.0124257158293</v>
      </c>
    </row>
    <row r="38">
      <c r="A38" t="s">
        <v>74</v>
      </c>
      <c r="B38" t="s">
        <v>346</v>
      </c>
      <c r="C38" t="s">
        <v>246</v>
      </c>
      <c r="D38" t="s">
        <v>347</v>
      </c>
      <c r="E38" t="s">
        <v>247</v>
      </c>
      <c r="F38" t="n">
        <v>141.890911009924</v>
      </c>
      <c r="G38" t="n">
        <v>139.428281620267</v>
      </c>
      <c r="H38" t="n">
        <v>136.770054848909</v>
      </c>
      <c r="I38" t="n">
        <v>134.253917177576</v>
      </c>
      <c r="J38" t="n">
        <v>131.563714638712</v>
      </c>
      <c r="K38" t="n">
        <v>132.640029917277</v>
      </c>
      <c r="L38" t="n">
        <v>135.056416479039</v>
      </c>
      <c r="M38" t="n">
        <v>138.330511423986</v>
      </c>
      <c r="N38" t="n">
        <v>136.092153633954</v>
      </c>
      <c r="O38" t="n">
        <v>131.65182578213</v>
      </c>
      <c r="P38" t="n">
        <v>128.429912914673</v>
      </c>
      <c r="Q38" t="n">
        <v>119.270885844689</v>
      </c>
      <c r="R38" t="n">
        <v>116.766973102237</v>
      </c>
      <c r="S38" t="n">
        <v>114.886311290074</v>
      </c>
      <c r="T38" t="n">
        <v>117.17704882509</v>
      </c>
      <c r="U38" t="n">
        <v>112.620339391978</v>
      </c>
      <c r="V38" t="n">
        <v>109.962902579637</v>
      </c>
      <c r="W38" t="n">
        <v>110.527720056772</v>
      </c>
      <c r="X38" t="n">
        <v>105.785076068881</v>
      </c>
      <c r="Y38" t="n">
        <v>102.56813245434</v>
      </c>
      <c r="Z38" t="n">
        <v>101.401038210596</v>
      </c>
      <c r="AA38" t="n">
        <v>101.733500630959</v>
      </c>
      <c r="AB38" t="n">
        <v>101.650317065439</v>
      </c>
      <c r="AC38" t="n">
        <v>102.725798235755</v>
      </c>
      <c r="AD38" t="n">
        <v>101.58038147139</v>
      </c>
      <c r="AE38" t="n">
        <v>100</v>
      </c>
      <c r="AF38" t="n">
        <v>97.014435695538</v>
      </c>
    </row>
    <row r="39">
      <c r="A39" t="s">
        <v>74</v>
      </c>
      <c r="B39" t="s">
        <v>348</v>
      </c>
      <c r="C39" t="s">
        <v>246</v>
      </c>
      <c r="D39" t="s">
        <v>349</v>
      </c>
      <c r="E39" t="s">
        <v>247</v>
      </c>
      <c r="F39" t="n">
        <v>142.993723591887</v>
      </c>
      <c r="G39" t="n">
        <v>139.925705121889</v>
      </c>
      <c r="H39" t="n">
        <v>136.697015624675</v>
      </c>
      <c r="I39" t="n">
        <v>134.25599748852</v>
      </c>
      <c r="J39" t="n">
        <v>131.397191595836</v>
      </c>
      <c r="K39" t="n">
        <v>132.504860228888</v>
      </c>
      <c r="L39" t="n">
        <v>134.871018447261</v>
      </c>
      <c r="M39" t="n">
        <v>138.229409018485</v>
      </c>
      <c r="N39" t="n">
        <v>135.993892969669</v>
      </c>
      <c r="O39" t="n">
        <v>131.542231518158</v>
      </c>
      <c r="P39" t="n">
        <v>128.316248673315</v>
      </c>
      <c r="Q39" t="n">
        <v>119.323247237603</v>
      </c>
      <c r="R39" t="n">
        <v>116.857698659204</v>
      </c>
      <c r="S39" t="n">
        <v>114.998764588206</v>
      </c>
      <c r="T39" t="n">
        <v>117.290239248167</v>
      </c>
      <c r="U39" t="n">
        <v>112.696433288985</v>
      </c>
      <c r="V39" t="n">
        <v>110.029062086879</v>
      </c>
      <c r="W39" t="n">
        <v>110.570366098457</v>
      </c>
      <c r="X39" t="n">
        <v>105.817262817789</v>
      </c>
      <c r="Y39" t="n">
        <v>102.579948842899</v>
      </c>
      <c r="Z39" t="n">
        <v>101.417470027028</v>
      </c>
      <c r="AA39" t="n">
        <v>101.764242018178</v>
      </c>
      <c r="AB39" t="n">
        <v>101.6657763752</v>
      </c>
      <c r="AC39" t="n">
        <v>102.721434855012</v>
      </c>
      <c r="AD39" t="n">
        <v>101.568855316676</v>
      </c>
      <c r="AE39" t="n">
        <v>100</v>
      </c>
      <c r="AF39" t="n">
        <v>97.0008424599832</v>
      </c>
    </row>
    <row r="40">
      <c r="A40" t="s">
        <v>74</v>
      </c>
      <c r="B40" t="s">
        <v>350</v>
      </c>
      <c r="C40" t="s">
        <v>246</v>
      </c>
      <c r="D40" t="s">
        <v>351</v>
      </c>
      <c r="E40" t="s">
        <v>247</v>
      </c>
      <c r="F40" t="n">
        <v>141.608420654473</v>
      </c>
      <c r="G40" t="n">
        <v>139.400716991708</v>
      </c>
      <c r="H40" t="n">
        <v>136.849289559248</v>
      </c>
      <c r="I40" t="n">
        <v>134.189674391135</v>
      </c>
      <c r="J40" t="n">
        <v>131.581747857032</v>
      </c>
      <c r="K40" t="n">
        <v>132.696847415142</v>
      </c>
      <c r="L40" t="n">
        <v>135.097612746666</v>
      </c>
      <c r="M40" t="n">
        <v>138.50603875633</v>
      </c>
      <c r="N40" t="n">
        <v>136.302148298763</v>
      </c>
      <c r="O40" t="n">
        <v>131.77759565814</v>
      </c>
      <c r="P40" t="n">
        <v>128.528386238718</v>
      </c>
      <c r="Q40" t="n">
        <v>119.269985535082</v>
      </c>
      <c r="R40" t="n">
        <v>116.718755897968</v>
      </c>
      <c r="S40" t="n">
        <v>114.946453747673</v>
      </c>
      <c r="T40" t="n">
        <v>117.205226856252</v>
      </c>
      <c r="U40" t="n">
        <v>112.682838681734</v>
      </c>
      <c r="V40" t="n">
        <v>110.017541577567</v>
      </c>
      <c r="W40" t="n">
        <v>110.545625777139</v>
      </c>
      <c r="X40" t="n">
        <v>105.827214920798</v>
      </c>
      <c r="Y40" t="n">
        <v>102.611470820995</v>
      </c>
      <c r="Z40" t="n">
        <v>101.455936239677</v>
      </c>
      <c r="AA40" t="n">
        <v>101.782161115046</v>
      </c>
      <c r="AB40" t="n">
        <v>101.625573174869</v>
      </c>
      <c r="AC40" t="n">
        <v>102.626262626263</v>
      </c>
      <c r="AD40" t="n">
        <v>101.481481481481</v>
      </c>
      <c r="AE40" t="n">
        <v>100</v>
      </c>
      <c r="AF40" t="n">
        <v>96.984572230014</v>
      </c>
    </row>
    <row r="41">
      <c r="A41" t="s">
        <v>74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74</v>
      </c>
      <c r="B42" t="s">
        <v>354</v>
      </c>
      <c r="C42" t="s">
        <v>246</v>
      </c>
      <c r="D42" t="s">
        <v>355</v>
      </c>
      <c r="E42" t="s">
        <v>247</v>
      </c>
      <c r="F42" t="n">
        <v>141.638949265662</v>
      </c>
      <c r="G42" t="n">
        <v>139.366666657122</v>
      </c>
      <c r="H42" t="n">
        <v>136.943678891673</v>
      </c>
      <c r="I42" t="n">
        <v>134.381436492027</v>
      </c>
      <c r="J42" t="n">
        <v>131.714917702603</v>
      </c>
      <c r="K42" t="n">
        <v>132.79607609869</v>
      </c>
      <c r="L42" t="n">
        <v>135.143371715492</v>
      </c>
      <c r="M42" t="n">
        <v>138.491765571968</v>
      </c>
      <c r="N42" t="n">
        <v>136.246835685007</v>
      </c>
      <c r="O42" t="n">
        <v>131.755607228213</v>
      </c>
      <c r="P42" t="n">
        <v>128.507523358491</v>
      </c>
      <c r="Q42" t="n">
        <v>119.348857996638</v>
      </c>
      <c r="R42" t="n">
        <v>116.839185749045</v>
      </c>
      <c r="S42" t="n">
        <v>114.956369864101</v>
      </c>
      <c r="T42" t="n">
        <v>117.212473882429</v>
      </c>
      <c r="U42" t="n">
        <v>112.658338082643</v>
      </c>
      <c r="V42" t="n">
        <v>109.972877698115</v>
      </c>
      <c r="W42" t="n">
        <v>110.525884168826</v>
      </c>
      <c r="X42" t="n">
        <v>105.786456480443</v>
      </c>
      <c r="Y42" t="n">
        <v>102.552184407312</v>
      </c>
      <c r="Z42" t="n">
        <v>101.381244483513</v>
      </c>
      <c r="AA42" t="n">
        <v>101.716126897489</v>
      </c>
      <c r="AB42" t="n">
        <v>101.620708391956</v>
      </c>
      <c r="AC42" t="n">
        <v>102.710545965608</v>
      </c>
      <c r="AD42" t="n">
        <v>101.536555142503</v>
      </c>
      <c r="AE42" t="n">
        <v>100</v>
      </c>
      <c r="AF42" t="n">
        <v>97.0087674058793</v>
      </c>
    </row>
    <row r="43">
      <c r="A43" t="s">
        <v>74</v>
      </c>
      <c r="B43" t="s">
        <v>356</v>
      </c>
      <c r="C43" t="s">
        <v>246</v>
      </c>
      <c r="D43" t="s">
        <v>357</v>
      </c>
      <c r="E43" t="s">
        <v>247</v>
      </c>
      <c r="F43" t="n">
        <v>141.578529113422</v>
      </c>
      <c r="G43" t="n">
        <v>139.352451611639</v>
      </c>
      <c r="H43" t="n">
        <v>136.967108232526</v>
      </c>
      <c r="I43" t="n">
        <v>134.408151539667</v>
      </c>
      <c r="J43" t="n">
        <v>131.748303025317</v>
      </c>
      <c r="K43" t="n">
        <v>132.846205550528</v>
      </c>
      <c r="L43" t="n">
        <v>135.187834297819</v>
      </c>
      <c r="M43" t="n">
        <v>138.516559057383</v>
      </c>
      <c r="N43" t="n">
        <v>136.266576057366</v>
      </c>
      <c r="O43" t="n">
        <v>131.77492511114</v>
      </c>
      <c r="P43" t="n">
        <v>128.532947579827</v>
      </c>
      <c r="Q43" t="n">
        <v>119.377454677426</v>
      </c>
      <c r="R43" t="n">
        <v>116.864245105269</v>
      </c>
      <c r="S43" t="n">
        <v>114.974257313809</v>
      </c>
      <c r="T43" t="n">
        <v>117.227048247995</v>
      </c>
      <c r="U43" t="n">
        <v>112.680089827185</v>
      </c>
      <c r="V43" t="n">
        <v>109.993083931549</v>
      </c>
      <c r="W43" t="n">
        <v>110.542481009402</v>
      </c>
      <c r="X43" t="n">
        <v>105.794807483649</v>
      </c>
      <c r="Y43" t="n">
        <v>102.565801066175</v>
      </c>
      <c r="Z43" t="n">
        <v>101.387184863933</v>
      </c>
      <c r="AA43" t="n">
        <v>101.727267664315</v>
      </c>
      <c r="AB43" t="n">
        <v>101.627956957191</v>
      </c>
      <c r="AC43" t="n">
        <v>102.713547294449</v>
      </c>
      <c r="AD43" t="n">
        <v>101.537037037037</v>
      </c>
      <c r="AE43" t="n">
        <v>100</v>
      </c>
      <c r="AF43" t="n">
        <v>97.0125151392814</v>
      </c>
    </row>
    <row r="44">
      <c r="A44" t="s">
        <v>74</v>
      </c>
      <c r="B44" t="s">
        <v>358</v>
      </c>
      <c r="C44" t="s">
        <v>246</v>
      </c>
      <c r="D44" t="s">
        <v>359</v>
      </c>
      <c r="E44" t="s">
        <v>247</v>
      </c>
      <c r="F44" t="n">
        <v>140.178238773195</v>
      </c>
      <c r="G44" t="n">
        <v>138.368278077786</v>
      </c>
      <c r="H44" t="n">
        <v>136.609123699408</v>
      </c>
      <c r="I44" t="n">
        <v>133.95969607456</v>
      </c>
      <c r="J44" t="n">
        <v>131.569461171054</v>
      </c>
      <c r="K44" t="n">
        <v>132.651433858236</v>
      </c>
      <c r="L44" t="n">
        <v>135.010669400616</v>
      </c>
      <c r="M44" t="n">
        <v>138.353442782562</v>
      </c>
      <c r="N44" t="n">
        <v>136.108522482912</v>
      </c>
      <c r="O44" t="n">
        <v>131.635332675277</v>
      </c>
      <c r="P44" t="n">
        <v>128.391712044329</v>
      </c>
      <c r="Q44" t="n">
        <v>119.239760449216</v>
      </c>
      <c r="R44" t="n">
        <v>116.750196834783</v>
      </c>
      <c r="S44" t="n">
        <v>114.873958679046</v>
      </c>
      <c r="T44" t="n">
        <v>117.166486852815</v>
      </c>
      <c r="U44" t="n">
        <v>112.626837479819</v>
      </c>
      <c r="V44" t="n">
        <v>109.966772370096</v>
      </c>
      <c r="W44" t="n">
        <v>110.515015281807</v>
      </c>
      <c r="X44" t="n">
        <v>105.775667568874</v>
      </c>
      <c r="Y44" t="n">
        <v>102.563510234833</v>
      </c>
      <c r="Z44" t="n">
        <v>101.395436078275</v>
      </c>
      <c r="AA44" t="n">
        <v>101.729916781643</v>
      </c>
      <c r="AB44" t="n">
        <v>101.640631901636</v>
      </c>
      <c r="AC44" t="n">
        <v>102.709791528611</v>
      </c>
      <c r="AD44" t="n">
        <v>101.554330197859</v>
      </c>
      <c r="AE44" t="n">
        <v>100</v>
      </c>
      <c r="AF44" t="n">
        <v>97.0027075583896</v>
      </c>
    </row>
    <row r="45">
      <c r="A45" t="s">
        <v>74</v>
      </c>
      <c r="B45" t="s">
        <v>360</v>
      </c>
      <c r="C45" t="s">
        <v>246</v>
      </c>
      <c r="D45" t="s">
        <v>361</v>
      </c>
      <c r="E45" t="s">
        <v>247</v>
      </c>
      <c r="F45" t="n">
        <v>140.184065462196</v>
      </c>
      <c r="G45" t="n">
        <v>138.372800552479</v>
      </c>
      <c r="H45" t="n">
        <v>136.612032153184</v>
      </c>
      <c r="I45" t="n">
        <v>133.963102066661</v>
      </c>
      <c r="J45" t="n">
        <v>131.573635296814</v>
      </c>
      <c r="K45" t="n">
        <v>132.656586612041</v>
      </c>
      <c r="L45" t="n">
        <v>135.015905577601</v>
      </c>
      <c r="M45" t="n">
        <v>138.357155225358</v>
      </c>
      <c r="N45" t="n">
        <v>136.111730202975</v>
      </c>
      <c r="O45" t="n">
        <v>131.638329830415</v>
      </c>
      <c r="P45" t="n">
        <v>128.394728859767</v>
      </c>
      <c r="Q45" t="n">
        <v>119.242713202438</v>
      </c>
      <c r="R45" t="n">
        <v>116.753010912371</v>
      </c>
      <c r="S45" t="n">
        <v>114.876176154016</v>
      </c>
      <c r="T45" t="n">
        <v>117.16727683605</v>
      </c>
      <c r="U45" t="n">
        <v>112.627622896426</v>
      </c>
      <c r="V45" t="n">
        <v>109.96769980283</v>
      </c>
      <c r="W45" t="n">
        <v>110.516439327592</v>
      </c>
      <c r="X45" t="n">
        <v>105.77782608112</v>
      </c>
      <c r="Y45" t="n">
        <v>102.566500803454</v>
      </c>
      <c r="Z45" t="n">
        <v>101.397595347127</v>
      </c>
      <c r="AA45" t="n">
        <v>101.730925539793</v>
      </c>
      <c r="AB45" t="n">
        <v>101.641581523887</v>
      </c>
      <c r="AC45" t="n">
        <v>102.710162061383</v>
      </c>
      <c r="AD45" t="n">
        <v>101.555218029105</v>
      </c>
      <c r="AE45" t="n">
        <v>100</v>
      </c>
      <c r="AF45" t="n">
        <v>97.0023419203747</v>
      </c>
    </row>
    <row r="46">
      <c r="A46" t="s">
        <v>74</v>
      </c>
      <c r="B46" t="s">
        <v>362</v>
      </c>
      <c r="C46" t="s">
        <v>246</v>
      </c>
      <c r="D46" t="s">
        <v>363</v>
      </c>
      <c r="E46" t="s">
        <v>247</v>
      </c>
      <c r="F46" t="n">
        <v>141.355244605813</v>
      </c>
      <c r="G46" t="n">
        <v>139.296673082428</v>
      </c>
      <c r="H46" t="n">
        <v>137.037808113524</v>
      </c>
      <c r="I46" t="n">
        <v>134.489960419514</v>
      </c>
      <c r="J46" t="n">
        <v>131.852902372072</v>
      </c>
      <c r="K46" t="n">
        <v>133.025672787072</v>
      </c>
      <c r="L46" t="n">
        <v>135.349862342447</v>
      </c>
      <c r="M46" t="n">
        <v>138.617521026699</v>
      </c>
      <c r="N46" t="n">
        <v>136.349749721559</v>
      </c>
      <c r="O46" t="n">
        <v>131.85611390211</v>
      </c>
      <c r="P46" t="n">
        <v>128.636371585896</v>
      </c>
      <c r="Q46" t="n">
        <v>119.49341131523</v>
      </c>
      <c r="R46" t="n">
        <v>116.967123549581</v>
      </c>
      <c r="S46" t="n">
        <v>115.061776740628</v>
      </c>
      <c r="T46" t="n">
        <v>117.303239923887</v>
      </c>
      <c r="U46" t="n">
        <v>112.779148025996</v>
      </c>
      <c r="V46" t="n">
        <v>110.086532921611</v>
      </c>
      <c r="W46" t="n">
        <v>110.625041468397</v>
      </c>
      <c r="X46" t="n">
        <v>105.842616467488</v>
      </c>
      <c r="Y46" t="n">
        <v>102.63212614411</v>
      </c>
      <c r="Z46" t="n">
        <v>101.41664574566</v>
      </c>
      <c r="AA46" t="n">
        <v>101.778073563713</v>
      </c>
      <c r="AB46" t="n">
        <v>101.653345532385</v>
      </c>
      <c r="AC46" t="n">
        <v>102.723380748515</v>
      </c>
      <c r="AD46" t="n">
        <v>101.538461538462</v>
      </c>
      <c r="AE46" t="n">
        <v>100</v>
      </c>
      <c r="AF46" t="n">
        <v>97.0260223048327</v>
      </c>
    </row>
    <row r="47">
      <c r="A47" t="s">
        <v>74</v>
      </c>
      <c r="B47" t="s">
        <v>364</v>
      </c>
      <c r="C47" t="s">
        <v>246</v>
      </c>
      <c r="D47" t="s">
        <v>365</v>
      </c>
      <c r="E47" t="s">
        <v>247</v>
      </c>
      <c r="F47" t="n">
        <v>139.067268437964</v>
      </c>
      <c r="G47" t="n">
        <v>137.526966414126</v>
      </c>
      <c r="H47" t="n">
        <v>136.171353142425</v>
      </c>
      <c r="I47" t="n">
        <v>133.443472396726</v>
      </c>
      <c r="J47" t="n">
        <v>131.211823882242</v>
      </c>
      <c r="K47" t="n">
        <v>132.300503574666</v>
      </c>
      <c r="L47" t="n">
        <v>134.648737588265</v>
      </c>
      <c r="M47" t="n">
        <v>137.978465855183</v>
      </c>
      <c r="N47" t="n">
        <v>135.764369393612</v>
      </c>
      <c r="O47" t="n">
        <v>131.347442018799</v>
      </c>
      <c r="P47" t="n">
        <v>128.137321236263</v>
      </c>
      <c r="Q47" t="n">
        <v>119.171693473174</v>
      </c>
      <c r="R47" t="n">
        <v>116.712192565324</v>
      </c>
      <c r="S47" t="n">
        <v>114.878901122682</v>
      </c>
      <c r="T47" t="n">
        <v>117.169051629976</v>
      </c>
      <c r="U47" t="n">
        <v>112.614670250216</v>
      </c>
      <c r="V47" t="n">
        <v>109.973388005541</v>
      </c>
      <c r="W47" t="n">
        <v>110.559326802773</v>
      </c>
      <c r="X47" t="n">
        <v>105.842492391706</v>
      </c>
      <c r="Y47" t="n">
        <v>102.610112237225</v>
      </c>
      <c r="Z47" t="n">
        <v>101.441821595258</v>
      </c>
      <c r="AA47" t="n">
        <v>101.775951442409</v>
      </c>
      <c r="AB47" t="n">
        <v>101.675158224838</v>
      </c>
      <c r="AC47" t="n">
        <v>102.725020859408</v>
      </c>
      <c r="AD47" t="n">
        <v>101.554621848739</v>
      </c>
      <c r="AE47" t="n">
        <v>100</v>
      </c>
      <c r="AF47" t="n">
        <v>97.0141948115516</v>
      </c>
    </row>
    <row r="48">
      <c r="A48" t="s">
        <v>74</v>
      </c>
      <c r="B48" t="s">
        <v>366</v>
      </c>
      <c r="C48" t="s">
        <v>246</v>
      </c>
      <c r="D48" t="s">
        <v>367</v>
      </c>
      <c r="E48" t="s">
        <v>247</v>
      </c>
      <c r="F48" t="n">
        <v>139.129706330294</v>
      </c>
      <c r="G48" t="n">
        <v>137.63417528505</v>
      </c>
      <c r="H48" t="n">
        <v>136.259915743626</v>
      </c>
      <c r="I48" t="n">
        <v>133.568711586527</v>
      </c>
      <c r="J48" t="n">
        <v>131.322048926201</v>
      </c>
      <c r="K48" t="n">
        <v>132.394886701447</v>
      </c>
      <c r="L48" t="n">
        <v>134.75251997527</v>
      </c>
      <c r="M48" t="n">
        <v>138.080112793347</v>
      </c>
      <c r="N48" t="n">
        <v>135.872965372972</v>
      </c>
      <c r="O48" t="n">
        <v>131.451136812651</v>
      </c>
      <c r="P48" t="n">
        <v>128.211222680774</v>
      </c>
      <c r="Q48" t="n">
        <v>119.187501511944</v>
      </c>
      <c r="R48" t="n">
        <v>116.724558387392</v>
      </c>
      <c r="S48" t="n">
        <v>114.873674351282</v>
      </c>
      <c r="T48" t="n">
        <v>117.159153127002</v>
      </c>
      <c r="U48" t="n">
        <v>112.632286802628</v>
      </c>
      <c r="V48" t="n">
        <v>109.97735075734</v>
      </c>
      <c r="W48" t="n">
        <v>110.537150633941</v>
      </c>
      <c r="X48" t="n">
        <v>105.802176677687</v>
      </c>
      <c r="Y48" t="n">
        <v>102.606425925826</v>
      </c>
      <c r="Z48" t="n">
        <v>101.425038235853</v>
      </c>
      <c r="AA48" t="n">
        <v>101.751351124582</v>
      </c>
      <c r="AB48" t="n">
        <v>101.650507367273</v>
      </c>
      <c r="AC48" t="n">
        <v>102.717704295013</v>
      </c>
      <c r="AD48" t="n">
        <v>101.558441558442</v>
      </c>
      <c r="AE48" t="n">
        <v>100</v>
      </c>
      <c r="AF48" t="n">
        <v>96.9992879666361</v>
      </c>
    </row>
    <row r="49">
      <c r="A49" t="s">
        <v>74</v>
      </c>
      <c r="B49" t="s">
        <v>368</v>
      </c>
      <c r="C49" t="s">
        <v>246</v>
      </c>
      <c r="D49" t="s">
        <v>369</v>
      </c>
      <c r="E49" t="s">
        <v>247</v>
      </c>
      <c r="F49" t="n">
        <v>139.912858704436</v>
      </c>
      <c r="G49" t="n">
        <v>138.233904399983</v>
      </c>
      <c r="H49" t="n">
        <v>136.692262343478</v>
      </c>
      <c r="I49" t="n">
        <v>134.251329087344</v>
      </c>
      <c r="J49" t="n">
        <v>132.120355609767</v>
      </c>
      <c r="K49" t="n">
        <v>133.136666037535</v>
      </c>
      <c r="L49" t="n">
        <v>135.484163927365</v>
      </c>
      <c r="M49" t="n">
        <v>138.86358751739</v>
      </c>
      <c r="N49" t="n">
        <v>136.402713814551</v>
      </c>
      <c r="O49" t="n">
        <v>131.820013943311</v>
      </c>
      <c r="P49" t="n">
        <v>128.554202787058</v>
      </c>
      <c r="Q49" t="n">
        <v>119.301450059658</v>
      </c>
      <c r="R49" t="n">
        <v>116.915421058465</v>
      </c>
      <c r="S49" t="n">
        <v>114.998774811605</v>
      </c>
      <c r="T49" t="n">
        <v>117.215618663395</v>
      </c>
      <c r="U49" t="n">
        <v>112.661228572179</v>
      </c>
      <c r="V49" t="n">
        <v>110.024476414107</v>
      </c>
      <c r="W49" t="n">
        <v>110.509165737517</v>
      </c>
      <c r="X49" t="n">
        <v>105.773058634481</v>
      </c>
      <c r="Y49" t="n">
        <v>102.561732376128</v>
      </c>
      <c r="Z49" t="n">
        <v>101.283704558357</v>
      </c>
      <c r="AA49" t="n">
        <v>101.611483537511</v>
      </c>
      <c r="AB49" t="n">
        <v>101.611483537511</v>
      </c>
      <c r="AC49" t="n">
        <v>102.651367140965</v>
      </c>
      <c r="AD49" t="n">
        <v>101.577287066246</v>
      </c>
      <c r="AE49" t="n">
        <v>100</v>
      </c>
      <c r="AF49" t="n">
        <v>96.969696969697</v>
      </c>
    </row>
    <row r="50">
      <c r="A50" t="s">
        <v>74</v>
      </c>
      <c r="B50" t="s">
        <v>370</v>
      </c>
      <c r="C50" t="s">
        <v>246</v>
      </c>
      <c r="D50" t="s">
        <v>371</v>
      </c>
      <c r="E50" t="s">
        <v>247</v>
      </c>
      <c r="F50" t="n">
        <v>139.612390809719</v>
      </c>
      <c r="G50" t="n">
        <v>137.952135351441</v>
      </c>
      <c r="H50" t="n">
        <v>136.582203520741</v>
      </c>
      <c r="I50" t="n">
        <v>133.915488171864</v>
      </c>
      <c r="J50" t="n">
        <v>131.718256500651</v>
      </c>
      <c r="K50" t="n">
        <v>132.888045634759</v>
      </c>
      <c r="L50" t="n">
        <v>135.173844699626</v>
      </c>
      <c r="M50" t="n">
        <v>138.611508325048</v>
      </c>
      <c r="N50" t="n">
        <v>136.389045322368</v>
      </c>
      <c r="O50" t="n">
        <v>131.901279882576</v>
      </c>
      <c r="P50" t="n">
        <v>128.669261766248</v>
      </c>
      <c r="Q50" t="n">
        <v>119.445658772252</v>
      </c>
      <c r="R50" t="n">
        <v>116.938403130517</v>
      </c>
      <c r="S50" t="n">
        <v>115.028338469583</v>
      </c>
      <c r="T50" t="n">
        <v>117.32264803108</v>
      </c>
      <c r="U50" t="n">
        <v>112.724411681735</v>
      </c>
      <c r="V50" t="n">
        <v>110.104436976755</v>
      </c>
      <c r="W50" t="n">
        <v>110.638406118253</v>
      </c>
      <c r="X50" t="n">
        <v>105.812688404584</v>
      </c>
      <c r="Y50" t="n">
        <v>102.625559235772</v>
      </c>
      <c r="Z50" t="n">
        <v>101.458254296597</v>
      </c>
      <c r="AA50" t="n">
        <v>101.760663400313</v>
      </c>
      <c r="AB50" t="n">
        <v>101.666788249574</v>
      </c>
      <c r="AC50" t="n">
        <v>102.711906575384</v>
      </c>
      <c r="AD50" t="n">
        <v>101.54230929554</v>
      </c>
      <c r="AE50" t="n">
        <v>100</v>
      </c>
      <c r="AF50" t="n">
        <v>97.009735744089</v>
      </c>
    </row>
    <row r="51">
      <c r="A51" t="s">
        <v>74</v>
      </c>
      <c r="B51" t="s">
        <v>372</v>
      </c>
      <c r="C51" t="s">
        <v>246</v>
      </c>
      <c r="D51" t="s">
        <v>373</v>
      </c>
      <c r="E51" t="s">
        <v>247</v>
      </c>
      <c r="F51" t="n">
        <v>139.50507677568</v>
      </c>
      <c r="G51" t="n">
        <v>137.888563719184</v>
      </c>
      <c r="H51" t="n">
        <v>136.576727489297</v>
      </c>
      <c r="I51" t="n">
        <v>133.840217466743</v>
      </c>
      <c r="J51" t="n">
        <v>131.640104302906</v>
      </c>
      <c r="K51" t="n">
        <v>132.738121855015</v>
      </c>
      <c r="L51" t="n">
        <v>135.108445459569</v>
      </c>
      <c r="M51" t="n">
        <v>138.492664710002</v>
      </c>
      <c r="N51" t="n">
        <v>136.282675379523</v>
      </c>
      <c r="O51" t="n">
        <v>131.708644106028</v>
      </c>
      <c r="P51" t="n">
        <v>128.460016520608</v>
      </c>
      <c r="Q51" t="n">
        <v>119.248147723622</v>
      </c>
      <c r="R51" t="n">
        <v>116.766059580958</v>
      </c>
      <c r="S51" t="n">
        <v>114.873759282697</v>
      </c>
      <c r="T51" t="n">
        <v>117.17342462582</v>
      </c>
      <c r="U51" t="n">
        <v>112.617471298935</v>
      </c>
      <c r="V51" t="n">
        <v>109.988807963948</v>
      </c>
      <c r="W51" t="n">
        <v>110.587875545451</v>
      </c>
      <c r="X51" t="n">
        <v>105.841064182131</v>
      </c>
      <c r="Y51" t="n">
        <v>102.651333480752</v>
      </c>
      <c r="Z51" t="n">
        <v>101.434123992838</v>
      </c>
      <c r="AA51" t="n">
        <v>101.74654942608</v>
      </c>
      <c r="AB51" t="n">
        <v>101.650426091715</v>
      </c>
      <c r="AC51" t="n">
        <v>102.722939379904</v>
      </c>
      <c r="AD51" t="n">
        <v>101.551055579492</v>
      </c>
      <c r="AE51" t="n">
        <v>100</v>
      </c>
      <c r="AF51" t="n">
        <v>96.9989281886388</v>
      </c>
    </row>
    <row r="52">
      <c r="A52" t="s">
        <v>74</v>
      </c>
      <c r="B52" t="s">
        <v>374</v>
      </c>
      <c r="C52" t="s">
        <v>246</v>
      </c>
      <c r="D52" t="s">
        <v>375</v>
      </c>
      <c r="E52" t="s">
        <v>247</v>
      </c>
      <c r="F52" t="n">
        <v>140.775360887388</v>
      </c>
      <c r="G52" t="n">
        <v>138.504790550495</v>
      </c>
      <c r="H52" t="n">
        <v>136.234220213601</v>
      </c>
      <c r="I52" t="n">
        <v>134.531292460931</v>
      </c>
      <c r="J52" t="n">
        <v>132.395875120282</v>
      </c>
      <c r="K52" t="n">
        <v>135.212808633479</v>
      </c>
      <c r="L52" t="n">
        <v>136.525554348367</v>
      </c>
      <c r="M52" t="n">
        <v>140.859698930855</v>
      </c>
      <c r="N52" t="n">
        <v>138.388476142595</v>
      </c>
      <c r="O52" t="n">
        <v>134.283733206162</v>
      </c>
      <c r="P52" t="n">
        <v>131.332442366466</v>
      </c>
      <c r="Q52" t="n">
        <v>121.951553626004</v>
      </c>
      <c r="R52" t="n">
        <v>119.115470983539</v>
      </c>
      <c r="S52" t="n">
        <v>116.868009266868</v>
      </c>
      <c r="T52" t="n">
        <v>119.032231660699</v>
      </c>
      <c r="U52" t="n">
        <v>113.682468439994</v>
      </c>
      <c r="V52" t="n">
        <v>111.237684172467</v>
      </c>
      <c r="W52" t="n">
        <v>111.237684172467</v>
      </c>
      <c r="X52" t="n">
        <v>105.533187548238</v>
      </c>
      <c r="Y52" t="n">
        <v>102.382943143813</v>
      </c>
      <c r="Z52" t="n">
        <v>102.382943143813</v>
      </c>
      <c r="AA52" t="n">
        <v>102.382943143813</v>
      </c>
      <c r="AB52" t="n">
        <v>102.382943143813</v>
      </c>
      <c r="AC52" t="n">
        <v>102.382943143813</v>
      </c>
      <c r="AD52" t="n">
        <v>101.282051282051</v>
      </c>
      <c r="AE52" t="n">
        <v>100</v>
      </c>
      <c r="AF52" t="n">
        <v>97.4025974025974</v>
      </c>
    </row>
    <row r="53">
      <c r="A53" t="s">
        <v>74</v>
      </c>
      <c r="B53" t="s">
        <v>376</v>
      </c>
      <c r="C53" t="s">
        <v>246</v>
      </c>
      <c r="D53" t="s">
        <v>377</v>
      </c>
      <c r="E53" t="s">
        <v>247</v>
      </c>
      <c r="F53" t="n">
        <v>140.162930754058</v>
      </c>
      <c r="G53" t="n">
        <v>138.394313331294</v>
      </c>
      <c r="H53" t="n">
        <v>136.834940786716</v>
      </c>
      <c r="I53" t="n">
        <v>134.334041085653</v>
      </c>
      <c r="J53" t="n">
        <v>132.042628870973</v>
      </c>
      <c r="K53" t="n">
        <v>133.207710890422</v>
      </c>
      <c r="L53" t="n">
        <v>135.310990536061</v>
      </c>
      <c r="M53" t="n">
        <v>138.895387636354</v>
      </c>
      <c r="N53" t="n">
        <v>136.470779872128</v>
      </c>
      <c r="O53" t="n">
        <v>131.94188231</v>
      </c>
      <c r="P53" t="n">
        <v>128.704839073739</v>
      </c>
      <c r="Q53" t="n">
        <v>119.216982347149</v>
      </c>
      <c r="R53" t="n">
        <v>116.750424091691</v>
      </c>
      <c r="S53" t="n">
        <v>114.665595090053</v>
      </c>
      <c r="T53" t="n">
        <v>116.991469229811</v>
      </c>
      <c r="U53" t="n">
        <v>112.398270668825</v>
      </c>
      <c r="V53" t="n">
        <v>109.83729741308</v>
      </c>
      <c r="W53" t="n">
        <v>110.34346007397</v>
      </c>
      <c r="X53" t="n">
        <v>105.659067901018</v>
      </c>
      <c r="Y53" t="n">
        <v>102.551448256871</v>
      </c>
      <c r="Z53" t="n">
        <v>101.461634779114</v>
      </c>
      <c r="AA53" t="n">
        <v>101.751939885778</v>
      </c>
      <c r="AB53" t="n">
        <v>101.751939885778</v>
      </c>
      <c r="AC53" t="n">
        <v>102.769459284636</v>
      </c>
      <c r="AD53" t="n">
        <v>101.685393258427</v>
      </c>
      <c r="AE53" t="n">
        <v>100</v>
      </c>
      <c r="AF53" t="n">
        <v>97.0845481049563</v>
      </c>
    </row>
    <row r="54">
      <c r="A54" t="s">
        <v>74</v>
      </c>
      <c r="B54" t="s">
        <v>378</v>
      </c>
      <c r="C54" t="s">
        <v>246</v>
      </c>
      <c r="D54" t="s">
        <v>379</v>
      </c>
      <c r="E54" t="s">
        <v>247</v>
      </c>
      <c r="F54" t="n">
        <v>139.93932083241</v>
      </c>
      <c r="G54" t="n">
        <v>138.190079322005</v>
      </c>
      <c r="H54" t="n">
        <v>136.356711768811</v>
      </c>
      <c r="I54" t="n">
        <v>133.893782656402</v>
      </c>
      <c r="J54" t="n">
        <v>131.599652423972</v>
      </c>
      <c r="K54" t="n">
        <v>132.701827067388</v>
      </c>
      <c r="L54" t="n">
        <v>134.808205274807</v>
      </c>
      <c r="M54" t="n">
        <v>138.330509925693</v>
      </c>
      <c r="N54" t="n">
        <v>136.022041852479</v>
      </c>
      <c r="O54" t="n">
        <v>131.582153246018</v>
      </c>
      <c r="P54" t="n">
        <v>128.442009481101</v>
      </c>
      <c r="Q54" t="n">
        <v>119.297959137248</v>
      </c>
      <c r="R54" t="n">
        <v>116.746131134312</v>
      </c>
      <c r="S54" t="n">
        <v>114.83226013211</v>
      </c>
      <c r="T54" t="n">
        <v>117.179768005339</v>
      </c>
      <c r="U54" t="n">
        <v>112.512579521485</v>
      </c>
      <c r="V54" t="n">
        <v>109.829716224401</v>
      </c>
      <c r="W54" t="n">
        <v>110.324444675862</v>
      </c>
      <c r="X54" t="n">
        <v>105.583037724383</v>
      </c>
      <c r="Y54" t="n">
        <v>102.417408727356</v>
      </c>
      <c r="Z54" t="n">
        <v>101.304176023798</v>
      </c>
      <c r="AA54" t="n">
        <v>101.626800788205</v>
      </c>
      <c r="AB54" t="n">
        <v>101.626800788205</v>
      </c>
      <c r="AC54" t="n">
        <v>102.652039636005</v>
      </c>
      <c r="AD54" t="n">
        <v>101.581508515815</v>
      </c>
      <c r="AE54" t="n">
        <v>100</v>
      </c>
      <c r="AF54" t="n">
        <v>97.0009372071228</v>
      </c>
    </row>
    <row r="55">
      <c r="A55" t="s">
        <v>74</v>
      </c>
      <c r="B55" t="s">
        <v>380</v>
      </c>
      <c r="C55" t="s">
        <v>246</v>
      </c>
      <c r="D55" t="s">
        <v>381</v>
      </c>
      <c r="E55" t="s">
        <v>247</v>
      </c>
      <c r="F55" t="n">
        <v>139.515858432704</v>
      </c>
      <c r="G55" t="n">
        <v>137.804007408989</v>
      </c>
      <c r="H55" t="n">
        <v>135.581362128199</v>
      </c>
      <c r="I55" t="n">
        <v>133.181692002036</v>
      </c>
      <c r="J55" t="n">
        <v>130.872182892175</v>
      </c>
      <c r="K55" t="n">
        <v>131.890643459429</v>
      </c>
      <c r="L55" t="n">
        <v>134.00089375478</v>
      </c>
      <c r="M55" t="n">
        <v>137.379067546917</v>
      </c>
      <c r="N55" t="n">
        <v>135.198447427125</v>
      </c>
      <c r="O55" t="n">
        <v>130.935433319062</v>
      </c>
      <c r="P55" t="n">
        <v>128.129674033654</v>
      </c>
      <c r="Q55" t="n">
        <v>119.353668962855</v>
      </c>
      <c r="R55" t="n">
        <v>116.711152306851</v>
      </c>
      <c r="S55" t="n">
        <v>115.067333260276</v>
      </c>
      <c r="T55" t="n">
        <v>117.515574393473</v>
      </c>
      <c r="U55" t="n">
        <v>112.72790284411</v>
      </c>
      <c r="V55" t="n">
        <v>109.868861829947</v>
      </c>
      <c r="W55" t="n">
        <v>110.342434510249</v>
      </c>
      <c r="X55" t="n">
        <v>105.484591481496</v>
      </c>
      <c r="Y55" t="n">
        <v>102.205277756682</v>
      </c>
      <c r="Z55" t="n">
        <v>101.041208533941</v>
      </c>
      <c r="AA55" t="n">
        <v>101.404013591514</v>
      </c>
      <c r="AB55" t="n">
        <v>101.404013591514</v>
      </c>
      <c r="AC55" t="n">
        <v>102.44227994228</v>
      </c>
      <c r="AD55" t="n">
        <v>101.388888888889</v>
      </c>
      <c r="AE55" t="n">
        <v>100</v>
      </c>
      <c r="AF55" t="n">
        <v>96.8503937007874</v>
      </c>
    </row>
    <row r="56">
      <c r="A56" t="s">
        <v>74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74</v>
      </c>
      <c r="B57" t="s">
        <v>384</v>
      </c>
      <c r="C57" t="s">
        <v>246</v>
      </c>
      <c r="D57" t="s">
        <v>385</v>
      </c>
      <c r="E57" t="s">
        <v>247</v>
      </c>
      <c r="F57" t="n">
        <v>140.134051271961</v>
      </c>
      <c r="G57" t="n">
        <v>138.333675331213</v>
      </c>
      <c r="H57" t="n">
        <v>136.586800281661</v>
      </c>
      <c r="I57" t="n">
        <v>133.934855433858</v>
      </c>
      <c r="J57" t="n">
        <v>131.554749546303</v>
      </c>
      <c r="K57" t="n">
        <v>132.638283482345</v>
      </c>
      <c r="L57" t="n">
        <v>134.99592679175</v>
      </c>
      <c r="M57" t="n">
        <v>138.340161353102</v>
      </c>
      <c r="N57" t="n">
        <v>136.096720765887</v>
      </c>
      <c r="O57" t="n">
        <v>131.624839144791</v>
      </c>
      <c r="P57" t="n">
        <v>128.382848032851</v>
      </c>
      <c r="Q57" t="n">
        <v>119.239148426666</v>
      </c>
      <c r="R57" t="n">
        <v>116.751600118374</v>
      </c>
      <c r="S57" t="n">
        <v>114.878413428678</v>
      </c>
      <c r="T57" t="n">
        <v>117.169984006357</v>
      </c>
      <c r="U57" t="n">
        <v>112.628533955425</v>
      </c>
      <c r="V57" t="n">
        <v>109.970027750636</v>
      </c>
      <c r="W57" t="n">
        <v>110.518647985085</v>
      </c>
      <c r="X57" t="n">
        <v>105.779644477063</v>
      </c>
      <c r="Y57" t="n">
        <v>102.56703342791</v>
      </c>
      <c r="Z57" t="n">
        <v>101.398174844448</v>
      </c>
      <c r="AA57" t="n">
        <v>101.731605143871</v>
      </c>
      <c r="AB57" t="n">
        <v>101.642050626939</v>
      </c>
      <c r="AC57" t="n">
        <v>102.709277966669</v>
      </c>
      <c r="AD57" t="n">
        <v>101.553761553762</v>
      </c>
      <c r="AE57" t="n">
        <v>100</v>
      </c>
      <c r="AF57" t="n">
        <v>97.003123131105</v>
      </c>
    </row>
    <row r="58">
      <c r="A58" t="s">
        <v>74</v>
      </c>
      <c r="B58" t="s">
        <v>386</v>
      </c>
      <c r="C58" t="s">
        <v>246</v>
      </c>
      <c r="D58" t="s">
        <v>387</v>
      </c>
      <c r="E58" t="s">
        <v>247</v>
      </c>
      <c r="F58" t="n">
        <v>140.134051271961</v>
      </c>
      <c r="G58" t="n">
        <v>138.333675331213</v>
      </c>
      <c r="H58" t="n">
        <v>136.586800281661</v>
      </c>
      <c r="I58" t="n">
        <v>133.934855433858</v>
      </c>
      <c r="J58" t="n">
        <v>131.554749546303</v>
      </c>
      <c r="K58" t="n">
        <v>132.638283482345</v>
      </c>
      <c r="L58" t="n">
        <v>134.99592679175</v>
      </c>
      <c r="M58" t="n">
        <v>138.340161353102</v>
      </c>
      <c r="N58" t="n">
        <v>136.096720765887</v>
      </c>
      <c r="O58" t="n">
        <v>131.624839144791</v>
      </c>
      <c r="P58" t="n">
        <v>128.382848032851</v>
      </c>
      <c r="Q58" t="n">
        <v>119.239148426666</v>
      </c>
      <c r="R58" t="n">
        <v>116.751600118374</v>
      </c>
      <c r="S58" t="n">
        <v>114.878413428678</v>
      </c>
      <c r="T58" t="n">
        <v>117.169984006357</v>
      </c>
      <c r="U58" t="n">
        <v>112.628533955425</v>
      </c>
      <c r="V58" t="n">
        <v>109.970027750636</v>
      </c>
      <c r="W58" t="n">
        <v>110.518647985085</v>
      </c>
      <c r="X58" t="n">
        <v>105.779644477063</v>
      </c>
      <c r="Y58" t="n">
        <v>102.56703342791</v>
      </c>
      <c r="Z58" t="n">
        <v>101.398174844448</v>
      </c>
      <c r="AA58" t="n">
        <v>101.731605143871</v>
      </c>
      <c r="AB58" t="n">
        <v>101.642050626939</v>
      </c>
      <c r="AC58" t="n">
        <v>102.709277966669</v>
      </c>
      <c r="AD58" t="n">
        <v>101.553761553762</v>
      </c>
      <c r="AE58" t="n">
        <v>100</v>
      </c>
      <c r="AF58" t="n">
        <v>97.003123131105</v>
      </c>
    </row>
    <row r="59">
      <c r="A59" t="s">
        <v>74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76</v>
      </c>
      <c r="B2" t="s">
        <v>197</v>
      </c>
      <c r="C2" t="s">
        <v>246</v>
      </c>
      <c r="D2" t="s">
        <v>199</v>
      </c>
      <c r="E2" t="s">
        <v>247</v>
      </c>
      <c r="F2" t="n">
        <v>63.4927807925091</v>
      </c>
      <c r="G2" t="n">
        <v>65.6821870267335</v>
      </c>
      <c r="H2" t="n">
        <v>69.1391442386669</v>
      </c>
      <c r="I2" t="n">
        <v>71.2997424961252</v>
      </c>
      <c r="J2" t="n">
        <v>74.3554457459591</v>
      </c>
      <c r="K2" t="n">
        <v>75.3468516892386</v>
      </c>
      <c r="L2" t="n">
        <v>78.2448075234401</v>
      </c>
      <c r="M2" t="n">
        <v>81.4603475586499</v>
      </c>
      <c r="N2" t="n">
        <v>83.8215170531036</v>
      </c>
      <c r="O2" t="n">
        <v>86.1826865475572</v>
      </c>
      <c r="P2" t="n">
        <v>88.6450490203445</v>
      </c>
      <c r="Q2" t="n">
        <v>89.8269830072825</v>
      </c>
      <c r="R2" t="n">
        <v>92.1010838429099</v>
      </c>
      <c r="S2" t="n">
        <v>94.4036109389826</v>
      </c>
      <c r="T2" t="n">
        <v>95.6968110888317</v>
      </c>
      <c r="U2" t="n">
        <v>98.2487260512005</v>
      </c>
      <c r="V2" t="n">
        <v>99.5764115383789</v>
      </c>
      <c r="W2" t="n">
        <v>98.2123511063464</v>
      </c>
      <c r="X2" t="n">
        <v>96.7992237522982</v>
      </c>
      <c r="Y2" t="n">
        <v>96.7992237522982</v>
      </c>
      <c r="Z2" t="n">
        <v>98.3058264566141</v>
      </c>
      <c r="AA2" t="n">
        <v>98.8372093023256</v>
      </c>
      <c r="AB2" t="n">
        <v>98.8372093023256</v>
      </c>
      <c r="AC2" t="n">
        <v>98.8372093023256</v>
      </c>
      <c r="AD2" t="n">
        <v>98.8372093023256</v>
      </c>
      <c r="AE2" t="n">
        <v>100</v>
      </c>
      <c r="AF2" t="n">
        <v>98.3606557377049</v>
      </c>
    </row>
    <row r="3">
      <c r="A3" t="s">
        <v>76</v>
      </c>
      <c r="B3" t="s">
        <v>276</v>
      </c>
      <c r="C3" t="s">
        <v>246</v>
      </c>
      <c r="D3" t="s">
        <v>277</v>
      </c>
      <c r="E3" t="s">
        <v>247</v>
      </c>
      <c r="F3" t="n">
        <v>61.0009765625</v>
      </c>
      <c r="G3" t="n">
        <v>61.0009765625</v>
      </c>
      <c r="H3" t="n">
        <v>68.6260986328125</v>
      </c>
      <c r="I3" t="n">
        <v>68.6260986328125</v>
      </c>
      <c r="J3" t="n">
        <v>76.251220703125</v>
      </c>
      <c r="K3" t="n">
        <v>76.251220703125</v>
      </c>
      <c r="L3" t="n">
        <v>76.251220703125</v>
      </c>
      <c r="M3" t="n">
        <v>76.251220703125</v>
      </c>
      <c r="N3" t="n">
        <v>76.251220703125</v>
      </c>
      <c r="O3" t="n">
        <v>76.251220703125</v>
      </c>
      <c r="P3" t="n">
        <v>76.251220703125</v>
      </c>
      <c r="Q3" t="n">
        <v>76.251220703125</v>
      </c>
      <c r="R3" t="n">
        <v>83.1831498579545</v>
      </c>
      <c r="S3" t="n">
        <v>85.8664772727273</v>
      </c>
      <c r="T3" t="n">
        <v>85.8664772727273</v>
      </c>
      <c r="U3" t="n">
        <v>94.453125</v>
      </c>
      <c r="V3" t="n">
        <v>94.453125</v>
      </c>
      <c r="W3" t="n">
        <v>94.453125</v>
      </c>
      <c r="X3" t="n">
        <v>94.453125</v>
      </c>
      <c r="Y3" t="n">
        <v>94.453125</v>
      </c>
      <c r="Z3" t="n">
        <v>94.453125</v>
      </c>
      <c r="AA3" t="n">
        <v>97.5</v>
      </c>
      <c r="AB3" t="n">
        <v>97.5</v>
      </c>
      <c r="AC3" t="n">
        <v>97.5</v>
      </c>
      <c r="AD3" t="n">
        <v>97.5</v>
      </c>
      <c r="AE3" t="n">
        <v>100</v>
      </c>
      <c r="AF3" t="n">
        <v>100</v>
      </c>
    </row>
    <row r="4">
      <c r="A4" t="s">
        <v>76</v>
      </c>
      <c r="B4" t="s">
        <v>278</v>
      </c>
      <c r="C4" t="s">
        <v>246</v>
      </c>
      <c r="D4" t="s">
        <v>279</v>
      </c>
      <c r="E4" t="s">
        <v>247</v>
      </c>
      <c r="F4" t="n">
        <v>66.8169073195613</v>
      </c>
      <c r="G4" t="n">
        <v>69.1962786045176</v>
      </c>
      <c r="H4" t="n">
        <v>71.7997724907711</v>
      </c>
      <c r="I4" t="n">
        <v>73.8635957384463</v>
      </c>
      <c r="J4" t="n">
        <v>76.4317870303582</v>
      </c>
      <c r="K4" t="n">
        <v>78.0747406082259</v>
      </c>
      <c r="L4" t="n">
        <v>80.169189888269</v>
      </c>
      <c r="M4" t="n">
        <v>82.5869721779724</v>
      </c>
      <c r="N4" t="n">
        <v>84.3497150392259</v>
      </c>
      <c r="O4" t="n">
        <v>87.0893138518758</v>
      </c>
      <c r="P4" t="n">
        <v>89.2454361498209</v>
      </c>
      <c r="Q4" t="n">
        <v>91.1213255066222</v>
      </c>
      <c r="R4" t="n">
        <v>93.3807732269067</v>
      </c>
      <c r="S4" t="n">
        <v>95.4716580381346</v>
      </c>
      <c r="T4" t="n">
        <v>96.4642721149353</v>
      </c>
      <c r="U4" t="n">
        <v>98.7980453598007</v>
      </c>
      <c r="V4" t="n">
        <v>100.29174674678</v>
      </c>
      <c r="W4" t="n">
        <v>99.078626455509</v>
      </c>
      <c r="X4" t="n">
        <v>97.6183405729702</v>
      </c>
      <c r="Y4" t="n">
        <v>97.8379630557576</v>
      </c>
      <c r="Z4" t="n">
        <v>99.4669034612612</v>
      </c>
      <c r="AA4" t="n">
        <v>99.9292086841462</v>
      </c>
      <c r="AB4" t="n">
        <v>99.7089988767608</v>
      </c>
      <c r="AC4" t="n">
        <v>99.4511719908373</v>
      </c>
      <c r="AD4" t="n">
        <v>99.1656245515488</v>
      </c>
      <c r="AE4" t="n">
        <v>100</v>
      </c>
      <c r="AF4" t="n">
        <v>98.078565992016</v>
      </c>
    </row>
    <row r="5">
      <c r="A5" t="s">
        <v>76</v>
      </c>
      <c r="B5" t="s">
        <v>280</v>
      </c>
      <c r="C5" t="s">
        <v>246</v>
      </c>
      <c r="D5" t="s">
        <v>281</v>
      </c>
      <c r="E5" t="s">
        <v>247</v>
      </c>
      <c r="F5" t="n">
        <v>65.3208015814843</v>
      </c>
      <c r="G5" t="n">
        <v>67.6424272629675</v>
      </c>
      <c r="H5" t="n">
        <v>70.1995667274541</v>
      </c>
      <c r="I5" t="n">
        <v>72.2008131687773</v>
      </c>
      <c r="J5" t="n">
        <v>74.7119110089779</v>
      </c>
      <c r="K5" t="n">
        <v>76.284793346009</v>
      </c>
      <c r="L5" t="n">
        <v>78.0905054355028</v>
      </c>
      <c r="M5" t="n">
        <v>80.2024186539774</v>
      </c>
      <c r="N5" t="n">
        <v>81.8136899674276</v>
      </c>
      <c r="O5" t="n">
        <v>84.4379570760057</v>
      </c>
      <c r="P5" t="n">
        <v>86.371382404557</v>
      </c>
      <c r="Q5" t="n">
        <v>88.1003818703443</v>
      </c>
      <c r="R5" t="n">
        <v>90.2437402918345</v>
      </c>
      <c r="S5" t="n">
        <v>92.1103570361366</v>
      </c>
      <c r="T5" t="n">
        <v>92.7906961525299</v>
      </c>
      <c r="U5" t="n">
        <v>95.0729471023731</v>
      </c>
      <c r="V5" t="n">
        <v>96.5477084328132</v>
      </c>
      <c r="W5" t="n">
        <v>95.392041608207</v>
      </c>
      <c r="X5" t="n">
        <v>94.0031660024057</v>
      </c>
      <c r="Y5" t="n">
        <v>94.4521607162687</v>
      </c>
      <c r="Z5" t="n">
        <v>95.6829986778211</v>
      </c>
      <c r="AA5" t="n">
        <v>97.385276855667</v>
      </c>
      <c r="AB5" t="n">
        <v>97.7038132949808</v>
      </c>
      <c r="AC5" t="n">
        <v>97.7457732749228</v>
      </c>
      <c r="AD5" t="n">
        <v>98.0857933579336</v>
      </c>
      <c r="AE5" t="n">
        <v>100</v>
      </c>
      <c r="AF5" t="n">
        <v>97.6971260132646</v>
      </c>
    </row>
    <row r="6">
      <c r="A6" t="s">
        <v>76</v>
      </c>
      <c r="B6" t="s">
        <v>282</v>
      </c>
      <c r="C6" t="s">
        <v>246</v>
      </c>
      <c r="D6" t="s">
        <v>283</v>
      </c>
      <c r="E6" t="s">
        <v>247</v>
      </c>
      <c r="F6" t="n">
        <v>66.012279109389</v>
      </c>
      <c r="G6" t="n">
        <v>68.3464872603158</v>
      </c>
      <c r="H6" t="n">
        <v>70.9213383996668</v>
      </c>
      <c r="I6" t="n">
        <v>72.9675282750633</v>
      </c>
      <c r="J6" t="n">
        <v>75.5080643622658</v>
      </c>
      <c r="K6" t="n">
        <v>77.0733227445682</v>
      </c>
      <c r="L6" t="n">
        <v>78.8599548236438</v>
      </c>
      <c r="M6" t="n">
        <v>80.9028508248908</v>
      </c>
      <c r="N6" t="n">
        <v>82.529468989624</v>
      </c>
      <c r="O6" t="n">
        <v>85.1887261859834</v>
      </c>
      <c r="P6" t="n">
        <v>87.1401095804193</v>
      </c>
      <c r="Q6" t="n">
        <v>88.8793891804327</v>
      </c>
      <c r="R6" t="n">
        <v>91.0298757732245</v>
      </c>
      <c r="S6" t="n">
        <v>92.8922737772231</v>
      </c>
      <c r="T6" t="n">
        <v>93.5420594288271</v>
      </c>
      <c r="U6" t="n">
        <v>95.8177305288882</v>
      </c>
      <c r="V6" t="n">
        <v>97.2988010295967</v>
      </c>
      <c r="W6" t="n">
        <v>96.152610965112</v>
      </c>
      <c r="X6" t="n">
        <v>94.7246018913727</v>
      </c>
      <c r="Y6" t="n">
        <v>95.0852857634008</v>
      </c>
      <c r="Z6" t="n">
        <v>96.4006448641448</v>
      </c>
      <c r="AA6" t="n">
        <v>97.9714589434043</v>
      </c>
      <c r="AB6" t="n">
        <v>98.4631332955096</v>
      </c>
      <c r="AC6" t="n">
        <v>98.4834475379885</v>
      </c>
      <c r="AD6" t="n">
        <v>98.5717576595255</v>
      </c>
      <c r="AE6" t="n">
        <v>100</v>
      </c>
      <c r="AF6" t="n">
        <v>98.011583011583</v>
      </c>
    </row>
    <row r="7">
      <c r="A7" t="s">
        <v>76</v>
      </c>
      <c r="B7" t="s">
        <v>284</v>
      </c>
      <c r="C7" t="s">
        <v>246</v>
      </c>
      <c r="D7" t="s">
        <v>285</v>
      </c>
      <c r="E7" t="s">
        <v>247</v>
      </c>
      <c r="F7" t="n">
        <v>64.1309061243896</v>
      </c>
      <c r="G7" t="n">
        <v>66.4158552737147</v>
      </c>
      <c r="H7" t="n">
        <v>68.9098384105236</v>
      </c>
      <c r="I7" t="n">
        <v>70.8911892535446</v>
      </c>
      <c r="J7" t="n">
        <v>73.3499839357589</v>
      </c>
      <c r="K7" t="n">
        <v>75.0007174294208</v>
      </c>
      <c r="L7" t="n">
        <v>77.4041334450667</v>
      </c>
      <c r="M7" t="n">
        <v>80.1207900828622</v>
      </c>
      <c r="N7" t="n">
        <v>81.9601600104903</v>
      </c>
      <c r="O7" t="n">
        <v>84.6816613040928</v>
      </c>
      <c r="P7" t="n">
        <v>86.9468086229265</v>
      </c>
      <c r="Q7" t="n">
        <v>88.8783951342806</v>
      </c>
      <c r="R7" t="n">
        <v>91.1391695125047</v>
      </c>
      <c r="S7" t="n">
        <v>93.3985933684002</v>
      </c>
      <c r="T7" t="n">
        <v>94.6892379009598</v>
      </c>
      <c r="U7" t="n">
        <v>96.9758510762771</v>
      </c>
      <c r="V7" t="n">
        <v>98.4091419569642</v>
      </c>
      <c r="W7" t="n">
        <v>97.2104922376346</v>
      </c>
      <c r="X7" t="n">
        <v>95.7865639006326</v>
      </c>
      <c r="Y7" t="n">
        <v>96.2098363880415</v>
      </c>
      <c r="Z7" t="n">
        <v>97.4356760022521</v>
      </c>
      <c r="AA7" t="n">
        <v>98.0932846141908</v>
      </c>
      <c r="AB7" t="n">
        <v>98.2448580645346</v>
      </c>
      <c r="AC7" t="n">
        <v>98.0938515197075</v>
      </c>
      <c r="AD7" t="n">
        <v>98.3407527316876</v>
      </c>
      <c r="AE7" t="n">
        <v>100</v>
      </c>
      <c r="AF7" t="n">
        <v>97.6078431372549</v>
      </c>
    </row>
    <row r="8">
      <c r="A8" t="s">
        <v>76</v>
      </c>
      <c r="B8" t="s">
        <v>286</v>
      </c>
      <c r="C8" t="s">
        <v>246</v>
      </c>
      <c r="D8" t="s">
        <v>287</v>
      </c>
      <c r="E8" t="s">
        <v>247</v>
      </c>
      <c r="F8" t="n">
        <v>69.9915116510719</v>
      </c>
      <c r="G8" t="n">
        <v>72.5236720911386</v>
      </c>
      <c r="H8" t="n">
        <v>75.256976315679</v>
      </c>
      <c r="I8" t="n">
        <v>77.4704167955519</v>
      </c>
      <c r="J8" t="n">
        <v>80.1886770339923</v>
      </c>
      <c r="K8" t="n">
        <v>81.9231112885127</v>
      </c>
      <c r="L8" t="n">
        <v>83.9068996336157</v>
      </c>
      <c r="M8" t="n">
        <v>86.2803792460909</v>
      </c>
      <c r="N8" t="n">
        <v>88.0924065969781</v>
      </c>
      <c r="O8" t="n">
        <v>90.9307060935394</v>
      </c>
      <c r="P8" t="n">
        <v>93.1119524166228</v>
      </c>
      <c r="Q8" t="n">
        <v>95.0531793181915</v>
      </c>
      <c r="R8" t="n">
        <v>97.3470720317527</v>
      </c>
      <c r="S8" t="n">
        <v>99.4314968087424</v>
      </c>
      <c r="T8" t="n">
        <v>100.43126505819</v>
      </c>
      <c r="U8" t="n">
        <v>102.86891712271</v>
      </c>
      <c r="V8" t="n">
        <v>104.250195868527</v>
      </c>
      <c r="W8" t="n">
        <v>102.917073159211</v>
      </c>
      <c r="X8" t="n">
        <v>101.359746068604</v>
      </c>
      <c r="Y8" t="n">
        <v>101.178827289366</v>
      </c>
      <c r="Z8" t="n">
        <v>103.68887498349</v>
      </c>
      <c r="AA8" t="n">
        <v>102.176018221666</v>
      </c>
      <c r="AB8" t="n">
        <v>101.303961167143</v>
      </c>
      <c r="AC8" t="n">
        <v>100.492880613363</v>
      </c>
      <c r="AD8" t="n">
        <v>100</v>
      </c>
      <c r="AE8" t="n">
        <v>100</v>
      </c>
      <c r="AF8" t="n">
        <v>98.9719626168224</v>
      </c>
    </row>
    <row r="9">
      <c r="A9" t="s">
        <v>76</v>
      </c>
      <c r="B9" t="s">
        <v>288</v>
      </c>
      <c r="C9" t="s">
        <v>246</v>
      </c>
      <c r="D9" t="s">
        <v>289</v>
      </c>
      <c r="E9" t="s">
        <v>247</v>
      </c>
      <c r="F9" t="n">
        <v>66.184120835756</v>
      </c>
      <c r="G9" t="n">
        <v>68.5437617166168</v>
      </c>
      <c r="H9" t="n">
        <v>71.1196869954562</v>
      </c>
      <c r="I9" t="n">
        <v>73.1453642532242</v>
      </c>
      <c r="J9" t="n">
        <v>75.6827843822676</v>
      </c>
      <c r="K9" t="n">
        <v>77.3301689334821</v>
      </c>
      <c r="L9" t="n">
        <v>79.6873967756543</v>
      </c>
      <c r="M9" t="n">
        <v>82.4527751240715</v>
      </c>
      <c r="N9" t="n">
        <v>84.3437442649162</v>
      </c>
      <c r="O9" t="n">
        <v>87.1449696203934</v>
      </c>
      <c r="P9" t="n">
        <v>89.5307829097125</v>
      </c>
      <c r="Q9" t="n">
        <v>91.545426989589</v>
      </c>
      <c r="R9" t="n">
        <v>93.8898830466395</v>
      </c>
      <c r="S9" t="n">
        <v>96.2452520850067</v>
      </c>
      <c r="T9" t="n">
        <v>97.645183024425</v>
      </c>
      <c r="U9" t="n">
        <v>99.93374200156</v>
      </c>
      <c r="V9" t="n">
        <v>101.473892142491</v>
      </c>
      <c r="W9" t="n">
        <v>100.18627808895</v>
      </c>
      <c r="X9" t="n">
        <v>98.7215664209833</v>
      </c>
      <c r="Y9" t="n">
        <v>98.5255347164143</v>
      </c>
      <c r="Z9" t="n">
        <v>100.55549422492</v>
      </c>
      <c r="AA9" t="n">
        <v>100.713352143641</v>
      </c>
      <c r="AB9" t="n">
        <v>100.316647654645</v>
      </c>
      <c r="AC9" t="n">
        <v>99.7811495354926</v>
      </c>
      <c r="AD9" t="n">
        <v>99.3201483312732</v>
      </c>
      <c r="AE9" t="n">
        <v>100</v>
      </c>
      <c r="AF9" t="n">
        <v>97.4398361495136</v>
      </c>
    </row>
    <row r="10">
      <c r="A10" t="s">
        <v>76</v>
      </c>
      <c r="B10" t="s">
        <v>290</v>
      </c>
      <c r="C10" t="s">
        <v>246</v>
      </c>
      <c r="D10" t="s">
        <v>291</v>
      </c>
      <c r="E10" t="s">
        <v>247</v>
      </c>
      <c r="F10" t="n">
        <v>67.3353627092233</v>
      </c>
      <c r="G10" t="n">
        <v>69.7440034139217</v>
      </c>
      <c r="H10" t="n">
        <v>72.3588399995761</v>
      </c>
      <c r="I10" t="n">
        <v>74.4427415792617</v>
      </c>
      <c r="J10" t="n">
        <v>77.0391406618378</v>
      </c>
      <c r="K10" t="n">
        <v>78.713904589269</v>
      </c>
      <c r="L10" t="n">
        <v>81.0387878471799</v>
      </c>
      <c r="M10" t="n">
        <v>83.7387764331072</v>
      </c>
      <c r="N10" t="n">
        <v>85.6308943569107</v>
      </c>
      <c r="O10" t="n">
        <v>88.4497444303497</v>
      </c>
      <c r="P10" t="n">
        <v>90.8148399157997</v>
      </c>
      <c r="Q10" t="n">
        <v>92.8120614922144</v>
      </c>
      <c r="R10" t="n">
        <v>95.1627780019039</v>
      </c>
      <c r="S10" t="n">
        <v>97.4406104540771</v>
      </c>
      <c r="T10" t="n">
        <v>98.7591572802487</v>
      </c>
      <c r="U10" t="n">
        <v>101.115615339906</v>
      </c>
      <c r="V10" t="n">
        <v>102.609814113098</v>
      </c>
      <c r="W10" t="n">
        <v>101.343286886851</v>
      </c>
      <c r="X10" t="n">
        <v>99.8461928319929</v>
      </c>
      <c r="Y10" t="n">
        <v>99.7624432993373</v>
      </c>
      <c r="Z10" t="n">
        <v>101.806542675847</v>
      </c>
      <c r="AA10" t="n">
        <v>101.158336224353</v>
      </c>
      <c r="AB10" t="n">
        <v>100.820337010238</v>
      </c>
      <c r="AC10" t="n">
        <v>100.316613118106</v>
      </c>
      <c r="AD10" t="n">
        <v>99.6648385131018</v>
      </c>
      <c r="AE10" t="n">
        <v>100</v>
      </c>
      <c r="AF10" t="n">
        <v>97.4701948240768</v>
      </c>
    </row>
    <row r="11">
      <c r="A11" t="s">
        <v>76</v>
      </c>
      <c r="B11" t="s">
        <v>292</v>
      </c>
      <c r="C11" t="s">
        <v>246</v>
      </c>
      <c r="D11" t="s">
        <v>293</v>
      </c>
      <c r="E11" t="s">
        <v>247</v>
      </c>
      <c r="F11" t="n">
        <v>68.6323276212214</v>
      </c>
      <c r="G11" t="n">
        <v>71.0972915005751</v>
      </c>
      <c r="H11" t="n">
        <v>73.7551341734938</v>
      </c>
      <c r="I11" t="n">
        <v>75.9078855516541</v>
      </c>
      <c r="J11" t="n">
        <v>78.5728283060157</v>
      </c>
      <c r="K11" t="n">
        <v>80.2782850444409</v>
      </c>
      <c r="L11" t="n">
        <v>82.5655224978322</v>
      </c>
      <c r="M11" t="n">
        <v>85.1409608142784</v>
      </c>
      <c r="N11" t="n">
        <v>87.0352783081236</v>
      </c>
      <c r="O11" t="n">
        <v>89.8665463976649</v>
      </c>
      <c r="P11" t="n">
        <v>92.1941069802956</v>
      </c>
      <c r="Q11" t="n">
        <v>94.1580715233937</v>
      </c>
      <c r="R11" t="n">
        <v>96.5108699789024</v>
      </c>
      <c r="S11" t="n">
        <v>98.7042988420593</v>
      </c>
      <c r="T11" t="n">
        <v>99.9135398692208</v>
      </c>
      <c r="U11" t="n">
        <v>102.349164052572</v>
      </c>
      <c r="V11" t="n">
        <v>103.782162579964</v>
      </c>
      <c r="W11" t="n">
        <v>102.527328466266</v>
      </c>
      <c r="X11" t="n">
        <v>100.994455123114</v>
      </c>
      <c r="Y11" t="n">
        <v>100.994455123114</v>
      </c>
      <c r="Z11" t="n">
        <v>103.05353312957</v>
      </c>
      <c r="AA11" t="n">
        <v>101.65094206262</v>
      </c>
      <c r="AB11" t="n">
        <v>101.368447550172</v>
      </c>
      <c r="AC11" t="n">
        <v>100.887198986058</v>
      </c>
      <c r="AD11" t="n">
        <v>100</v>
      </c>
      <c r="AE11" t="n">
        <v>100</v>
      </c>
      <c r="AF11" t="n">
        <v>97.5100942126514</v>
      </c>
    </row>
    <row r="12">
      <c r="A12" t="s">
        <v>76</v>
      </c>
      <c r="B12" t="s">
        <v>294</v>
      </c>
      <c r="C12" t="s">
        <v>246</v>
      </c>
      <c r="D12" t="s">
        <v>295</v>
      </c>
      <c r="E12" t="s">
        <v>247</v>
      </c>
      <c r="F12" t="n">
        <v>68.0425815793626</v>
      </c>
      <c r="G12" t="n">
        <v>70.4528847542015</v>
      </c>
      <c r="H12" t="n">
        <v>73.120236769587</v>
      </c>
      <c r="I12" t="n">
        <v>75.2171672095342</v>
      </c>
      <c r="J12" t="n">
        <v>77.8386074746007</v>
      </c>
      <c r="K12" t="n">
        <v>79.47228829018</v>
      </c>
      <c r="L12" t="n">
        <v>81.3499560584063</v>
      </c>
      <c r="M12" t="n">
        <v>83.5616795876068</v>
      </c>
      <c r="N12" t="n">
        <v>85.2664677398152</v>
      </c>
      <c r="O12" t="n">
        <v>88.0092679200778</v>
      </c>
      <c r="P12" t="n">
        <v>90.0524491226576</v>
      </c>
      <c r="Q12" t="n">
        <v>91.8499620141766</v>
      </c>
      <c r="R12" t="n">
        <v>94.0723570820912</v>
      </c>
      <c r="S12" t="n">
        <v>96.00923912354</v>
      </c>
      <c r="T12" t="n">
        <v>96.6789464276941</v>
      </c>
      <c r="U12" t="n">
        <v>99.0237716209031</v>
      </c>
      <c r="V12" t="n">
        <v>100.567081038659</v>
      </c>
      <c r="W12" t="n">
        <v>99.3753107072984</v>
      </c>
      <c r="X12" t="n">
        <v>97.9298516424649</v>
      </c>
      <c r="Y12" t="n">
        <v>98.2824632195736</v>
      </c>
      <c r="Z12" t="n">
        <v>99.7765305156147</v>
      </c>
      <c r="AA12" t="n">
        <v>99.9905120455195</v>
      </c>
      <c r="AB12" t="n">
        <v>99.8568348903785</v>
      </c>
      <c r="AC12" t="n">
        <v>99.7443518322085</v>
      </c>
      <c r="AD12" t="n">
        <v>99.5577830188679</v>
      </c>
      <c r="AE12" t="n">
        <v>100</v>
      </c>
      <c r="AF12" t="n">
        <v>97.029702970297</v>
      </c>
    </row>
    <row r="13">
      <c r="A13" t="s">
        <v>76</v>
      </c>
      <c r="B13" t="s">
        <v>296</v>
      </c>
      <c r="C13" t="s">
        <v>246</v>
      </c>
      <c r="D13" t="s">
        <v>297</v>
      </c>
      <c r="E13" t="s">
        <v>247</v>
      </c>
      <c r="F13" t="n">
        <v>66.4386647812109</v>
      </c>
      <c r="G13" t="n">
        <v>68.807347612541</v>
      </c>
      <c r="H13" t="n">
        <v>71.4084523066949</v>
      </c>
      <c r="I13" t="n">
        <v>73.4715283624063</v>
      </c>
      <c r="J13" t="n">
        <v>76.0183539929463</v>
      </c>
      <c r="K13" t="n">
        <v>77.6419343985928</v>
      </c>
      <c r="L13" t="n">
        <v>79.6158818833028</v>
      </c>
      <c r="M13" t="n">
        <v>81.8962869683787</v>
      </c>
      <c r="N13" t="n">
        <v>83.6050023447681</v>
      </c>
      <c r="O13" t="n">
        <v>86.2999769719746</v>
      </c>
      <c r="P13" t="n">
        <v>88.3446841266029</v>
      </c>
      <c r="Q13" t="n">
        <v>90.1514957401316</v>
      </c>
      <c r="R13" t="n">
        <v>92.3692447128285</v>
      </c>
      <c r="S13" t="n">
        <v>94.3285923279491</v>
      </c>
      <c r="T13" t="n">
        <v>95.149419683578</v>
      </c>
      <c r="U13" t="n">
        <v>97.4614223708308</v>
      </c>
      <c r="V13" t="n">
        <v>98.9341141387257</v>
      </c>
      <c r="W13" t="n">
        <v>97.743481700802</v>
      </c>
      <c r="X13" t="n">
        <v>96.300934788402</v>
      </c>
      <c r="Y13" t="n">
        <v>96.589855650321</v>
      </c>
      <c r="Z13" t="n">
        <v>98.0481554280798</v>
      </c>
      <c r="AA13" t="n">
        <v>98.7794773159215</v>
      </c>
      <c r="AB13" t="n">
        <v>98.7607513486578</v>
      </c>
      <c r="AC13" t="n">
        <v>98.6528161012822</v>
      </c>
      <c r="AD13" t="n">
        <v>98.6528161012823</v>
      </c>
      <c r="AE13" t="n">
        <v>100</v>
      </c>
      <c r="AF13" t="n">
        <v>97.3925209870262</v>
      </c>
    </row>
    <row r="14">
      <c r="A14" t="s">
        <v>76</v>
      </c>
      <c r="B14" t="s">
        <v>298</v>
      </c>
      <c r="C14" t="s">
        <v>246</v>
      </c>
      <c r="D14" t="s">
        <v>299</v>
      </c>
      <c r="E14" t="s">
        <v>247</v>
      </c>
      <c r="F14" t="n">
        <v>66.7482616191933</v>
      </c>
      <c r="G14" t="n">
        <v>69.0881453290912</v>
      </c>
      <c r="H14" t="n">
        <v>71.6512805689563</v>
      </c>
      <c r="I14" t="n">
        <v>73.7170989768625</v>
      </c>
      <c r="J14" t="n">
        <v>76.3318937563965</v>
      </c>
      <c r="K14" t="n">
        <v>78.0171433588105</v>
      </c>
      <c r="L14" t="n">
        <v>80.8101198513693</v>
      </c>
      <c r="M14" t="n">
        <v>83.9651749085386</v>
      </c>
      <c r="N14" t="n">
        <v>85.9421942623408</v>
      </c>
      <c r="O14" t="n">
        <v>88.7814535391144</v>
      </c>
      <c r="P14" t="n">
        <v>91.3389439702823</v>
      </c>
      <c r="Q14" t="n">
        <v>93.5547135005587</v>
      </c>
      <c r="R14" t="n">
        <v>96.0422954780302</v>
      </c>
      <c r="S14" t="n">
        <v>98.6751593588344</v>
      </c>
      <c r="T14" t="n">
        <v>100.534256564146</v>
      </c>
      <c r="U14" t="n">
        <v>102.967569780348</v>
      </c>
      <c r="V14" t="n">
        <v>104.427161620018</v>
      </c>
      <c r="W14" t="n">
        <v>103.07347619161</v>
      </c>
      <c r="X14" t="n">
        <v>101.452524207098</v>
      </c>
      <c r="Y14" t="n">
        <v>101.215762190279</v>
      </c>
      <c r="Z14" t="n">
        <v>103.698688535495</v>
      </c>
      <c r="AA14" t="n">
        <v>101.549492918179</v>
      </c>
      <c r="AB14" t="n">
        <v>99.6840052950943</v>
      </c>
      <c r="AC14" t="n">
        <v>99.4623621482459</v>
      </c>
      <c r="AD14" t="n">
        <v>99.0944372574386</v>
      </c>
      <c r="AE14" t="n">
        <v>100</v>
      </c>
      <c r="AF14" t="n">
        <v>97.751660705161</v>
      </c>
    </row>
    <row r="15">
      <c r="A15" t="s">
        <v>76</v>
      </c>
      <c r="B15" t="s">
        <v>300</v>
      </c>
      <c r="C15" t="s">
        <v>246</v>
      </c>
      <c r="D15" t="s">
        <v>301</v>
      </c>
      <c r="E15" t="s">
        <v>247</v>
      </c>
      <c r="F15" t="n">
        <v>66.5663729455938</v>
      </c>
      <c r="G15" t="n">
        <v>68.9236981257919</v>
      </c>
      <c r="H15" t="n">
        <v>71.5015529769534</v>
      </c>
      <c r="I15" t="n">
        <v>73.5394227134535</v>
      </c>
      <c r="J15" t="n">
        <v>76.0954804544504</v>
      </c>
      <c r="K15" t="n">
        <v>77.7576342937285</v>
      </c>
      <c r="L15" t="n">
        <v>80.0490794348735</v>
      </c>
      <c r="M15" t="n">
        <v>82.6818047140649</v>
      </c>
      <c r="N15" t="n">
        <v>84.5027730321722</v>
      </c>
      <c r="O15" t="n">
        <v>87.2617255099018</v>
      </c>
      <c r="P15" t="n">
        <v>89.5370488671014</v>
      </c>
      <c r="Q15" t="n">
        <v>91.4841111288899</v>
      </c>
      <c r="R15" t="n">
        <v>93.8112931530844</v>
      </c>
      <c r="S15" t="n">
        <v>96.0327364041237</v>
      </c>
      <c r="T15" t="n">
        <v>97.1974754751258</v>
      </c>
      <c r="U15" t="n">
        <v>99.5499527445946</v>
      </c>
      <c r="V15" t="n">
        <v>101.044248042472</v>
      </c>
      <c r="W15" t="n">
        <v>99.7788802447501</v>
      </c>
      <c r="X15" t="n">
        <v>98.2782330674028</v>
      </c>
      <c r="Y15" t="n">
        <v>98.4467100383755</v>
      </c>
      <c r="Z15" t="n">
        <v>100.304910651581</v>
      </c>
      <c r="AA15" t="n">
        <v>100.079843537179</v>
      </c>
      <c r="AB15" t="n">
        <v>99.2346790500475</v>
      </c>
      <c r="AC15" t="n">
        <v>99.0362096919474</v>
      </c>
      <c r="AD15" t="n">
        <v>98.9461358313817</v>
      </c>
      <c r="AE15" t="n">
        <v>100</v>
      </c>
      <c r="AF15" t="n">
        <v>97.5975261655566</v>
      </c>
    </row>
    <row r="16">
      <c r="A16" t="s">
        <v>76</v>
      </c>
      <c r="B16" t="s">
        <v>302</v>
      </c>
      <c r="C16" t="s">
        <v>246</v>
      </c>
      <c r="D16" t="s">
        <v>303</v>
      </c>
      <c r="E16" t="s">
        <v>247</v>
      </c>
      <c r="F16" t="n">
        <v>66.1060135051057</v>
      </c>
      <c r="G16" t="n">
        <v>68.4540413071996</v>
      </c>
      <c r="H16" t="n">
        <v>71.0206283721331</v>
      </c>
      <c r="I16" t="n">
        <v>73.037705311699</v>
      </c>
      <c r="J16" t="n">
        <v>75.5604392030311</v>
      </c>
      <c r="K16" t="n">
        <v>77.2045783893933</v>
      </c>
      <c r="L16" t="n">
        <v>79.3543998806524</v>
      </c>
      <c r="M16" t="n">
        <v>81.8140480753259</v>
      </c>
      <c r="N16" t="n">
        <v>83.5818269761195</v>
      </c>
      <c r="O16" t="n">
        <v>86.3002149263514</v>
      </c>
      <c r="P16" t="n">
        <v>88.468973291025</v>
      </c>
      <c r="Q16" t="n">
        <v>90.3262145551079</v>
      </c>
      <c r="R16" t="n">
        <v>92.5902835319849</v>
      </c>
      <c r="S16" t="n">
        <v>94.6805051002555</v>
      </c>
      <c r="T16" t="n">
        <v>95.6607097159406</v>
      </c>
      <c r="U16" t="n">
        <v>97.9759708423733</v>
      </c>
      <c r="V16" t="n">
        <v>99.4714944677559</v>
      </c>
      <c r="W16" t="n">
        <v>98.2473694218902</v>
      </c>
      <c r="X16" t="n">
        <v>96.7995981164509</v>
      </c>
      <c r="Y16" t="n">
        <v>97.0925972783623</v>
      </c>
      <c r="Z16" t="n">
        <v>98.7252631285502</v>
      </c>
      <c r="AA16" t="n">
        <v>99.0080085122119</v>
      </c>
      <c r="AB16" t="n">
        <v>98.9355282717198</v>
      </c>
      <c r="AC16" t="n">
        <v>98.7523821623682</v>
      </c>
      <c r="AD16" t="n">
        <v>98.8235294117647</v>
      </c>
      <c r="AE16" t="n">
        <v>100</v>
      </c>
      <c r="AF16" t="n">
        <v>97.4632843791723</v>
      </c>
    </row>
    <row r="17">
      <c r="A17" t="s">
        <v>76</v>
      </c>
      <c r="B17" t="s">
        <v>304</v>
      </c>
      <c r="C17" t="s">
        <v>246</v>
      </c>
      <c r="D17" t="s">
        <v>305</v>
      </c>
      <c r="E17" t="s">
        <v>247</v>
      </c>
      <c r="F17" t="n">
        <v>68.540328416388</v>
      </c>
      <c r="G17" t="n">
        <v>70.9866644963718</v>
      </c>
      <c r="H17" t="n">
        <v>73.6610565332601</v>
      </c>
      <c r="I17" t="n">
        <v>75.7799024910696</v>
      </c>
      <c r="J17" t="n">
        <v>78.417300797746</v>
      </c>
      <c r="K17" t="n">
        <v>80.1039028173762</v>
      </c>
      <c r="L17" t="n">
        <v>82.2737197506429</v>
      </c>
      <c r="M17" t="n">
        <v>84.7848378492566</v>
      </c>
      <c r="N17" t="n">
        <v>86.5887705694536</v>
      </c>
      <c r="O17" t="n">
        <v>89.3923347970208</v>
      </c>
      <c r="P17" t="n">
        <v>91.6390247000875</v>
      </c>
      <c r="Q17" t="n">
        <v>93.585340268939</v>
      </c>
      <c r="R17" t="n">
        <v>95.9063618104709</v>
      </c>
      <c r="S17" t="n">
        <v>98.0954109726986</v>
      </c>
      <c r="T17" t="n">
        <v>99.2020275417063</v>
      </c>
      <c r="U17" t="n">
        <v>101.587838689895</v>
      </c>
      <c r="V17" t="n">
        <v>103.130819091359</v>
      </c>
      <c r="W17" t="n">
        <v>101.905906690406</v>
      </c>
      <c r="X17" t="n">
        <v>100.408000996995</v>
      </c>
      <c r="Y17" t="n">
        <v>100.609800772897</v>
      </c>
      <c r="Z17" t="n">
        <v>102.40665503534</v>
      </c>
      <c r="AA17" t="n">
        <v>102.114024778742</v>
      </c>
      <c r="AB17" t="n">
        <v>101.454799312126</v>
      </c>
      <c r="AC17" t="n">
        <v>100.937226676385</v>
      </c>
      <c r="AD17" t="n">
        <v>99.8231292517007</v>
      </c>
      <c r="AE17" t="n">
        <v>100</v>
      </c>
      <c r="AF17" t="n">
        <v>97.683028782993</v>
      </c>
    </row>
    <row r="18">
      <c r="A18" t="s">
        <v>76</v>
      </c>
      <c r="B18" t="s">
        <v>306</v>
      </c>
      <c r="C18" t="s">
        <v>246</v>
      </c>
      <c r="D18" t="s">
        <v>307</v>
      </c>
      <c r="E18" t="s">
        <v>247</v>
      </c>
      <c r="F18" t="n">
        <v>67.3974235093533</v>
      </c>
      <c r="G18" t="n">
        <v>69.7947292038734</v>
      </c>
      <c r="H18" t="n">
        <v>72.4083190634227</v>
      </c>
      <c r="I18" t="n">
        <v>74.4899749702598</v>
      </c>
      <c r="J18" t="n">
        <v>77.0663985027671</v>
      </c>
      <c r="K18" t="n">
        <v>78.7214902504197</v>
      </c>
      <c r="L18" t="n">
        <v>80.8157181629479</v>
      </c>
      <c r="M18" t="n">
        <v>83.2033799223784</v>
      </c>
      <c r="N18" t="n">
        <v>84.9540992873764</v>
      </c>
      <c r="O18" t="n">
        <v>87.7096983752658</v>
      </c>
      <c r="P18" t="n">
        <v>89.8803467352689</v>
      </c>
      <c r="Q18" t="n">
        <v>91.7725645612745</v>
      </c>
      <c r="R18" t="n">
        <v>94.0373166458834</v>
      </c>
      <c r="S18" t="n">
        <v>96.1299941354742</v>
      </c>
      <c r="T18" t="n">
        <v>97.1135218020945</v>
      </c>
      <c r="U18" t="n">
        <v>99.4576412938692</v>
      </c>
      <c r="V18" t="n">
        <v>100.964575252867</v>
      </c>
      <c r="W18" t="n">
        <v>99.746840042297</v>
      </c>
      <c r="X18" t="n">
        <v>98.2875398880102</v>
      </c>
      <c r="Y18" t="n">
        <v>98.4589563112117</v>
      </c>
      <c r="Z18" t="n">
        <v>100.037456612794</v>
      </c>
      <c r="AA18" t="n">
        <v>100.597085565723</v>
      </c>
      <c r="AB18" t="n">
        <v>100.276976984666</v>
      </c>
      <c r="AC18" t="n">
        <v>99.9306868111885</v>
      </c>
      <c r="AD18" t="n">
        <v>99.4776431257835</v>
      </c>
      <c r="AE18" t="n">
        <v>100</v>
      </c>
      <c r="AF18" t="n">
        <v>99.2458441765362</v>
      </c>
    </row>
    <row r="19">
      <c r="A19" t="s">
        <v>76</v>
      </c>
      <c r="B19" t="s">
        <v>308</v>
      </c>
      <c r="C19" t="s">
        <v>246</v>
      </c>
      <c r="D19" t="s">
        <v>309</v>
      </c>
      <c r="E19" t="s">
        <v>247</v>
      </c>
      <c r="F19" t="n">
        <v>65.7843014765434</v>
      </c>
      <c r="G19" t="n">
        <v>68.1374349020015</v>
      </c>
      <c r="H19" t="n">
        <v>70.6968326100874</v>
      </c>
      <c r="I19" t="n">
        <v>72.7167421132328</v>
      </c>
      <c r="J19" t="n">
        <v>75.2490503849076</v>
      </c>
      <c r="K19" t="n">
        <v>76.8813060083035</v>
      </c>
      <c r="L19" t="n">
        <v>79.0953864062387</v>
      </c>
      <c r="M19" t="n">
        <v>81.6595183837775</v>
      </c>
      <c r="N19" t="n">
        <v>83.4494485853176</v>
      </c>
      <c r="O19" t="n">
        <v>86.178176095539</v>
      </c>
      <c r="P19" t="n">
        <v>88.3972360406328</v>
      </c>
      <c r="Q19" t="n">
        <v>90.3125538242396</v>
      </c>
      <c r="R19" t="n">
        <v>92.5895488781804</v>
      </c>
      <c r="S19" t="n">
        <v>94.7934220299978</v>
      </c>
      <c r="T19" t="n">
        <v>95.9715429538888</v>
      </c>
      <c r="U19" t="n">
        <v>98.2891565893769</v>
      </c>
      <c r="V19" t="n">
        <v>99.8026407891541</v>
      </c>
      <c r="W19" t="n">
        <v>98.5926752574905</v>
      </c>
      <c r="X19" t="n">
        <v>97.1361189913753</v>
      </c>
      <c r="Y19" t="n">
        <v>97.4444876230939</v>
      </c>
      <c r="Z19" t="n">
        <v>99.0524824683595</v>
      </c>
      <c r="AA19" t="n">
        <v>100.228567352548</v>
      </c>
      <c r="AB19" t="n">
        <v>100.19664742664</v>
      </c>
      <c r="AC19" t="n">
        <v>99.9610753715617</v>
      </c>
      <c r="AD19" t="n">
        <v>99.5883470550982</v>
      </c>
      <c r="AE19" t="n">
        <v>100</v>
      </c>
      <c r="AF19" t="n">
        <v>97.3739495798319</v>
      </c>
    </row>
    <row r="20">
      <c r="A20" t="s">
        <v>76</v>
      </c>
      <c r="B20" t="s">
        <v>310</v>
      </c>
      <c r="C20" t="s">
        <v>246</v>
      </c>
      <c r="D20" t="s">
        <v>311</v>
      </c>
      <c r="E20" t="s">
        <v>247</v>
      </c>
      <c r="F20" t="n">
        <v>66.8843873566</v>
      </c>
      <c r="G20" t="n">
        <v>69.2715268743151</v>
      </c>
      <c r="H20" t="n">
        <v>71.8803349311679</v>
      </c>
      <c r="I20" t="n">
        <v>73.937350010471</v>
      </c>
      <c r="J20" t="n">
        <v>76.5135642965502</v>
      </c>
      <c r="K20" t="n">
        <v>78.1236393000457</v>
      </c>
      <c r="L20" t="n">
        <v>79.9644634588491</v>
      </c>
      <c r="M20" t="n">
        <v>82.100450048017</v>
      </c>
      <c r="N20" t="n">
        <v>83.7664391958015</v>
      </c>
      <c r="O20" t="n">
        <v>86.4605962283508</v>
      </c>
      <c r="P20" t="n">
        <v>88.4150145172123</v>
      </c>
      <c r="Q20" t="n">
        <v>90.1751364631613</v>
      </c>
      <c r="R20" t="n">
        <v>92.3615789821849</v>
      </c>
      <c r="S20" t="n">
        <v>94.2041139041843</v>
      </c>
      <c r="T20" t="n">
        <v>94.8097195038438</v>
      </c>
      <c r="U20" t="n">
        <v>97.1292729493613</v>
      </c>
      <c r="V20" t="n">
        <v>98.639230205692</v>
      </c>
      <c r="W20" t="n">
        <v>97.4705636143003</v>
      </c>
      <c r="X20" t="n">
        <v>96.056591884612</v>
      </c>
      <c r="Y20" t="n">
        <v>96.4709079569004</v>
      </c>
      <c r="Z20" t="n">
        <v>97.7840328383464</v>
      </c>
      <c r="AA20" t="n">
        <v>99.063542075285</v>
      </c>
      <c r="AB20" t="n">
        <v>99.2150308234886</v>
      </c>
      <c r="AC20" t="n">
        <v>99.104351231606</v>
      </c>
      <c r="AD20" t="n">
        <v>99.0076726342711</v>
      </c>
      <c r="AE20" t="n">
        <v>100</v>
      </c>
      <c r="AF20" t="n">
        <v>98.1974844013073</v>
      </c>
    </row>
    <row r="21">
      <c r="A21" t="s">
        <v>76</v>
      </c>
      <c r="B21" t="s">
        <v>312</v>
      </c>
      <c r="C21" t="s">
        <v>246</v>
      </c>
      <c r="D21" t="s">
        <v>313</v>
      </c>
      <c r="E21" t="s">
        <v>247</v>
      </c>
      <c r="F21" t="n">
        <v>66.6074424890358</v>
      </c>
      <c r="G21" t="n">
        <v>68.9792981988782</v>
      </c>
      <c r="H21" t="n">
        <v>71.5830463887313</v>
      </c>
      <c r="I21" t="n">
        <v>73.6424792709468</v>
      </c>
      <c r="J21" t="n">
        <v>76.208373932492</v>
      </c>
      <c r="K21" t="n">
        <v>77.8095136315363</v>
      </c>
      <c r="L21" t="n">
        <v>79.6402040360002</v>
      </c>
      <c r="M21" t="n">
        <v>81.7769710042035</v>
      </c>
      <c r="N21" t="n">
        <v>83.4349882418721</v>
      </c>
      <c r="O21" t="n">
        <v>86.1146704637537</v>
      </c>
      <c r="P21" t="n">
        <v>88.0654882412497</v>
      </c>
      <c r="Q21" t="n">
        <v>89.8235203191498</v>
      </c>
      <c r="R21" t="n">
        <v>92.0035068797044</v>
      </c>
      <c r="S21" t="n">
        <v>93.8389498501462</v>
      </c>
      <c r="T21" t="n">
        <v>94.4493632565023</v>
      </c>
      <c r="U21" t="n">
        <v>96.7588097498815</v>
      </c>
      <c r="V21" t="n">
        <v>98.2674620968748</v>
      </c>
      <c r="W21" t="n">
        <v>97.1026707793722</v>
      </c>
      <c r="X21" t="n">
        <v>95.6866115415456</v>
      </c>
      <c r="Y21" t="n">
        <v>96.1030116587203</v>
      </c>
      <c r="Z21" t="n">
        <v>97.3825045280628</v>
      </c>
      <c r="AA21" t="n">
        <v>98.6870464912806</v>
      </c>
      <c r="AB21" t="n">
        <v>98.9106576238137</v>
      </c>
      <c r="AC21" t="n">
        <v>98.8517003472646</v>
      </c>
      <c r="AD21" t="n">
        <v>98.864650068932</v>
      </c>
      <c r="AE21" t="n">
        <v>100</v>
      </c>
      <c r="AF21" t="n">
        <v>98.3991210860865</v>
      </c>
    </row>
    <row r="22">
      <c r="A22" t="s">
        <v>76</v>
      </c>
      <c r="B22" t="s">
        <v>314</v>
      </c>
      <c r="C22" t="s">
        <v>246</v>
      </c>
      <c r="D22" t="s">
        <v>315</v>
      </c>
      <c r="E22" t="s">
        <v>247</v>
      </c>
      <c r="F22" t="n">
        <v>65.6740445525397</v>
      </c>
      <c r="G22" t="n">
        <v>67.9726361118785</v>
      </c>
      <c r="H22" t="n">
        <v>70.5789488462297</v>
      </c>
      <c r="I22" t="n">
        <v>72.6795127999866</v>
      </c>
      <c r="J22" t="n">
        <v>75.2115732459216</v>
      </c>
      <c r="K22" t="n">
        <v>76.7784810218783</v>
      </c>
      <c r="L22" t="n">
        <v>78.5640270921545</v>
      </c>
      <c r="M22" t="n">
        <v>80.7391108986926</v>
      </c>
      <c r="N22" t="n">
        <v>82.365372611107</v>
      </c>
      <c r="O22" t="n">
        <v>84.9860890123695</v>
      </c>
      <c r="P22" t="n">
        <v>86.9384721383293</v>
      </c>
      <c r="Q22" t="n">
        <v>88.6994859662912</v>
      </c>
      <c r="R22" t="n">
        <v>90.8652891752351</v>
      </c>
      <c r="S22" t="n">
        <v>92.6783289827221</v>
      </c>
      <c r="T22" t="n">
        <v>93.3443950021051</v>
      </c>
      <c r="U22" t="n">
        <v>95.6185663089117</v>
      </c>
      <c r="V22" t="n">
        <v>97.1380440936163</v>
      </c>
      <c r="W22" t="n">
        <v>95.9839287182466</v>
      </c>
      <c r="X22" t="n">
        <v>94.5296267679701</v>
      </c>
      <c r="Y22" t="n">
        <v>94.9584714778702</v>
      </c>
      <c r="Z22" t="n">
        <v>96.1031763395212</v>
      </c>
      <c r="AA22" t="n">
        <v>97.5045273375649</v>
      </c>
      <c r="AB22" t="n">
        <v>97.9308076960794</v>
      </c>
      <c r="AC22" t="n">
        <v>97.9984706217101</v>
      </c>
      <c r="AD22" t="n">
        <v>98.3176838810642</v>
      </c>
      <c r="AE22" t="n">
        <v>100</v>
      </c>
      <c r="AF22" t="n">
        <v>99.1685563114134</v>
      </c>
    </row>
    <row r="23">
      <c r="A23" t="s">
        <v>76</v>
      </c>
      <c r="B23" t="s">
        <v>316</v>
      </c>
      <c r="C23" t="s">
        <v>246</v>
      </c>
      <c r="D23" t="s">
        <v>317</v>
      </c>
      <c r="E23" t="s">
        <v>247</v>
      </c>
      <c r="F23" t="n">
        <v>66.8724288545447</v>
      </c>
      <c r="G23" t="n">
        <v>69.2391074065985</v>
      </c>
      <c r="H23" t="n">
        <v>71.8934614425774</v>
      </c>
      <c r="I23" t="n">
        <v>73.9599905914564</v>
      </c>
      <c r="J23" t="n">
        <v>76.5412153343206</v>
      </c>
      <c r="K23" t="n">
        <v>78.1221948533343</v>
      </c>
      <c r="L23" t="n">
        <v>80.018155456504</v>
      </c>
      <c r="M23" t="n">
        <v>82.2319142241768</v>
      </c>
      <c r="N23" t="n">
        <v>83.9176421262739</v>
      </c>
      <c r="O23" t="n">
        <v>86.5709205170311</v>
      </c>
      <c r="P23" t="n">
        <v>88.5589792345412</v>
      </c>
      <c r="Q23" t="n">
        <v>90.3558280885754</v>
      </c>
      <c r="R23" t="n">
        <v>92.5355781056462</v>
      </c>
      <c r="S23" t="n">
        <v>94.4787582396532</v>
      </c>
      <c r="T23" t="n">
        <v>95.1847016387042</v>
      </c>
      <c r="U23" t="n">
        <v>97.4856040956195</v>
      </c>
      <c r="V23" t="n">
        <v>99.0078256299688</v>
      </c>
      <c r="W23" t="n">
        <v>97.8582427489241</v>
      </c>
      <c r="X23" t="n">
        <v>96.4439116424359</v>
      </c>
      <c r="Y23" t="n">
        <v>97.0003188249884</v>
      </c>
      <c r="Z23" t="n">
        <v>98.1423387670044</v>
      </c>
      <c r="AA23" t="n">
        <v>99.571596127689</v>
      </c>
      <c r="AB23" t="n">
        <v>99.8756831195957</v>
      </c>
      <c r="AC23" t="n">
        <v>99.5617496746756</v>
      </c>
      <c r="AD23" t="n">
        <v>98.797848782031</v>
      </c>
      <c r="AE23" t="n">
        <v>100</v>
      </c>
      <c r="AF23" t="n">
        <v>98.8632449190493</v>
      </c>
    </row>
    <row r="24">
      <c r="A24" t="s">
        <v>76</v>
      </c>
      <c r="B24" t="s">
        <v>318</v>
      </c>
      <c r="C24" t="s">
        <v>246</v>
      </c>
      <c r="D24" t="s">
        <v>319</v>
      </c>
      <c r="E24" t="s">
        <v>247</v>
      </c>
      <c r="F24" t="n">
        <v>65.6086338378776</v>
      </c>
      <c r="G24" t="n">
        <v>67.9495123253152</v>
      </c>
      <c r="H24" t="n">
        <v>70.5063680550254</v>
      </c>
      <c r="I24" t="n">
        <v>72.5299238285378</v>
      </c>
      <c r="J24" t="n">
        <v>75.0469556255846</v>
      </c>
      <c r="K24" t="n">
        <v>76.6419954116687</v>
      </c>
      <c r="L24" t="n">
        <v>78.6202699562254</v>
      </c>
      <c r="M24" t="n">
        <v>80.9644771515873</v>
      </c>
      <c r="N24" t="n">
        <v>82.6578223234693</v>
      </c>
      <c r="O24" t="n">
        <v>85.3325139799167</v>
      </c>
      <c r="P24" t="n">
        <v>87.3709282139898</v>
      </c>
      <c r="Q24" t="n">
        <v>89.1801735058698</v>
      </c>
      <c r="R24" t="n">
        <v>91.3780314709185</v>
      </c>
      <c r="S24" t="n">
        <v>93.3494343840372</v>
      </c>
      <c r="T24" t="n">
        <v>94.1666744831481</v>
      </c>
      <c r="U24" t="n">
        <v>96.455214106041</v>
      </c>
      <c r="V24" t="n">
        <v>97.9481594783468</v>
      </c>
      <c r="W24" t="n">
        <v>96.7767258853123</v>
      </c>
      <c r="X24" t="n">
        <v>95.3534218073014</v>
      </c>
      <c r="Y24" t="n">
        <v>95.6901030944914</v>
      </c>
      <c r="Z24" t="n">
        <v>97.0639633164578</v>
      </c>
      <c r="AA24" t="n">
        <v>98.2917994642893</v>
      </c>
      <c r="AB24" t="n">
        <v>98.5433996335665</v>
      </c>
      <c r="AC24" t="n">
        <v>98.4795022876877</v>
      </c>
      <c r="AD24" t="n">
        <v>98.5196795541623</v>
      </c>
      <c r="AE24" t="n">
        <v>100</v>
      </c>
      <c r="AF24" t="n">
        <v>98.4815048339639</v>
      </c>
    </row>
    <row r="25">
      <c r="A25" t="s">
        <v>76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76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76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76</v>
      </c>
      <c r="B28" t="s">
        <v>326</v>
      </c>
      <c r="C28" t="s">
        <v>246</v>
      </c>
      <c r="D28" t="s">
        <v>327</v>
      </c>
      <c r="E28" t="s">
        <v>247</v>
      </c>
      <c r="F28" t="n">
        <v>66.8173537904699</v>
      </c>
      <c r="G28" t="n">
        <v>69.196637574954</v>
      </c>
      <c r="H28" t="n">
        <v>71.7958799586092</v>
      </c>
      <c r="I28" t="n">
        <v>73.8536212561242</v>
      </c>
      <c r="J28" t="n">
        <v>76.4258548181734</v>
      </c>
      <c r="K28" t="n">
        <v>78.0510934320453</v>
      </c>
      <c r="L28" t="n">
        <v>80.000308106815</v>
      </c>
      <c r="M28" t="n">
        <v>82.2081955328655</v>
      </c>
      <c r="N28" t="n">
        <v>83.8932659813056</v>
      </c>
      <c r="O28" t="n">
        <v>86.598006366261</v>
      </c>
      <c r="P28" t="n">
        <v>88.6969562135527</v>
      </c>
      <c r="Q28" t="n">
        <v>90.524252386061</v>
      </c>
      <c r="R28" t="n">
        <v>92.751918552161</v>
      </c>
      <c r="S28" t="n">
        <v>94.7428846617881</v>
      </c>
      <c r="T28" t="n">
        <v>95.5594806322663</v>
      </c>
      <c r="U28" t="n">
        <v>97.8737693616208</v>
      </c>
      <c r="V28" t="n">
        <v>99.3650931011722</v>
      </c>
      <c r="W28" t="n">
        <v>98.147445802511</v>
      </c>
      <c r="X28" t="n">
        <v>96.6871252967346</v>
      </c>
      <c r="Y28" t="n">
        <v>96.8497508147651</v>
      </c>
      <c r="Z28" t="n">
        <v>98.3586888173274</v>
      </c>
      <c r="AA28" t="n">
        <v>99.4362297096179</v>
      </c>
      <c r="AB28" t="n">
        <v>99.4145919705885</v>
      </c>
      <c r="AC28" t="n">
        <v>99.1176420479113</v>
      </c>
      <c r="AD28" t="n">
        <v>98.7619692426734</v>
      </c>
      <c r="AE28" t="n">
        <v>100</v>
      </c>
      <c r="AF28" t="n">
        <v>98.3924983255191</v>
      </c>
    </row>
    <row r="29">
      <c r="A29" t="s">
        <v>76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76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76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76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76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76</v>
      </c>
      <c r="B34" t="s">
        <v>338</v>
      </c>
      <c r="C34" t="s">
        <v>246</v>
      </c>
      <c r="D34" t="s">
        <v>339</v>
      </c>
      <c r="E34" t="s">
        <v>247</v>
      </c>
      <c r="F34" t="n">
        <v>64.8886008579565</v>
      </c>
      <c r="G34" t="n">
        <v>67.1901416206529</v>
      </c>
      <c r="H34" t="n">
        <v>69.712638405046</v>
      </c>
      <c r="I34" t="n">
        <v>71.7257306370634</v>
      </c>
      <c r="J34" t="n">
        <v>74.23207682582</v>
      </c>
      <c r="K34" t="n">
        <v>75.7532259411031</v>
      </c>
      <c r="L34" t="n">
        <v>77.4688913369818</v>
      </c>
      <c r="M34" t="n">
        <v>79.5192124953998</v>
      </c>
      <c r="N34" t="n">
        <v>81.1758627557206</v>
      </c>
      <c r="O34" t="n">
        <v>83.7760905917396</v>
      </c>
      <c r="P34" t="n">
        <v>85.6664228922712</v>
      </c>
      <c r="Q34" t="n">
        <v>87.3667961254826</v>
      </c>
      <c r="R34" t="n">
        <v>89.4944502168186</v>
      </c>
      <c r="S34" t="n">
        <v>91.2747529755311</v>
      </c>
      <c r="T34" t="n">
        <v>91.9042340305348</v>
      </c>
      <c r="U34" t="n">
        <v>94.1802569057573</v>
      </c>
      <c r="V34" t="n">
        <v>95.7471788682874</v>
      </c>
      <c r="W34" t="n">
        <v>94.5935983999948</v>
      </c>
      <c r="X34" t="n">
        <v>93.2126699561992</v>
      </c>
      <c r="Y34" t="n">
        <v>93.7153899739405</v>
      </c>
      <c r="Z34" t="n">
        <v>94.720201160223</v>
      </c>
      <c r="AA34" t="n">
        <v>97.134905663105</v>
      </c>
      <c r="AB34" t="n">
        <v>97.7039443606042</v>
      </c>
      <c r="AC34" t="n">
        <v>97.7039443606042</v>
      </c>
      <c r="AD34" t="n">
        <v>97.9127134724858</v>
      </c>
      <c r="AE34" t="n">
        <v>100</v>
      </c>
      <c r="AF34" t="n">
        <v>99.0457056755399</v>
      </c>
    </row>
    <row r="35">
      <c r="A35" t="s">
        <v>76</v>
      </c>
      <c r="B35" t="s">
        <v>340</v>
      </c>
      <c r="C35" t="s">
        <v>246</v>
      </c>
      <c r="D35" t="s">
        <v>341</v>
      </c>
      <c r="E35" t="s">
        <v>247</v>
      </c>
      <c r="F35" t="n">
        <v>67.0637233716578</v>
      </c>
      <c r="G35" t="n">
        <v>69.4553205347655</v>
      </c>
      <c r="H35" t="n">
        <v>72.0734145571069</v>
      </c>
      <c r="I35" t="n">
        <v>74.1422233552598</v>
      </c>
      <c r="J35" t="n">
        <v>76.7178427220716</v>
      </c>
      <c r="K35" t="n">
        <v>78.3869042965126</v>
      </c>
      <c r="L35" t="n">
        <v>80.7168506058726</v>
      </c>
      <c r="M35" t="n">
        <v>83.3891737160949</v>
      </c>
      <c r="N35" t="n">
        <v>85.2686019557412</v>
      </c>
      <c r="O35" t="n">
        <v>88.072079527034</v>
      </c>
      <c r="P35" t="n">
        <v>90.4280399212151</v>
      </c>
      <c r="Q35" t="n">
        <v>92.4394586876953</v>
      </c>
      <c r="R35" t="n">
        <v>94.7844309172706</v>
      </c>
      <c r="S35" t="n">
        <v>97.1266925139279</v>
      </c>
      <c r="T35" t="n">
        <v>98.4663864045198</v>
      </c>
      <c r="U35" t="n">
        <v>100.824762923359</v>
      </c>
      <c r="V35" t="n">
        <v>102.354586983083</v>
      </c>
      <c r="W35" t="n">
        <v>101.13002603149</v>
      </c>
      <c r="X35" t="n">
        <v>99.6367462313422</v>
      </c>
      <c r="Y35" t="n">
        <v>99.750527179493</v>
      </c>
      <c r="Z35" t="n">
        <v>101.489134693016</v>
      </c>
      <c r="AA35" t="n">
        <v>101.478708307359</v>
      </c>
      <c r="AB35" t="n">
        <v>101.04037067502</v>
      </c>
      <c r="AC35" t="n">
        <v>100.418914826397</v>
      </c>
      <c r="AD35" t="n">
        <v>99.3502087682672</v>
      </c>
      <c r="AE35" t="n">
        <v>100</v>
      </c>
      <c r="AF35" t="n">
        <v>98.1294603033006</v>
      </c>
    </row>
    <row r="36">
      <c r="A36" t="s">
        <v>76</v>
      </c>
      <c r="B36" t="s">
        <v>342</v>
      </c>
      <c r="C36" t="s">
        <v>246</v>
      </c>
      <c r="D36" t="s">
        <v>343</v>
      </c>
      <c r="E36" t="s">
        <v>247</v>
      </c>
      <c r="F36" t="n">
        <v>64.4667763751573</v>
      </c>
      <c r="G36" t="n">
        <v>66.7713502406316</v>
      </c>
      <c r="H36" t="n">
        <v>69.2945892126016</v>
      </c>
      <c r="I36" t="n">
        <v>71.2878539709075</v>
      </c>
      <c r="J36" t="n">
        <v>73.7650380857267</v>
      </c>
      <c r="K36" t="n">
        <v>75.3138004118279</v>
      </c>
      <c r="L36" t="n">
        <v>77.1412508312839</v>
      </c>
      <c r="M36" t="n">
        <v>79.2528475704391</v>
      </c>
      <c r="N36" t="n">
        <v>80.8676678765087</v>
      </c>
      <c r="O36" t="n">
        <v>83.4627082334894</v>
      </c>
      <c r="P36" t="n">
        <v>85.3978315090642</v>
      </c>
      <c r="Q36" t="n">
        <v>87.1302041291937</v>
      </c>
      <c r="R36" t="n">
        <v>89.2622134421786</v>
      </c>
      <c r="S36" t="n">
        <v>91.1095363530263</v>
      </c>
      <c r="T36" t="n">
        <v>91.808028246485</v>
      </c>
      <c r="U36" t="n">
        <v>94.0463679048736</v>
      </c>
      <c r="V36" t="n">
        <v>95.5976221964519</v>
      </c>
      <c r="W36" t="n">
        <v>94.5017942772362</v>
      </c>
      <c r="X36" t="n">
        <v>93.1369564512439</v>
      </c>
      <c r="Y36" t="n">
        <v>93.5254317649091</v>
      </c>
      <c r="Z36" t="n">
        <v>94.9835447955746</v>
      </c>
      <c r="AA36" t="n">
        <v>96.5064110723589</v>
      </c>
      <c r="AB36" t="n">
        <v>97.1810068093517</v>
      </c>
      <c r="AC36" t="n">
        <v>97.4565673201533</v>
      </c>
      <c r="AD36" t="n">
        <v>97.9768786127168</v>
      </c>
      <c r="AE36" t="n">
        <v>100</v>
      </c>
      <c r="AF36" t="n">
        <v>97.5931333510309</v>
      </c>
    </row>
    <row r="37">
      <c r="A37" t="s">
        <v>76</v>
      </c>
      <c r="B37" t="s">
        <v>344</v>
      </c>
      <c r="C37" t="s">
        <v>246</v>
      </c>
      <c r="D37" t="s">
        <v>345</v>
      </c>
      <c r="E37" t="s">
        <v>247</v>
      </c>
      <c r="F37" t="n">
        <v>66.1665980170816</v>
      </c>
      <c r="G37" t="n">
        <v>68.5223291436355</v>
      </c>
      <c r="H37" t="n">
        <v>71.1056575953073</v>
      </c>
      <c r="I37" t="n">
        <v>73.1446372878136</v>
      </c>
      <c r="J37" t="n">
        <v>75.6843387261249</v>
      </c>
      <c r="K37" t="n">
        <v>77.330496443173</v>
      </c>
      <c r="L37" t="n">
        <v>79.6108782896581</v>
      </c>
      <c r="M37" t="n">
        <v>82.284500879886</v>
      </c>
      <c r="N37" t="n">
        <v>84.1543933081407</v>
      </c>
      <c r="O37" t="n">
        <v>86.9283643886842</v>
      </c>
      <c r="P37" t="n">
        <v>89.2688631362778</v>
      </c>
      <c r="Q37" t="n">
        <v>91.2405485049913</v>
      </c>
      <c r="R37" t="n">
        <v>93.5447482273221</v>
      </c>
      <c r="S37" t="n">
        <v>95.8204782065609</v>
      </c>
      <c r="T37" t="n">
        <v>97.2495500503898</v>
      </c>
      <c r="U37" t="n">
        <v>99.5814087511706</v>
      </c>
      <c r="V37" t="n">
        <v>101.081959744583</v>
      </c>
      <c r="W37" t="n">
        <v>99.8756354936238</v>
      </c>
      <c r="X37" t="n">
        <v>98.4081178029039</v>
      </c>
      <c r="Y37" t="n">
        <v>98.741331785405</v>
      </c>
      <c r="Z37" t="n">
        <v>100.173090307975</v>
      </c>
      <c r="AA37" t="n">
        <v>100.890018534741</v>
      </c>
      <c r="AB37" t="n">
        <v>100.604130128579</v>
      </c>
      <c r="AC37" t="n">
        <v>100.023604170153</v>
      </c>
      <c r="AD37" t="n">
        <v>99.0027478464911</v>
      </c>
      <c r="AE37" t="n">
        <v>100</v>
      </c>
      <c r="AF37" t="n">
        <v>98.1506758839329</v>
      </c>
    </row>
    <row r="38">
      <c r="A38" t="s">
        <v>76</v>
      </c>
      <c r="B38" t="s">
        <v>346</v>
      </c>
      <c r="C38" t="s">
        <v>246</v>
      </c>
      <c r="D38" t="s">
        <v>347</v>
      </c>
      <c r="E38" t="s">
        <v>247</v>
      </c>
      <c r="F38" t="n">
        <v>68.8829358111642</v>
      </c>
      <c r="G38" t="n">
        <v>71.340178965343</v>
      </c>
      <c r="H38" t="n">
        <v>74.0267480804837</v>
      </c>
      <c r="I38" t="n">
        <v>76.1515158226856</v>
      </c>
      <c r="J38" t="n">
        <v>78.7974074287158</v>
      </c>
      <c r="K38" t="n">
        <v>80.5360105721404</v>
      </c>
      <c r="L38" t="n">
        <v>83.0673498198027</v>
      </c>
      <c r="M38" t="n">
        <v>85.973977526819</v>
      </c>
      <c r="N38" t="n">
        <v>87.9520071046359</v>
      </c>
      <c r="O38" t="n">
        <v>90.862183810304</v>
      </c>
      <c r="P38" t="n">
        <v>93.3914317684126</v>
      </c>
      <c r="Q38" t="n">
        <v>95.5326747100879</v>
      </c>
      <c r="R38" t="n">
        <v>97.9892802118835</v>
      </c>
      <c r="S38" t="n">
        <v>100.591756523965</v>
      </c>
      <c r="T38" t="n">
        <v>102.142237443157</v>
      </c>
      <c r="U38" t="n">
        <v>104.573406585121</v>
      </c>
      <c r="V38" t="n">
        <v>106.124025714166</v>
      </c>
      <c r="W38" t="n">
        <v>104.818433582226</v>
      </c>
      <c r="X38" t="n">
        <v>103.253542778082</v>
      </c>
      <c r="Y38" t="n">
        <v>103.017733489072</v>
      </c>
      <c r="Z38" t="n">
        <v>105.180550084725</v>
      </c>
      <c r="AA38" t="n">
        <v>103.542603742993</v>
      </c>
      <c r="AB38" t="n">
        <v>102.56804984156</v>
      </c>
      <c r="AC38" t="n">
        <v>101.572527804845</v>
      </c>
      <c r="AD38" t="n">
        <v>100</v>
      </c>
      <c r="AE38" t="n">
        <v>100</v>
      </c>
      <c r="AF38" t="n">
        <v>98.2773242870773</v>
      </c>
    </row>
    <row r="39">
      <c r="A39" t="s">
        <v>76</v>
      </c>
      <c r="B39" t="s">
        <v>348</v>
      </c>
      <c r="C39" t="s">
        <v>246</v>
      </c>
      <c r="D39" t="s">
        <v>349</v>
      </c>
      <c r="E39" t="s">
        <v>247</v>
      </c>
      <c r="F39" t="n">
        <v>68.2500837017017</v>
      </c>
      <c r="G39" t="n">
        <v>70.6789481689359</v>
      </c>
      <c r="H39" t="n">
        <v>73.3433424196946</v>
      </c>
      <c r="I39" t="n">
        <v>75.4485498845094</v>
      </c>
      <c r="J39" t="n">
        <v>78.0723040514722</v>
      </c>
      <c r="K39" t="n">
        <v>79.8034489061484</v>
      </c>
      <c r="L39" t="n">
        <v>82.276831661655</v>
      </c>
      <c r="M39" t="n">
        <v>85.0866886667637</v>
      </c>
      <c r="N39" t="n">
        <v>87.028414118197</v>
      </c>
      <c r="O39" t="n">
        <v>89.9161445273455</v>
      </c>
      <c r="P39" t="n">
        <v>92.487410198749</v>
      </c>
      <c r="Q39" t="n">
        <v>94.6648527232417</v>
      </c>
      <c r="R39" t="n">
        <v>97.0976240996657</v>
      </c>
      <c r="S39" t="n">
        <v>99.6428823189483</v>
      </c>
      <c r="T39" t="n">
        <v>101.570412823117</v>
      </c>
      <c r="U39" t="n">
        <v>103.960304889543</v>
      </c>
      <c r="V39" t="n">
        <v>105.384803793646</v>
      </c>
      <c r="W39" t="n">
        <v>104.043110129095</v>
      </c>
      <c r="X39" t="n">
        <v>102.457285025959</v>
      </c>
      <c r="Y39" t="n">
        <v>102.151442384091</v>
      </c>
      <c r="Z39" t="n">
        <v>104.426812548894</v>
      </c>
      <c r="AA39" t="n">
        <v>103.13037451579</v>
      </c>
      <c r="AB39" t="n">
        <v>102.220297673134</v>
      </c>
      <c r="AC39" t="n">
        <v>101.486144814455</v>
      </c>
      <c r="AD39" t="n">
        <v>100.238116236</v>
      </c>
      <c r="AE39" t="n">
        <v>100</v>
      </c>
      <c r="AF39" t="n">
        <v>97.4827555316671</v>
      </c>
    </row>
    <row r="40">
      <c r="A40" t="s">
        <v>76</v>
      </c>
      <c r="B40" t="s">
        <v>350</v>
      </c>
      <c r="C40" t="s">
        <v>246</v>
      </c>
      <c r="D40" t="s">
        <v>351</v>
      </c>
      <c r="E40" t="s">
        <v>247</v>
      </c>
      <c r="F40" t="n">
        <v>71.0920820592475</v>
      </c>
      <c r="G40" t="n">
        <v>73.6157294634017</v>
      </c>
      <c r="H40" t="n">
        <v>76.402568595314</v>
      </c>
      <c r="I40" t="n">
        <v>78.6059456043482</v>
      </c>
      <c r="J40" t="n">
        <v>81.3452437087422</v>
      </c>
      <c r="K40" t="n">
        <v>83.0425664348601</v>
      </c>
      <c r="L40" t="n">
        <v>84.887515951927</v>
      </c>
      <c r="M40" t="n">
        <v>87.0540186792384</v>
      </c>
      <c r="N40" t="n">
        <v>88.775799965874</v>
      </c>
      <c r="O40" t="n">
        <v>91.6030547418572</v>
      </c>
      <c r="P40" t="n">
        <v>93.617314816141</v>
      </c>
      <c r="Q40" t="n">
        <v>95.4493562019754</v>
      </c>
      <c r="R40" t="n">
        <v>97.7399854539244</v>
      </c>
      <c r="S40" t="n">
        <v>99.6352206289313</v>
      </c>
      <c r="T40" t="n">
        <v>100.195541399339</v>
      </c>
      <c r="U40" t="n">
        <v>102.649376979303</v>
      </c>
      <c r="V40" t="n">
        <v>104.309309008715</v>
      </c>
      <c r="W40" t="n">
        <v>103.066474688611</v>
      </c>
      <c r="X40" t="n">
        <v>101.564346538131</v>
      </c>
      <c r="Y40" t="n">
        <v>102.086155654069</v>
      </c>
      <c r="Z40" t="n">
        <v>103.403396372186</v>
      </c>
      <c r="AA40" t="n">
        <v>101.066903443124</v>
      </c>
      <c r="AB40" t="n">
        <v>101.066903443124</v>
      </c>
      <c r="AC40" t="n">
        <v>101.066903443124</v>
      </c>
      <c r="AD40" t="n">
        <v>100.497512437811</v>
      </c>
      <c r="AE40" t="n">
        <v>100</v>
      </c>
      <c r="AF40" t="n">
        <v>99.5975855130785</v>
      </c>
    </row>
    <row r="41">
      <c r="A41" t="s">
        <v>76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76</v>
      </c>
      <c r="B42" t="s">
        <v>354</v>
      </c>
      <c r="C42" t="s">
        <v>246</v>
      </c>
      <c r="D42" t="s">
        <v>355</v>
      </c>
      <c r="E42" t="s">
        <v>247</v>
      </c>
      <c r="F42" t="n">
        <v>67.3887623849242</v>
      </c>
      <c r="G42" t="n">
        <v>69.7898567255707</v>
      </c>
      <c r="H42" t="n">
        <v>72.4171396296023</v>
      </c>
      <c r="I42" t="n">
        <v>74.4962978475161</v>
      </c>
      <c r="J42" t="n">
        <v>77.0797671528264</v>
      </c>
      <c r="K42" t="n">
        <v>78.761925003526</v>
      </c>
      <c r="L42" t="n">
        <v>81.1638452987249</v>
      </c>
      <c r="M42" t="n">
        <v>83.8698212527801</v>
      </c>
      <c r="N42" t="n">
        <v>85.7483134028355</v>
      </c>
      <c r="O42" t="n">
        <v>88.5589962861067</v>
      </c>
      <c r="P42" t="n">
        <v>90.8868530168242</v>
      </c>
      <c r="Q42" t="n">
        <v>92.8498882398201</v>
      </c>
      <c r="R42" t="n">
        <v>95.1769950673237</v>
      </c>
      <c r="S42" t="n">
        <v>97.4207757705142</v>
      </c>
      <c r="T42" t="n">
        <v>98.6173994515405</v>
      </c>
      <c r="U42" t="n">
        <v>100.989807830216</v>
      </c>
      <c r="V42" t="n">
        <v>102.46288544427</v>
      </c>
      <c r="W42" t="n">
        <v>101.201588170892</v>
      </c>
      <c r="X42" t="n">
        <v>99.6837384136682</v>
      </c>
      <c r="Y42" t="n">
        <v>99.8644211680164</v>
      </c>
      <c r="Z42" t="n">
        <v>101.530902271107</v>
      </c>
      <c r="AA42" t="n">
        <v>101.654086886407</v>
      </c>
      <c r="AB42" t="n">
        <v>101.404597336669</v>
      </c>
      <c r="AC42" t="n">
        <v>100.904032529859</v>
      </c>
      <c r="AD42" t="n">
        <v>99.9371737869708</v>
      </c>
      <c r="AE42" t="n">
        <v>100</v>
      </c>
      <c r="AF42" t="n">
        <v>97.8021978021978</v>
      </c>
    </row>
    <row r="43">
      <c r="A43" t="s">
        <v>76</v>
      </c>
      <c r="B43" t="s">
        <v>356</v>
      </c>
      <c r="C43" t="s">
        <v>246</v>
      </c>
      <c r="D43" t="s">
        <v>357</v>
      </c>
      <c r="E43" t="s">
        <v>247</v>
      </c>
      <c r="F43" t="n">
        <v>67.0080457016576</v>
      </c>
      <c r="G43" t="n">
        <v>69.3957758369542</v>
      </c>
      <c r="H43" t="n">
        <v>72.0095940697192</v>
      </c>
      <c r="I43" t="n">
        <v>74.0766708518227</v>
      </c>
      <c r="J43" t="n">
        <v>76.6473751978023</v>
      </c>
      <c r="K43" t="n">
        <v>78.3100864730199</v>
      </c>
      <c r="L43" t="n">
        <v>80.6315750064795</v>
      </c>
      <c r="M43" t="n">
        <v>83.2520463726133</v>
      </c>
      <c r="N43" t="n">
        <v>85.0883061137678</v>
      </c>
      <c r="O43" t="n">
        <v>87.8754776199643</v>
      </c>
      <c r="P43" t="n">
        <v>90.161306466838</v>
      </c>
      <c r="Q43" t="n">
        <v>92.1000841086077</v>
      </c>
      <c r="R43" t="n">
        <v>94.4054123580385</v>
      </c>
      <c r="S43" t="n">
        <v>96.6351512745236</v>
      </c>
      <c r="T43" t="n">
        <v>97.867097216608</v>
      </c>
      <c r="U43" t="n">
        <v>100.218483928493</v>
      </c>
      <c r="V43" t="n">
        <v>101.68210041266</v>
      </c>
      <c r="W43" t="n">
        <v>100.436177054117</v>
      </c>
      <c r="X43" t="n">
        <v>98.9366460939984</v>
      </c>
      <c r="Y43" t="n">
        <v>99.0845389840078</v>
      </c>
      <c r="Z43" t="n">
        <v>100.794534679277</v>
      </c>
      <c r="AA43" t="n">
        <v>101.084023809641</v>
      </c>
      <c r="AB43" t="n">
        <v>100.857610690515</v>
      </c>
      <c r="AC43" t="n">
        <v>100.400692890604</v>
      </c>
      <c r="AD43" t="n">
        <v>99.7129342684717</v>
      </c>
      <c r="AE43" t="n">
        <v>100</v>
      </c>
      <c r="AF43" t="n">
        <v>97.7765454593467</v>
      </c>
    </row>
    <row r="44">
      <c r="A44" t="s">
        <v>76</v>
      </c>
      <c r="B44" t="s">
        <v>358</v>
      </c>
      <c r="C44" t="s">
        <v>246</v>
      </c>
      <c r="D44" t="s">
        <v>359</v>
      </c>
      <c r="E44" t="s">
        <v>247</v>
      </c>
      <c r="F44" t="n">
        <v>66.8570188011967</v>
      </c>
      <c r="G44" t="n">
        <v>69.238868211609</v>
      </c>
      <c r="H44" t="n">
        <v>71.8474305709034</v>
      </c>
      <c r="I44" t="n">
        <v>73.910492731822</v>
      </c>
      <c r="J44" t="n">
        <v>76.4801486419267</v>
      </c>
      <c r="K44" t="n">
        <v>78.1290682407728</v>
      </c>
      <c r="L44" t="n">
        <v>80.3040584045565</v>
      </c>
      <c r="M44" t="n">
        <v>82.8065114146378</v>
      </c>
      <c r="N44" t="n">
        <v>84.6123785646675</v>
      </c>
      <c r="O44" t="n">
        <v>87.3734048977982</v>
      </c>
      <c r="P44" t="n">
        <v>89.6071222674092</v>
      </c>
      <c r="Q44" t="n">
        <v>91.5355593131353</v>
      </c>
      <c r="R44" t="n">
        <v>93.8237674429379</v>
      </c>
      <c r="S44" t="n">
        <v>96.0129428965969</v>
      </c>
      <c r="T44" t="n">
        <v>97.1303402589399</v>
      </c>
      <c r="U44" t="n">
        <v>99.4701049093789</v>
      </c>
      <c r="V44" t="n">
        <v>100.969508396894</v>
      </c>
      <c r="W44" t="n">
        <v>99.7487860474433</v>
      </c>
      <c r="X44" t="n">
        <v>98.2741708372399</v>
      </c>
      <c r="Y44" t="n">
        <v>98.4469900437797</v>
      </c>
      <c r="Z44" t="n">
        <v>100.114272696892</v>
      </c>
      <c r="AA44" t="n">
        <v>100.452293812621</v>
      </c>
      <c r="AB44" t="n">
        <v>100.212447275924</v>
      </c>
      <c r="AC44" t="n">
        <v>99.8236881563514</v>
      </c>
      <c r="AD44" t="n">
        <v>99.2591990624505</v>
      </c>
      <c r="AE44" t="n">
        <v>100</v>
      </c>
      <c r="AF44" t="n">
        <v>98.078279055871</v>
      </c>
    </row>
    <row r="45">
      <c r="A45" t="s">
        <v>76</v>
      </c>
      <c r="B45" t="s">
        <v>360</v>
      </c>
      <c r="C45" t="s">
        <v>246</v>
      </c>
      <c r="D45" t="s">
        <v>361</v>
      </c>
      <c r="E45" t="s">
        <v>247</v>
      </c>
      <c r="F45" t="n">
        <v>66.8582996896703</v>
      </c>
      <c r="G45" t="n">
        <v>69.2402336067473</v>
      </c>
      <c r="H45" t="n">
        <v>71.8483394104558</v>
      </c>
      <c r="I45" t="n">
        <v>73.9113365500284</v>
      </c>
      <c r="J45" t="n">
        <v>76.4807150854497</v>
      </c>
      <c r="K45" t="n">
        <v>78.129973366121</v>
      </c>
      <c r="L45" t="n">
        <v>80.3045740251207</v>
      </c>
      <c r="M45" t="n">
        <v>82.8066842374877</v>
      </c>
      <c r="N45" t="n">
        <v>84.6122952172417</v>
      </c>
      <c r="O45" t="n">
        <v>87.373503086236</v>
      </c>
      <c r="P45" t="n">
        <v>89.6071009749925</v>
      </c>
      <c r="Q45" t="n">
        <v>91.5358904900527</v>
      </c>
      <c r="R45" t="n">
        <v>93.8240928932186</v>
      </c>
      <c r="S45" t="n">
        <v>96.0131995695531</v>
      </c>
      <c r="T45" t="n">
        <v>97.1305064412551</v>
      </c>
      <c r="U45" t="n">
        <v>99.4701562489549</v>
      </c>
      <c r="V45" t="n">
        <v>100.969635012901</v>
      </c>
      <c r="W45" t="n">
        <v>99.7489797495464</v>
      </c>
      <c r="X45" t="n">
        <v>98.2743316703469</v>
      </c>
      <c r="Y45" t="n">
        <v>98.4473658467221</v>
      </c>
      <c r="Z45" t="n">
        <v>100.114824356316</v>
      </c>
      <c r="AA45" t="n">
        <v>100.452677787003</v>
      </c>
      <c r="AB45" t="n">
        <v>100.212812168908</v>
      </c>
      <c r="AC45" t="n">
        <v>99.8239875189138</v>
      </c>
      <c r="AD45" t="n">
        <v>99.2593543418266</v>
      </c>
      <c r="AE45" t="n">
        <v>100</v>
      </c>
      <c r="AF45" t="n">
        <v>98.0782104206181</v>
      </c>
    </row>
    <row r="46">
      <c r="A46" t="s">
        <v>76</v>
      </c>
      <c r="B46" t="s">
        <v>362</v>
      </c>
      <c r="C46" t="s">
        <v>246</v>
      </c>
      <c r="D46" t="s">
        <v>363</v>
      </c>
      <c r="E46" t="s">
        <v>247</v>
      </c>
      <c r="F46" t="n">
        <v>66.3540897810434</v>
      </c>
      <c r="G46" t="n">
        <v>68.7190369083133</v>
      </c>
      <c r="H46" t="n">
        <v>71.3110005821542</v>
      </c>
      <c r="I46" t="n">
        <v>73.3570014816643</v>
      </c>
      <c r="J46" t="n">
        <v>75.9074465965666</v>
      </c>
      <c r="K46" t="n">
        <v>77.5275430621882</v>
      </c>
      <c r="L46" t="n">
        <v>79.6454870783294</v>
      </c>
      <c r="M46" t="n">
        <v>82.06589885748</v>
      </c>
      <c r="N46" t="n">
        <v>83.80042897485</v>
      </c>
      <c r="O46" t="n">
        <v>86.5403751071347</v>
      </c>
      <c r="P46" t="n">
        <v>88.722065235886</v>
      </c>
      <c r="Q46" t="n">
        <v>90.6065610990101</v>
      </c>
      <c r="R46" t="n">
        <v>92.8665887001192</v>
      </c>
      <c r="S46" t="n">
        <v>95.0696282130783</v>
      </c>
      <c r="T46" t="n">
        <v>96.3989203597744</v>
      </c>
      <c r="U46" t="n">
        <v>98.7073084805759</v>
      </c>
      <c r="V46" t="n">
        <v>100.153390859962</v>
      </c>
      <c r="W46" t="n">
        <v>98.939911802317</v>
      </c>
      <c r="X46" t="n">
        <v>97.4763853369185</v>
      </c>
      <c r="Y46" t="n">
        <v>97.5494834886523</v>
      </c>
      <c r="Z46" t="n">
        <v>99.3688587759406</v>
      </c>
      <c r="AA46" t="n">
        <v>99.9685501384991</v>
      </c>
      <c r="AB46" t="n">
        <v>99.8041474952548</v>
      </c>
      <c r="AC46" t="n">
        <v>99.4462066035308</v>
      </c>
      <c r="AD46" t="n">
        <v>99.2472146943692</v>
      </c>
      <c r="AE46" t="n">
        <v>100</v>
      </c>
      <c r="AF46" t="n">
        <v>97.7034854181486</v>
      </c>
    </row>
    <row r="47">
      <c r="A47" t="s">
        <v>76</v>
      </c>
      <c r="B47" t="s">
        <v>364</v>
      </c>
      <c r="C47" t="s">
        <v>246</v>
      </c>
      <c r="D47" t="s">
        <v>365</v>
      </c>
      <c r="E47" t="s">
        <v>247</v>
      </c>
      <c r="F47" t="n">
        <v>66.9564795031839</v>
      </c>
      <c r="G47" t="n">
        <v>69.344277746336</v>
      </c>
      <c r="H47" t="n">
        <v>71.9563041446044</v>
      </c>
      <c r="I47" t="n">
        <v>74.023100330817</v>
      </c>
      <c r="J47" t="n">
        <v>76.5966000793118</v>
      </c>
      <c r="K47" t="n">
        <v>78.3006469194464</v>
      </c>
      <c r="L47" t="n">
        <v>80.8512459259292</v>
      </c>
      <c r="M47" t="n">
        <v>83.7263562130577</v>
      </c>
      <c r="N47" t="n">
        <v>85.636147478744</v>
      </c>
      <c r="O47" t="n">
        <v>88.4590803724822</v>
      </c>
      <c r="P47" t="n">
        <v>90.8204110600433</v>
      </c>
      <c r="Q47" t="n">
        <v>92.8280269417459</v>
      </c>
      <c r="R47" t="n">
        <v>95.1709889116341</v>
      </c>
      <c r="S47" t="n">
        <v>97.4742047170679</v>
      </c>
      <c r="T47" t="n">
        <v>98.6744625438544</v>
      </c>
      <c r="U47" t="n">
        <v>101.043644814548</v>
      </c>
      <c r="V47" t="n">
        <v>102.442692877548</v>
      </c>
      <c r="W47" t="n">
        <v>101.155151665725</v>
      </c>
      <c r="X47" t="n">
        <v>99.6299664975727</v>
      </c>
      <c r="Y47" t="n">
        <v>99.3945737828708</v>
      </c>
      <c r="Z47" t="n">
        <v>101.739721022025</v>
      </c>
      <c r="AA47" t="n">
        <v>101.171800613489</v>
      </c>
      <c r="AB47" t="n">
        <v>100.710822911668</v>
      </c>
      <c r="AC47" t="n">
        <v>100.24066225886</v>
      </c>
      <c r="AD47" t="n">
        <v>99.546279491833</v>
      </c>
      <c r="AE47" t="n">
        <v>100</v>
      </c>
      <c r="AF47" t="n">
        <v>97.9810867607325</v>
      </c>
    </row>
    <row r="48">
      <c r="A48" t="s">
        <v>76</v>
      </c>
      <c r="B48" t="s">
        <v>366</v>
      </c>
      <c r="C48" t="s">
        <v>246</v>
      </c>
      <c r="D48" t="s">
        <v>367</v>
      </c>
      <c r="E48" t="s">
        <v>247</v>
      </c>
      <c r="F48" t="n">
        <v>67.6013361471193</v>
      </c>
      <c r="G48" t="n">
        <v>70.008965528189</v>
      </c>
      <c r="H48" t="n">
        <v>72.6459889776291</v>
      </c>
      <c r="I48" t="n">
        <v>74.7314271997713</v>
      </c>
      <c r="J48" t="n">
        <v>77.3267042496868</v>
      </c>
      <c r="K48" t="n">
        <v>79.0276239388033</v>
      </c>
      <c r="L48" t="n">
        <v>81.4495141761379</v>
      </c>
      <c r="M48" t="n">
        <v>84.2148067230954</v>
      </c>
      <c r="N48" t="n">
        <v>86.1097952012895</v>
      </c>
      <c r="O48" t="n">
        <v>88.9434456272175</v>
      </c>
      <c r="P48" t="n">
        <v>91.3045679848919</v>
      </c>
      <c r="Q48" t="n">
        <v>93.318447026667</v>
      </c>
      <c r="R48" t="n">
        <v>95.6713464992447</v>
      </c>
      <c r="S48" t="n">
        <v>97.9923286772398</v>
      </c>
      <c r="T48" t="n">
        <v>99.2099785122002</v>
      </c>
      <c r="U48" t="n">
        <v>101.590990066739</v>
      </c>
      <c r="V48" t="n">
        <v>103.026125926131</v>
      </c>
      <c r="W48" t="n">
        <v>101.740802637496</v>
      </c>
      <c r="X48" t="n">
        <v>100.211811824707</v>
      </c>
      <c r="Y48" t="n">
        <v>100.081432549383</v>
      </c>
      <c r="Z48" t="n">
        <v>102.230443174747</v>
      </c>
      <c r="AA48" t="n">
        <v>101.493547250452</v>
      </c>
      <c r="AB48" t="n">
        <v>100.893989981645</v>
      </c>
      <c r="AC48" t="n">
        <v>100.363244387165</v>
      </c>
      <c r="AD48" t="n">
        <v>99.5179817834674</v>
      </c>
      <c r="AE48" t="n">
        <v>100</v>
      </c>
      <c r="AF48" t="n">
        <v>97.8034871347104</v>
      </c>
    </row>
    <row r="49">
      <c r="A49" t="s">
        <v>76</v>
      </c>
      <c r="B49" t="s">
        <v>368</v>
      </c>
      <c r="C49" t="s">
        <v>246</v>
      </c>
      <c r="D49" t="s">
        <v>369</v>
      </c>
      <c r="E49" t="s">
        <v>247</v>
      </c>
      <c r="F49" t="n">
        <v>67.779358882388</v>
      </c>
      <c r="G49" t="n">
        <v>70.2122145493797</v>
      </c>
      <c r="H49" t="n">
        <v>72.8373860692867</v>
      </c>
      <c r="I49" t="n">
        <v>74.922256437896</v>
      </c>
      <c r="J49" t="n">
        <v>77.520716198748</v>
      </c>
      <c r="K49" t="n">
        <v>79.217365537126</v>
      </c>
      <c r="L49" t="n">
        <v>81.6308675829745</v>
      </c>
      <c r="M49" t="n">
        <v>84.5538020132536</v>
      </c>
      <c r="N49" t="n">
        <v>86.5503085230943</v>
      </c>
      <c r="O49" t="n">
        <v>89.4546812923257</v>
      </c>
      <c r="P49" t="n">
        <v>92.1693464760523</v>
      </c>
      <c r="Q49" t="n">
        <v>94.4234881018253</v>
      </c>
      <c r="R49" t="n">
        <v>96.9125426351217</v>
      </c>
      <c r="S49" t="n">
        <v>99.7212214168005</v>
      </c>
      <c r="T49" t="n">
        <v>101.763735415226</v>
      </c>
      <c r="U49" t="n">
        <v>104.144333689258</v>
      </c>
      <c r="V49" t="n">
        <v>105.653274245873</v>
      </c>
      <c r="W49" t="n">
        <v>104.347233255967</v>
      </c>
      <c r="X49" t="n">
        <v>102.771975700307</v>
      </c>
      <c r="Y49" t="n">
        <v>102.571031146472</v>
      </c>
      <c r="Z49" t="n">
        <v>104.875998138528</v>
      </c>
      <c r="AA49" t="n">
        <v>103.167763252583</v>
      </c>
      <c r="AB49" t="n">
        <v>101.923913568109</v>
      </c>
      <c r="AC49" t="n">
        <v>101.288703992809</v>
      </c>
      <c r="AD49" t="n">
        <v>99.6794871794872</v>
      </c>
      <c r="AE49" t="n">
        <v>100</v>
      </c>
      <c r="AF49" t="n">
        <v>96.7006033182504</v>
      </c>
    </row>
    <row r="50">
      <c r="A50" t="s">
        <v>76</v>
      </c>
      <c r="B50" t="s">
        <v>370</v>
      </c>
      <c r="C50" t="s">
        <v>246</v>
      </c>
      <c r="D50" t="s">
        <v>371</v>
      </c>
      <c r="E50" t="s">
        <v>247</v>
      </c>
      <c r="F50" t="n">
        <v>68.4601275384712</v>
      </c>
      <c r="G50" t="n">
        <v>70.9145416714081</v>
      </c>
      <c r="H50" t="n">
        <v>73.5910297023401</v>
      </c>
      <c r="I50" t="n">
        <v>75.7030252273944</v>
      </c>
      <c r="J50" t="n">
        <v>78.3398051446921</v>
      </c>
      <c r="K50" t="n">
        <v>80.0184342400178</v>
      </c>
      <c r="L50" t="n">
        <v>82.1795892229725</v>
      </c>
      <c r="M50" t="n">
        <v>84.6534078510399</v>
      </c>
      <c r="N50" t="n">
        <v>86.4550693009308</v>
      </c>
      <c r="O50" t="n">
        <v>89.2541104829064</v>
      </c>
      <c r="P50" t="n">
        <v>91.4617652558905</v>
      </c>
      <c r="Q50" t="n">
        <v>93.3672186987216</v>
      </c>
      <c r="R50" t="n">
        <v>95.6793785957419</v>
      </c>
      <c r="S50" t="n">
        <v>97.7526198477428</v>
      </c>
      <c r="T50" t="n">
        <v>98.5862198038061</v>
      </c>
      <c r="U50" t="n">
        <v>100.980476004368</v>
      </c>
      <c r="V50" t="n">
        <v>102.459176780534</v>
      </c>
      <c r="W50" t="n">
        <v>101.221556295135</v>
      </c>
      <c r="X50" t="n">
        <v>99.7398992732127</v>
      </c>
      <c r="Y50" t="n">
        <v>100.065138075191</v>
      </c>
      <c r="Z50" t="n">
        <v>101.497748787032</v>
      </c>
      <c r="AA50" t="n">
        <v>101.073489694487</v>
      </c>
      <c r="AB50" t="n">
        <v>100.590094743774</v>
      </c>
      <c r="AC50" t="n">
        <v>99.9440440389331</v>
      </c>
      <c r="AD50" t="n">
        <v>99.2271710392516</v>
      </c>
      <c r="AE50" t="n">
        <v>100</v>
      </c>
      <c r="AF50" t="n">
        <v>98.0200127741111</v>
      </c>
    </row>
    <row r="51">
      <c r="A51" t="s">
        <v>76</v>
      </c>
      <c r="B51" t="s">
        <v>372</v>
      </c>
      <c r="C51" t="s">
        <v>246</v>
      </c>
      <c r="D51" t="s">
        <v>373</v>
      </c>
      <c r="E51" t="s">
        <v>247</v>
      </c>
      <c r="F51" t="n">
        <v>68.9507477909436</v>
      </c>
      <c r="G51" t="n">
        <v>71.411182291555</v>
      </c>
      <c r="H51" t="n">
        <v>74.1009191595196</v>
      </c>
      <c r="I51" t="n">
        <v>76.225002110754</v>
      </c>
      <c r="J51" t="n">
        <v>78.8795403740323</v>
      </c>
      <c r="K51" t="n">
        <v>80.572646660033</v>
      </c>
      <c r="L51" t="n">
        <v>82.7822904548005</v>
      </c>
      <c r="M51" t="n">
        <v>85.3170639590842</v>
      </c>
      <c r="N51" t="n">
        <v>87.1375774409119</v>
      </c>
      <c r="O51" t="n">
        <v>89.9679686349876</v>
      </c>
      <c r="P51" t="n">
        <v>92.2151372767883</v>
      </c>
      <c r="Q51" t="n">
        <v>94.1394815901403</v>
      </c>
      <c r="R51" t="n">
        <v>96.4701256694574</v>
      </c>
      <c r="S51" t="n">
        <v>98.5948118380479</v>
      </c>
      <c r="T51" t="n">
        <v>99.4520377998988</v>
      </c>
      <c r="U51" t="n">
        <v>101.87312783763</v>
      </c>
      <c r="V51" t="n">
        <v>103.351412973444</v>
      </c>
      <c r="W51" t="n">
        <v>102.091572144139</v>
      </c>
      <c r="X51" t="n">
        <v>100.587844025089</v>
      </c>
      <c r="Y51" t="n">
        <v>100.847425558057</v>
      </c>
      <c r="Z51" t="n">
        <v>102.354276963739</v>
      </c>
      <c r="AA51" t="n">
        <v>102.011954967205</v>
      </c>
      <c r="AB51" t="n">
        <v>101.549525434262</v>
      </c>
      <c r="AC51" t="n">
        <v>100.838593444383</v>
      </c>
      <c r="AD51" t="n">
        <v>99.8040862020711</v>
      </c>
      <c r="AE51" t="n">
        <v>100</v>
      </c>
      <c r="AF51" t="n">
        <v>98.0819758276406</v>
      </c>
    </row>
    <row r="52">
      <c r="A52" t="s">
        <v>76</v>
      </c>
      <c r="B52" t="s">
        <v>374</v>
      </c>
      <c r="C52" t="s">
        <v>246</v>
      </c>
      <c r="D52" t="s">
        <v>375</v>
      </c>
      <c r="E52" t="s">
        <v>247</v>
      </c>
      <c r="F52" t="n">
        <v>67.7998509026817</v>
      </c>
      <c r="G52" t="n">
        <v>70.4644738639225</v>
      </c>
      <c r="H52" t="n">
        <v>73.2047589586306</v>
      </c>
      <c r="I52" t="n">
        <v>75.350826810838</v>
      </c>
      <c r="J52" t="n">
        <v>77.98152899376</v>
      </c>
      <c r="K52" t="n">
        <v>79.5965310735125</v>
      </c>
      <c r="L52" t="n">
        <v>81.3714108401603</v>
      </c>
      <c r="M52" t="n">
        <v>83.3560793972373</v>
      </c>
      <c r="N52" t="n">
        <v>85.0287766426668</v>
      </c>
      <c r="O52" t="n">
        <v>87.6704473733128</v>
      </c>
      <c r="P52" t="n">
        <v>89.5613785911686</v>
      </c>
      <c r="Q52" t="n">
        <v>91.3809099846686</v>
      </c>
      <c r="R52" t="n">
        <v>93.6523283972895</v>
      </c>
      <c r="S52" t="n">
        <v>95.3439139676838</v>
      </c>
      <c r="T52" t="n">
        <v>95.8537744701848</v>
      </c>
      <c r="U52" t="n">
        <v>98.07004671227</v>
      </c>
      <c r="V52" t="n">
        <v>99.6744646543931</v>
      </c>
      <c r="W52" t="n">
        <v>98.5656016359882</v>
      </c>
      <c r="X52" t="n">
        <v>97.163245515151</v>
      </c>
      <c r="Y52" t="n">
        <v>97.6166739942216</v>
      </c>
      <c r="Z52" t="n">
        <v>98.8984055330113</v>
      </c>
      <c r="AA52" t="n">
        <v>98.3234148031682</v>
      </c>
      <c r="AB52" t="n">
        <v>97.7902901682944</v>
      </c>
      <c r="AC52" t="n">
        <v>97.3457888493476</v>
      </c>
      <c r="AD52" t="n">
        <v>97.6934523809524</v>
      </c>
      <c r="AE52" t="n">
        <v>100</v>
      </c>
      <c r="AF52" t="n">
        <v>97.7553310886644</v>
      </c>
    </row>
    <row r="53">
      <c r="A53" t="s">
        <v>76</v>
      </c>
      <c r="B53" t="s">
        <v>376</v>
      </c>
      <c r="C53" t="s">
        <v>246</v>
      </c>
      <c r="D53" t="s">
        <v>377</v>
      </c>
      <c r="E53" t="s">
        <v>247</v>
      </c>
      <c r="F53" t="n">
        <v>65.1729577068292</v>
      </c>
      <c r="G53" t="n">
        <v>67.4982564951799</v>
      </c>
      <c r="H53" t="n">
        <v>70.0317803047665</v>
      </c>
      <c r="I53" t="n">
        <v>72.0461583184287</v>
      </c>
      <c r="J53" t="n">
        <v>74.5508880412178</v>
      </c>
      <c r="K53" t="n">
        <v>76.1174873475217</v>
      </c>
      <c r="L53" t="n">
        <v>77.9694239338138</v>
      </c>
      <c r="M53" t="n">
        <v>80.1964554832917</v>
      </c>
      <c r="N53" t="n">
        <v>81.8677765723552</v>
      </c>
      <c r="O53" t="n">
        <v>84.5135149396947</v>
      </c>
      <c r="P53" t="n">
        <v>86.5201350400194</v>
      </c>
      <c r="Q53" t="n">
        <v>88.2925743546535</v>
      </c>
      <c r="R53" t="n">
        <v>90.4640390603597</v>
      </c>
      <c r="S53" t="n">
        <v>92.3829732222461</v>
      </c>
      <c r="T53" t="n">
        <v>93.1383154027717</v>
      </c>
      <c r="U53" t="n">
        <v>95.4037608966213</v>
      </c>
      <c r="V53" t="n">
        <v>96.9565032788689</v>
      </c>
      <c r="W53" t="n">
        <v>95.8228104422305</v>
      </c>
      <c r="X53" t="n">
        <v>94.438048122204</v>
      </c>
      <c r="Y53" t="n">
        <v>94.9827992073575</v>
      </c>
      <c r="Z53" t="n">
        <v>96.0595272955381</v>
      </c>
      <c r="AA53" t="n">
        <v>97.681889238421</v>
      </c>
      <c r="AB53" t="n">
        <v>98.0695157830179</v>
      </c>
      <c r="AC53" t="n">
        <v>97.9591185795098</v>
      </c>
      <c r="AD53" t="n">
        <v>98.0462265355638</v>
      </c>
      <c r="AE53" t="n">
        <v>100</v>
      </c>
      <c r="AF53" t="n">
        <v>98.6538461538462</v>
      </c>
    </row>
    <row r="54">
      <c r="A54" t="s">
        <v>76</v>
      </c>
      <c r="B54" t="s">
        <v>378</v>
      </c>
      <c r="C54" t="s">
        <v>246</v>
      </c>
      <c r="D54" t="s">
        <v>379</v>
      </c>
      <c r="E54" t="s">
        <v>247</v>
      </c>
      <c r="F54" t="n">
        <v>65.5262282453836</v>
      </c>
      <c r="G54" t="n">
        <v>67.8584925470216</v>
      </c>
      <c r="H54" t="n">
        <v>70.4056734989332</v>
      </c>
      <c r="I54" t="n">
        <v>72.424426880743</v>
      </c>
      <c r="J54" t="n">
        <v>74.9484645174118</v>
      </c>
      <c r="K54" t="n">
        <v>76.5185962288764</v>
      </c>
      <c r="L54" t="n">
        <v>78.4050331158749</v>
      </c>
      <c r="M54" t="n">
        <v>80.6679601299395</v>
      </c>
      <c r="N54" t="n">
        <v>82.362037118462</v>
      </c>
      <c r="O54" t="n">
        <v>85.0265415131866</v>
      </c>
      <c r="P54" t="n">
        <v>87.0516750945263</v>
      </c>
      <c r="Q54" t="n">
        <v>88.8394206579117</v>
      </c>
      <c r="R54" t="n">
        <v>91.021928436074</v>
      </c>
      <c r="S54" t="n">
        <v>92.9635726754989</v>
      </c>
      <c r="T54" t="n">
        <v>93.7513995625794</v>
      </c>
      <c r="U54" t="n">
        <v>96.041404141088</v>
      </c>
      <c r="V54" t="n">
        <v>97.5933753721097</v>
      </c>
      <c r="W54" t="n">
        <v>96.436948294048</v>
      </c>
      <c r="X54" t="n">
        <v>95.0351393117075</v>
      </c>
      <c r="Y54" t="n">
        <v>95.5423798570235</v>
      </c>
      <c r="Z54" t="n">
        <v>96.7912998551545</v>
      </c>
      <c r="AA54" t="n">
        <v>98.0128980863933</v>
      </c>
      <c r="AB54" t="n">
        <v>98.219743488199</v>
      </c>
      <c r="AC54" t="n">
        <v>98.0534998848185</v>
      </c>
      <c r="AD54" t="n">
        <v>98.1158088235294</v>
      </c>
      <c r="AE54" t="n">
        <v>100</v>
      </c>
      <c r="AF54" t="n">
        <v>98.2907133243607</v>
      </c>
    </row>
    <row r="55">
      <c r="A55" t="s">
        <v>76</v>
      </c>
      <c r="B55" t="s">
        <v>380</v>
      </c>
      <c r="C55" t="s">
        <v>246</v>
      </c>
      <c r="D55" t="s">
        <v>381</v>
      </c>
      <c r="E55" t="s">
        <v>247</v>
      </c>
      <c r="F55" t="n">
        <v>66.8029120035845</v>
      </c>
      <c r="G55" t="n">
        <v>69.1187462863754</v>
      </c>
      <c r="H55" t="n">
        <v>71.7147555365679</v>
      </c>
      <c r="I55" t="n">
        <v>73.6976520030168</v>
      </c>
      <c r="J55" t="n">
        <v>76.3297110031245</v>
      </c>
      <c r="K55" t="n">
        <v>77.8748468533902</v>
      </c>
      <c r="L55" t="n">
        <v>80.0231184907251</v>
      </c>
      <c r="M55" t="n">
        <v>82.6045094097808</v>
      </c>
      <c r="N55" t="n">
        <v>84.4890229324374</v>
      </c>
      <c r="O55" t="n">
        <v>87.2478481710476</v>
      </c>
      <c r="P55" t="n">
        <v>89.4290443753237</v>
      </c>
      <c r="Q55" t="n">
        <v>91.313564467524</v>
      </c>
      <c r="R55" t="n">
        <v>93.5291448878799</v>
      </c>
      <c r="S55" t="n">
        <v>95.5892582114015</v>
      </c>
      <c r="T55" t="n">
        <v>96.743253280352</v>
      </c>
      <c r="U55" t="n">
        <v>99.2193146074542</v>
      </c>
      <c r="V55" t="n">
        <v>100.697442199372</v>
      </c>
      <c r="W55" t="n">
        <v>99.3945178086219</v>
      </c>
      <c r="X55" t="n">
        <v>97.8675070601654</v>
      </c>
      <c r="Y55" t="n">
        <v>98.1894396491791</v>
      </c>
      <c r="Z55" t="n">
        <v>100.33565690927</v>
      </c>
      <c r="AA55" t="n">
        <v>100.150364837416</v>
      </c>
      <c r="AB55" t="n">
        <v>99.2273200002046</v>
      </c>
      <c r="AC55" t="n">
        <v>98.8029088795878</v>
      </c>
      <c r="AD55" t="n">
        <v>98.7399770904926</v>
      </c>
      <c r="AE55" t="n">
        <v>100</v>
      </c>
      <c r="AF55" t="n">
        <v>96.3865546218487</v>
      </c>
    </row>
    <row r="56">
      <c r="A56" t="s">
        <v>76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76</v>
      </c>
      <c r="B57" t="s">
        <v>384</v>
      </c>
      <c r="C57" t="s">
        <v>246</v>
      </c>
      <c r="D57" t="s">
        <v>385</v>
      </c>
      <c r="E57" t="s">
        <v>247</v>
      </c>
      <c r="F57" t="n">
        <v>66.9892573454695</v>
      </c>
      <c r="G57" t="n">
        <v>69.3765000107442</v>
      </c>
      <c r="H57" t="n">
        <v>71.9905169134431</v>
      </c>
      <c r="I57" t="n">
        <v>74.0578605301604</v>
      </c>
      <c r="J57" t="n">
        <v>76.63292427464</v>
      </c>
      <c r="K57" t="n">
        <v>78.2870552127916</v>
      </c>
      <c r="L57" t="n">
        <v>80.484948129418</v>
      </c>
      <c r="M57" t="n">
        <v>83.0065049037295</v>
      </c>
      <c r="N57" t="n">
        <v>84.8196481168758</v>
      </c>
      <c r="O57" t="n">
        <v>87.5885599693509</v>
      </c>
      <c r="P57" t="n">
        <v>89.8334169524848</v>
      </c>
      <c r="Q57" t="n">
        <v>91.7672652472659</v>
      </c>
      <c r="R57" t="n">
        <v>94.0620460686066</v>
      </c>
      <c r="S57" t="n">
        <v>96.2571370615279</v>
      </c>
      <c r="T57" t="n">
        <v>97.3645196057656</v>
      </c>
      <c r="U57" t="n">
        <v>99.709879018645</v>
      </c>
      <c r="V57" t="n">
        <v>101.201652743448</v>
      </c>
      <c r="W57" t="n">
        <v>99.9738901294578</v>
      </c>
      <c r="X57" t="n">
        <v>98.4936292534266</v>
      </c>
      <c r="Y57" t="n">
        <v>98.6425428776858</v>
      </c>
      <c r="Z57" t="n">
        <v>100.35811265195</v>
      </c>
      <c r="AA57" t="n">
        <v>100.567641978326</v>
      </c>
      <c r="AB57" t="n">
        <v>100.292864798609</v>
      </c>
      <c r="AC57" t="n">
        <v>99.8895714798702</v>
      </c>
      <c r="AD57" t="n">
        <v>99.2957640959559</v>
      </c>
      <c r="AE57" t="n">
        <v>100</v>
      </c>
      <c r="AF57" t="n">
        <v>98.0482769132706</v>
      </c>
    </row>
    <row r="58">
      <c r="A58" t="s">
        <v>76</v>
      </c>
      <c r="B58" t="s">
        <v>386</v>
      </c>
      <c r="C58" t="s">
        <v>246</v>
      </c>
      <c r="D58" t="s">
        <v>387</v>
      </c>
      <c r="E58" t="s">
        <v>247</v>
      </c>
      <c r="F58" t="n">
        <v>66.9892573454695</v>
      </c>
      <c r="G58" t="n">
        <v>69.3765000107442</v>
      </c>
      <c r="H58" t="n">
        <v>71.9905169134431</v>
      </c>
      <c r="I58" t="n">
        <v>74.0578605301604</v>
      </c>
      <c r="J58" t="n">
        <v>76.63292427464</v>
      </c>
      <c r="K58" t="n">
        <v>78.2870552127916</v>
      </c>
      <c r="L58" t="n">
        <v>80.484948129418</v>
      </c>
      <c r="M58" t="n">
        <v>83.0065049037295</v>
      </c>
      <c r="N58" t="n">
        <v>84.8196481168758</v>
      </c>
      <c r="O58" t="n">
        <v>87.5885599693509</v>
      </c>
      <c r="P58" t="n">
        <v>89.8334169524848</v>
      </c>
      <c r="Q58" t="n">
        <v>91.7672652472659</v>
      </c>
      <c r="R58" t="n">
        <v>94.0620460686066</v>
      </c>
      <c r="S58" t="n">
        <v>96.2571370615279</v>
      </c>
      <c r="T58" t="n">
        <v>97.3645196057656</v>
      </c>
      <c r="U58" t="n">
        <v>99.709879018645</v>
      </c>
      <c r="V58" t="n">
        <v>101.201652743448</v>
      </c>
      <c r="W58" t="n">
        <v>99.9738901294578</v>
      </c>
      <c r="X58" t="n">
        <v>98.4936292534266</v>
      </c>
      <c r="Y58" t="n">
        <v>98.6425428776858</v>
      </c>
      <c r="Z58" t="n">
        <v>100.35811265195</v>
      </c>
      <c r="AA58" t="n">
        <v>100.567641978326</v>
      </c>
      <c r="AB58" t="n">
        <v>100.292864798609</v>
      </c>
      <c r="AC58" t="n">
        <v>99.8895714798702</v>
      </c>
      <c r="AD58" t="n">
        <v>99.2957640959559</v>
      </c>
      <c r="AE58" t="n">
        <v>100</v>
      </c>
      <c r="AF58" t="n">
        <v>98.0482769132706</v>
      </c>
    </row>
    <row r="59">
      <c r="A59" t="s">
        <v>76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78</v>
      </c>
      <c r="B2" t="s">
        <v>197</v>
      </c>
      <c r="C2" t="s">
        <v>246</v>
      </c>
      <c r="D2" t="s">
        <v>199</v>
      </c>
      <c r="E2" t="s">
        <v>247</v>
      </c>
      <c r="F2" t="n">
        <v>54.5413531739862</v>
      </c>
      <c r="G2" t="n">
        <v>60.127075212484</v>
      </c>
      <c r="H2" t="n">
        <v>61.9240712768901</v>
      </c>
      <c r="I2" t="n">
        <v>68.4172134085729</v>
      </c>
      <c r="J2" t="n">
        <v>72.2088764173609</v>
      </c>
      <c r="K2" t="n">
        <v>75.6893155982374</v>
      </c>
      <c r="L2" t="n">
        <v>77.9148302108117</v>
      </c>
      <c r="M2" t="n">
        <v>79.4081833193764</v>
      </c>
      <c r="N2" t="n">
        <v>79.871526428492</v>
      </c>
      <c r="O2" t="n">
        <v>81.1066531258398</v>
      </c>
      <c r="P2" t="n">
        <v>82.1846150428458</v>
      </c>
      <c r="Q2" t="n">
        <v>83.5073076222046</v>
      </c>
      <c r="R2" t="n">
        <v>84.4537371997892</v>
      </c>
      <c r="S2" t="n">
        <v>86.8352002853185</v>
      </c>
      <c r="T2" t="n">
        <v>88.0513795610233</v>
      </c>
      <c r="U2" t="n">
        <v>92.8666893807667</v>
      </c>
      <c r="V2" t="n">
        <v>91.9941896566961</v>
      </c>
      <c r="W2" t="n">
        <v>94.4889473423014</v>
      </c>
      <c r="X2" t="n">
        <v>94.5603675594914</v>
      </c>
      <c r="Y2" t="n">
        <v>93.2095051657843</v>
      </c>
      <c r="Z2" t="n">
        <v>95.80569382869</v>
      </c>
      <c r="AA2" t="n">
        <v>96.2471947219098</v>
      </c>
      <c r="AB2" t="n">
        <v>97.6871133831037</v>
      </c>
      <c r="AC2" t="n">
        <v>98.2075165746424</v>
      </c>
      <c r="AD2" t="n">
        <v>101.980582524272</v>
      </c>
      <c r="AE2" t="n">
        <v>100</v>
      </c>
      <c r="AF2" t="n">
        <v>108.804581245526</v>
      </c>
    </row>
    <row r="3">
      <c r="A3" t="s">
        <v>78</v>
      </c>
      <c r="B3" t="s">
        <v>276</v>
      </c>
      <c r="C3" t="s">
        <v>246</v>
      </c>
      <c r="D3" t="s">
        <v>277</v>
      </c>
      <c r="E3" t="s">
        <v>247</v>
      </c>
      <c r="F3" t="n">
        <v>39.7275710331447</v>
      </c>
      <c r="G3" t="n">
        <v>43.8989659916249</v>
      </c>
      <c r="H3" t="n">
        <v>45.2566659707473</v>
      </c>
      <c r="I3" t="n">
        <v>49.8746931106195</v>
      </c>
      <c r="J3" t="n">
        <v>53.1765020621936</v>
      </c>
      <c r="K3" t="n">
        <v>55.7087164461076</v>
      </c>
      <c r="L3" t="n">
        <v>57.4428399152471</v>
      </c>
      <c r="M3" t="n">
        <v>58.7612001755971</v>
      </c>
      <c r="N3" t="n">
        <v>59.5081645846089</v>
      </c>
      <c r="O3" t="n">
        <v>60.3463077477724</v>
      </c>
      <c r="P3" t="n">
        <v>61.3323585279648</v>
      </c>
      <c r="Q3" t="n">
        <v>62.3971564190753</v>
      </c>
      <c r="R3" t="n">
        <v>63.0129178311056</v>
      </c>
      <c r="S3" t="n">
        <v>64.6932623066018</v>
      </c>
      <c r="T3" t="n">
        <v>65.8695034394491</v>
      </c>
      <c r="U3" t="n">
        <v>68.8772433225289</v>
      </c>
      <c r="V3" t="n">
        <v>70.3303497217384</v>
      </c>
      <c r="W3" t="n">
        <v>98.4624896104337</v>
      </c>
      <c r="X3" t="n">
        <v>98.4624896104337</v>
      </c>
      <c r="Y3" t="n">
        <v>96.0609654735939</v>
      </c>
      <c r="Z3" t="n">
        <v>98.4039158509986</v>
      </c>
      <c r="AA3" t="n">
        <v>97.9238967492864</v>
      </c>
      <c r="AB3" t="n">
        <v>97.9238967492864</v>
      </c>
      <c r="AC3" t="n">
        <v>97.9238967492864</v>
      </c>
      <c r="AD3" t="n">
        <v>100.956937799043</v>
      </c>
      <c r="AE3" t="n">
        <v>100</v>
      </c>
      <c r="AF3" t="n">
        <v>105.780346820809</v>
      </c>
    </row>
    <row r="4">
      <c r="A4" t="s">
        <v>78</v>
      </c>
      <c r="B4" t="s">
        <v>278</v>
      </c>
      <c r="C4" t="s">
        <v>246</v>
      </c>
      <c r="D4" t="s">
        <v>279</v>
      </c>
      <c r="E4" t="s">
        <v>247</v>
      </c>
      <c r="F4" t="n">
        <v>56.1586375722094</v>
      </c>
      <c r="G4" t="n">
        <v>62.2704295965481</v>
      </c>
      <c r="H4" t="n">
        <v>64.1327458708755</v>
      </c>
      <c r="I4" t="n">
        <v>71.5377157259882</v>
      </c>
      <c r="J4" t="n">
        <v>76.6345504342011</v>
      </c>
      <c r="K4" t="n">
        <v>80.4615952536849</v>
      </c>
      <c r="L4" t="n">
        <v>82.7984714271633</v>
      </c>
      <c r="M4" t="n">
        <v>84.4553498663216</v>
      </c>
      <c r="N4" t="n">
        <v>85.0338111667759</v>
      </c>
      <c r="O4" t="n">
        <v>85.9944337401095</v>
      </c>
      <c r="P4" t="n">
        <v>87.2000272034087</v>
      </c>
      <c r="Q4" t="n">
        <v>88.3921898575395</v>
      </c>
      <c r="R4" t="n">
        <v>89.1665726138935</v>
      </c>
      <c r="S4" t="n">
        <v>91.3214714383768</v>
      </c>
      <c r="T4" t="n">
        <v>92.941425381511</v>
      </c>
      <c r="U4" t="n">
        <v>97.8645881840023</v>
      </c>
      <c r="V4" t="n">
        <v>97.6210833614495</v>
      </c>
      <c r="W4" t="n">
        <v>98.9551658376165</v>
      </c>
      <c r="X4" t="n">
        <v>97.2898921479152</v>
      </c>
      <c r="Y4" t="n">
        <v>95.1946655036221</v>
      </c>
      <c r="Z4" t="n">
        <v>98.1555385439509</v>
      </c>
      <c r="AA4" t="n">
        <v>98.5693426717405</v>
      </c>
      <c r="AB4" t="n">
        <v>98.302704414639</v>
      </c>
      <c r="AC4" t="n">
        <v>98.2747656042327</v>
      </c>
      <c r="AD4" t="n">
        <v>101.894502228826</v>
      </c>
      <c r="AE4" t="n">
        <v>100</v>
      </c>
      <c r="AF4" t="n">
        <v>102.84837861525</v>
      </c>
    </row>
    <row r="5">
      <c r="A5" t="s">
        <v>78</v>
      </c>
      <c r="B5" t="s">
        <v>280</v>
      </c>
      <c r="C5" t="s">
        <v>246</v>
      </c>
      <c r="D5" t="s">
        <v>281</v>
      </c>
      <c r="E5" t="s">
        <v>247</v>
      </c>
      <c r="F5" t="n">
        <v>56.3599025702152</v>
      </c>
      <c r="G5" t="n">
        <v>62.348885883447</v>
      </c>
      <c r="H5" t="n">
        <v>64.190701987225</v>
      </c>
      <c r="I5" t="n">
        <v>71.5897326978426</v>
      </c>
      <c r="J5" t="n">
        <v>76.5948601414741</v>
      </c>
      <c r="K5" t="n">
        <v>80.3843606651109</v>
      </c>
      <c r="L5" t="n">
        <v>82.7416732945863</v>
      </c>
      <c r="M5" t="n">
        <v>84.4014507785152</v>
      </c>
      <c r="N5" t="n">
        <v>85.013646988224</v>
      </c>
      <c r="O5" t="n">
        <v>85.9887397956505</v>
      </c>
      <c r="P5" t="n">
        <v>87.2058993098271</v>
      </c>
      <c r="Q5" t="n">
        <v>88.4214491653148</v>
      </c>
      <c r="R5" t="n">
        <v>89.2439742738294</v>
      </c>
      <c r="S5" t="n">
        <v>91.4254070801735</v>
      </c>
      <c r="T5" t="n">
        <v>92.8557915455739</v>
      </c>
      <c r="U5" t="n">
        <v>97.5129550843921</v>
      </c>
      <c r="V5" t="n">
        <v>98.4013367759434</v>
      </c>
      <c r="W5" t="n">
        <v>99.5224738294818</v>
      </c>
      <c r="X5" t="n">
        <v>97.9674351758961</v>
      </c>
      <c r="Y5" t="n">
        <v>95.7277666726124</v>
      </c>
      <c r="Z5" t="n">
        <v>98.7549975231166</v>
      </c>
      <c r="AA5" t="n">
        <v>98.251915518414</v>
      </c>
      <c r="AB5" t="n">
        <v>97.9136157601116</v>
      </c>
      <c r="AC5" t="n">
        <v>97.9136157601116</v>
      </c>
      <c r="AD5" t="n">
        <v>100.705128205128</v>
      </c>
      <c r="AE5" t="n">
        <v>100</v>
      </c>
      <c r="AF5" t="n">
        <v>103.405918481295</v>
      </c>
    </row>
    <row r="6">
      <c r="A6" t="s">
        <v>78</v>
      </c>
      <c r="B6" t="s">
        <v>282</v>
      </c>
      <c r="C6" t="s">
        <v>246</v>
      </c>
      <c r="D6" t="s">
        <v>283</v>
      </c>
      <c r="E6" t="s">
        <v>247</v>
      </c>
      <c r="F6" t="n">
        <v>56.9918319790042</v>
      </c>
      <c r="G6" t="n">
        <v>63.0227136699041</v>
      </c>
      <c r="H6" t="n">
        <v>64.906897893025</v>
      </c>
      <c r="I6" t="n">
        <v>72.5346943809974</v>
      </c>
      <c r="J6" t="n">
        <v>77.7781662639611</v>
      </c>
      <c r="K6" t="n">
        <v>81.7240709785927</v>
      </c>
      <c r="L6" t="n">
        <v>84.117838730792</v>
      </c>
      <c r="M6" t="n">
        <v>85.782270851797</v>
      </c>
      <c r="N6" t="n">
        <v>86.307736523171</v>
      </c>
      <c r="O6" t="n">
        <v>87.2486533732749</v>
      </c>
      <c r="P6" t="n">
        <v>88.4734823864701</v>
      </c>
      <c r="Q6" t="n">
        <v>89.6860631095334</v>
      </c>
      <c r="R6" t="n">
        <v>90.4180184973693</v>
      </c>
      <c r="S6" t="n">
        <v>92.5542204772975</v>
      </c>
      <c r="T6" t="n">
        <v>94.3567745839714</v>
      </c>
      <c r="U6" t="n">
        <v>99.623199211914</v>
      </c>
      <c r="V6" t="n">
        <v>98.6577411941123</v>
      </c>
      <c r="W6" t="n">
        <v>97.7442435904631</v>
      </c>
      <c r="X6" t="n">
        <v>95.8717485025232</v>
      </c>
      <c r="Y6" t="n">
        <v>94.0494766196875</v>
      </c>
      <c r="Z6" t="n">
        <v>96.7941111513905</v>
      </c>
      <c r="AA6" t="n">
        <v>97.9400024393944</v>
      </c>
      <c r="AB6" t="n">
        <v>97.7568228837097</v>
      </c>
      <c r="AC6" t="n">
        <v>97.8930693267532</v>
      </c>
      <c r="AD6" t="n">
        <v>100.112866817156</v>
      </c>
      <c r="AE6" t="n">
        <v>100</v>
      </c>
      <c r="AF6" t="n">
        <v>101.212121212121</v>
      </c>
    </row>
    <row r="7">
      <c r="A7" t="s">
        <v>78</v>
      </c>
      <c r="B7" t="s">
        <v>284</v>
      </c>
      <c r="C7" t="s">
        <v>246</v>
      </c>
      <c r="D7" t="s">
        <v>285</v>
      </c>
      <c r="E7" t="s">
        <v>247</v>
      </c>
      <c r="F7" t="n">
        <v>56.3987544929596</v>
      </c>
      <c r="G7" t="n">
        <v>62.6037255177253</v>
      </c>
      <c r="H7" t="n">
        <v>64.4724934436276</v>
      </c>
      <c r="I7" t="n">
        <v>71.9592225287321</v>
      </c>
      <c r="J7" t="n">
        <v>77.0924393190671</v>
      </c>
      <c r="K7" t="n">
        <v>80.8908870578969</v>
      </c>
      <c r="L7" t="n">
        <v>83.2452995710165</v>
      </c>
      <c r="M7" t="n">
        <v>84.9441832357311</v>
      </c>
      <c r="N7" t="n">
        <v>85.5037628354395</v>
      </c>
      <c r="O7" t="n">
        <v>86.4593931259533</v>
      </c>
      <c r="P7" t="n">
        <v>87.6845262269283</v>
      </c>
      <c r="Q7" t="n">
        <v>88.8742755651499</v>
      </c>
      <c r="R7" t="n">
        <v>89.6399616315573</v>
      </c>
      <c r="S7" t="n">
        <v>91.8167726549886</v>
      </c>
      <c r="T7" t="n">
        <v>93.4734855518973</v>
      </c>
      <c r="U7" t="n">
        <v>98.3598052225676</v>
      </c>
      <c r="V7" t="n">
        <v>98.2030565289858</v>
      </c>
      <c r="W7" t="n">
        <v>98.7852880894344</v>
      </c>
      <c r="X7" t="n">
        <v>97.1919769912177</v>
      </c>
      <c r="Y7" t="n">
        <v>95.1303289944343</v>
      </c>
      <c r="Z7" t="n">
        <v>98.0536681696794</v>
      </c>
      <c r="AA7" t="n">
        <v>98.1349730354917</v>
      </c>
      <c r="AB7" t="n">
        <v>97.8930626664642</v>
      </c>
      <c r="AC7" t="n">
        <v>97.8930626664642</v>
      </c>
      <c r="AD7" t="n">
        <v>100.643776824034</v>
      </c>
      <c r="AE7" t="n">
        <v>100</v>
      </c>
      <c r="AF7" t="n">
        <v>102.881355932203</v>
      </c>
    </row>
    <row r="8">
      <c r="A8" t="s">
        <v>78</v>
      </c>
      <c r="B8" t="s">
        <v>286</v>
      </c>
      <c r="C8" t="s">
        <v>246</v>
      </c>
      <c r="D8" t="s">
        <v>287</v>
      </c>
      <c r="E8" t="s">
        <v>247</v>
      </c>
      <c r="F8" t="n">
        <v>46.2954118400356</v>
      </c>
      <c r="G8" t="n">
        <v>51.7419308800398</v>
      </c>
      <c r="H8" t="n">
        <v>52.7001147852257</v>
      </c>
      <c r="I8" t="n">
        <v>57.7674335145743</v>
      </c>
      <c r="J8" t="n">
        <v>61.683869685054</v>
      </c>
      <c r="K8" t="n">
        <v>65.1107513342236</v>
      </c>
      <c r="L8" t="n">
        <v>66.9448570056102</v>
      </c>
      <c r="M8" t="n">
        <v>68.369215665304</v>
      </c>
      <c r="N8" t="n">
        <v>69.1831348994148</v>
      </c>
      <c r="O8" t="n">
        <v>70.6396219499288</v>
      </c>
      <c r="P8" t="n">
        <v>71.4074439276454</v>
      </c>
      <c r="Q8" t="n">
        <v>72.1436031433943</v>
      </c>
      <c r="R8" t="n">
        <v>72.9824822497129</v>
      </c>
      <c r="S8" t="n">
        <v>75.4425659210515</v>
      </c>
      <c r="T8" t="n">
        <v>76.5685743676344</v>
      </c>
      <c r="U8" t="n">
        <v>79.8500846976758</v>
      </c>
      <c r="V8" t="n">
        <v>80.8738037322614</v>
      </c>
      <c r="W8" t="n">
        <v>93.1806869089099</v>
      </c>
      <c r="X8" t="n">
        <v>93.1806869089099</v>
      </c>
      <c r="Y8" t="n">
        <v>93.1806869089099</v>
      </c>
      <c r="Z8" t="n">
        <v>97.9591836734694</v>
      </c>
      <c r="AA8" t="n">
        <v>97.9591836734694</v>
      </c>
      <c r="AB8" t="n">
        <v>97.9591836734694</v>
      </c>
      <c r="AC8" t="n">
        <v>97.9591836734694</v>
      </c>
      <c r="AD8" t="n">
        <v>100</v>
      </c>
      <c r="AE8" t="n">
        <v>100</v>
      </c>
      <c r="AF8" t="n">
        <v>104.807692307692</v>
      </c>
    </row>
    <row r="9">
      <c r="A9" t="s">
        <v>78</v>
      </c>
      <c r="B9" t="s">
        <v>288</v>
      </c>
      <c r="C9" t="s">
        <v>246</v>
      </c>
      <c r="D9" t="s">
        <v>289</v>
      </c>
      <c r="E9" t="s">
        <v>247</v>
      </c>
      <c r="F9" t="n">
        <v>54.6354692279151</v>
      </c>
      <c r="G9" t="n">
        <v>60.7060769199057</v>
      </c>
      <c r="H9" t="n">
        <v>62.5787579559953</v>
      </c>
      <c r="I9" t="n">
        <v>69.8909497823752</v>
      </c>
      <c r="J9" t="n">
        <v>74.9924789635705</v>
      </c>
      <c r="K9" t="n">
        <v>78.742102911749</v>
      </c>
      <c r="L9" t="n">
        <v>81.0476149339399</v>
      </c>
      <c r="M9" t="n">
        <v>82.6367838542132</v>
      </c>
      <c r="N9" t="n">
        <v>83.2534762710357</v>
      </c>
      <c r="O9" t="n">
        <v>84.1785148962694</v>
      </c>
      <c r="P9" t="n">
        <v>85.3369348260346</v>
      </c>
      <c r="Q9" t="n">
        <v>86.4191061010024</v>
      </c>
      <c r="R9" t="n">
        <v>87.0737962987373</v>
      </c>
      <c r="S9" t="n">
        <v>89.117044226325</v>
      </c>
      <c r="T9" t="n">
        <v>90.6360847529101</v>
      </c>
      <c r="U9" t="n">
        <v>95.4734038829811</v>
      </c>
      <c r="V9" t="n">
        <v>94.3884788388563</v>
      </c>
      <c r="W9" t="n">
        <v>96.5938171294838</v>
      </c>
      <c r="X9" t="n">
        <v>94.8132859381569</v>
      </c>
      <c r="Y9" t="n">
        <v>93.6131177617246</v>
      </c>
      <c r="Z9" t="n">
        <v>96.2962962962963</v>
      </c>
      <c r="AA9" t="n">
        <v>97.7777777777778</v>
      </c>
      <c r="AB9" t="n">
        <v>97.7777777777778</v>
      </c>
      <c r="AC9" t="n">
        <v>97.7777777777778</v>
      </c>
      <c r="AD9" t="n">
        <v>100</v>
      </c>
      <c r="AE9" t="n">
        <v>100</v>
      </c>
      <c r="AF9" t="n">
        <v>101.496259351621</v>
      </c>
    </row>
    <row r="10">
      <c r="A10" t="s">
        <v>78</v>
      </c>
      <c r="B10" t="s">
        <v>290</v>
      </c>
      <c r="C10" t="s">
        <v>246</v>
      </c>
      <c r="D10" t="s">
        <v>291</v>
      </c>
      <c r="E10" t="s">
        <v>247</v>
      </c>
      <c r="F10" t="n">
        <v>54.7331114105116</v>
      </c>
      <c r="G10" t="n">
        <v>60.6865375639357</v>
      </c>
      <c r="H10" t="n">
        <v>62.5375430669752</v>
      </c>
      <c r="I10" t="n">
        <v>69.8617598225669</v>
      </c>
      <c r="J10" t="n">
        <v>75.0212111467884</v>
      </c>
      <c r="K10" t="n">
        <v>78.8396560255171</v>
      </c>
      <c r="L10" t="n">
        <v>81.2287365111388</v>
      </c>
      <c r="M10" t="n">
        <v>82.8720924521157</v>
      </c>
      <c r="N10" t="n">
        <v>83.5205438797535</v>
      </c>
      <c r="O10" t="n">
        <v>84.4842424629814</v>
      </c>
      <c r="P10" t="n">
        <v>85.600072080417</v>
      </c>
      <c r="Q10" t="n">
        <v>86.7198404651899</v>
      </c>
      <c r="R10" t="n">
        <v>87.396282278491</v>
      </c>
      <c r="S10" t="n">
        <v>89.4648333383369</v>
      </c>
      <c r="T10" t="n">
        <v>91.1409894664556</v>
      </c>
      <c r="U10" t="n">
        <v>96.2043777701476</v>
      </c>
      <c r="V10" t="n">
        <v>94.7896075088219</v>
      </c>
      <c r="W10" t="n">
        <v>96.6337632969313</v>
      </c>
      <c r="X10" t="n">
        <v>94.7682466309674</v>
      </c>
      <c r="Y10" t="n">
        <v>93.7074080492774</v>
      </c>
      <c r="Z10" t="n">
        <v>96.3031811254347</v>
      </c>
      <c r="AA10" t="n">
        <v>98.0501776084357</v>
      </c>
      <c r="AB10" t="n">
        <v>97.8540772532189</v>
      </c>
      <c r="AC10" t="n">
        <v>97.8540772532189</v>
      </c>
      <c r="AD10" t="n">
        <v>100</v>
      </c>
      <c r="AE10" t="n">
        <v>100</v>
      </c>
      <c r="AF10" t="n">
        <v>101.066098081023</v>
      </c>
    </row>
    <row r="11">
      <c r="A11" t="s">
        <v>78</v>
      </c>
      <c r="B11" t="s">
        <v>292</v>
      </c>
      <c r="C11" t="s">
        <v>246</v>
      </c>
      <c r="D11" t="s">
        <v>293</v>
      </c>
      <c r="E11" t="s">
        <v>247</v>
      </c>
      <c r="F11" t="n">
        <v>55.2162521942581</v>
      </c>
      <c r="G11" t="n">
        <v>60.7378774136839</v>
      </c>
      <c r="H11" t="n">
        <v>62.4732453397892</v>
      </c>
      <c r="I11" t="n">
        <v>69.8713928142379</v>
      </c>
      <c r="J11" t="n">
        <v>75.3058344775675</v>
      </c>
      <c r="K11" t="n">
        <v>79.4894919485435</v>
      </c>
      <c r="L11" t="n">
        <v>82.2070814168698</v>
      </c>
      <c r="M11" t="n">
        <v>84.0896863348133</v>
      </c>
      <c r="N11" t="n">
        <v>84.9060910565106</v>
      </c>
      <c r="O11" t="n">
        <v>86.0381722705974</v>
      </c>
      <c r="P11" t="n">
        <v>86.9534719756037</v>
      </c>
      <c r="Q11" t="n">
        <v>88.2321995046567</v>
      </c>
      <c r="R11" t="n">
        <v>89.0130154294767</v>
      </c>
      <c r="S11" t="n">
        <v>91.2018600711851</v>
      </c>
      <c r="T11" t="n">
        <v>93.6339096730834</v>
      </c>
      <c r="U11" t="n">
        <v>99.7940353094705</v>
      </c>
      <c r="V11" t="n">
        <v>96.915361214005</v>
      </c>
      <c r="W11" t="n">
        <v>96.915361214005</v>
      </c>
      <c r="X11" t="n">
        <v>94.6078526136715</v>
      </c>
      <c r="Y11" t="n">
        <v>94.6078526136715</v>
      </c>
      <c r="Z11" t="n">
        <v>96.620785648005</v>
      </c>
      <c r="AA11" t="n">
        <v>100.409836065574</v>
      </c>
      <c r="AB11" t="n">
        <v>98.3606557377049</v>
      </c>
      <c r="AC11" t="n">
        <v>98.3606557377049</v>
      </c>
      <c r="AD11" t="n">
        <v>100</v>
      </c>
      <c r="AE11" t="n">
        <v>100</v>
      </c>
      <c r="AF11" t="n">
        <v>98.5294117647059</v>
      </c>
    </row>
    <row r="12">
      <c r="A12" t="s">
        <v>78</v>
      </c>
      <c r="B12" t="s">
        <v>294</v>
      </c>
      <c r="C12" t="s">
        <v>246</v>
      </c>
      <c r="D12" t="s">
        <v>295</v>
      </c>
      <c r="E12" t="s">
        <v>247</v>
      </c>
      <c r="F12" t="n">
        <v>53.2760725882174</v>
      </c>
      <c r="G12" t="n">
        <v>58.9776545798218</v>
      </c>
      <c r="H12" t="n">
        <v>60.7566880360687</v>
      </c>
      <c r="I12" t="n">
        <v>67.3639157619862</v>
      </c>
      <c r="J12" t="n">
        <v>72.0040888114523</v>
      </c>
      <c r="K12" t="n">
        <v>75.5319273336215</v>
      </c>
      <c r="L12" t="n">
        <v>77.703181513854</v>
      </c>
      <c r="M12" t="n">
        <v>79.2857310355211</v>
      </c>
      <c r="N12" t="n">
        <v>79.9185703938434</v>
      </c>
      <c r="O12" t="n">
        <v>80.8790339338796</v>
      </c>
      <c r="P12" t="n">
        <v>82.0390889243254</v>
      </c>
      <c r="Q12" t="n">
        <v>83.207622116273</v>
      </c>
      <c r="R12" t="n">
        <v>84.0038673039886</v>
      </c>
      <c r="S12" t="n">
        <v>86.1029350318197</v>
      </c>
      <c r="T12" t="n">
        <v>87.5666212888277</v>
      </c>
      <c r="U12" t="n">
        <v>91.9157418420905</v>
      </c>
      <c r="V12" t="n">
        <v>91.9741010432601</v>
      </c>
      <c r="W12" t="n">
        <v>98.1532396146418</v>
      </c>
      <c r="X12" t="n">
        <v>96.492184790394</v>
      </c>
      <c r="Y12" t="n">
        <v>94.9772108746028</v>
      </c>
      <c r="Z12" t="n">
        <v>97.6302055917705</v>
      </c>
      <c r="AA12" t="n">
        <v>98.0418578992551</v>
      </c>
      <c r="AB12" t="n">
        <v>97.8630581584054</v>
      </c>
      <c r="AC12" t="n">
        <v>97.9262771882235</v>
      </c>
      <c r="AD12" t="n">
        <v>100.667070952092</v>
      </c>
      <c r="AE12" t="n">
        <v>100</v>
      </c>
      <c r="AF12" t="n">
        <v>103.876326718966</v>
      </c>
    </row>
    <row r="13">
      <c r="A13" t="s">
        <v>78</v>
      </c>
      <c r="B13" t="s">
        <v>296</v>
      </c>
      <c r="C13" t="s">
        <v>246</v>
      </c>
      <c r="D13" t="s">
        <v>297</v>
      </c>
      <c r="E13" t="s">
        <v>247</v>
      </c>
      <c r="F13" t="n">
        <v>56.3736951968809</v>
      </c>
      <c r="G13" t="n">
        <v>62.5807536423896</v>
      </c>
      <c r="H13" t="n">
        <v>64.426188710481</v>
      </c>
      <c r="I13" t="n">
        <v>71.8901983781587</v>
      </c>
      <c r="J13" t="n">
        <v>77.0452973492131</v>
      </c>
      <c r="K13" t="n">
        <v>80.8805705001822</v>
      </c>
      <c r="L13" t="n">
        <v>83.2192299964657</v>
      </c>
      <c r="M13" t="n">
        <v>84.8720005331642</v>
      </c>
      <c r="N13" t="n">
        <v>85.433181896891</v>
      </c>
      <c r="O13" t="n">
        <v>86.3839134759713</v>
      </c>
      <c r="P13" t="n">
        <v>87.5720635831744</v>
      </c>
      <c r="Q13" t="n">
        <v>88.7564301450242</v>
      </c>
      <c r="R13" t="n">
        <v>89.5437855737301</v>
      </c>
      <c r="S13" t="n">
        <v>91.7020204055071</v>
      </c>
      <c r="T13" t="n">
        <v>93.3025316700222</v>
      </c>
      <c r="U13" t="n">
        <v>98.2690622058909</v>
      </c>
      <c r="V13" t="n">
        <v>97.9737628536862</v>
      </c>
      <c r="W13" t="n">
        <v>98.3752946686603</v>
      </c>
      <c r="X13" t="n">
        <v>96.6880226497347</v>
      </c>
      <c r="Y13" t="n">
        <v>94.7674660235451</v>
      </c>
      <c r="Z13" t="n">
        <v>97.6408502908494</v>
      </c>
      <c r="AA13" t="n">
        <v>98.0238921429176</v>
      </c>
      <c r="AB13" t="n">
        <v>97.7714159236184</v>
      </c>
      <c r="AC13" t="n">
        <v>97.804181143432</v>
      </c>
      <c r="AD13" t="n">
        <v>100.508905852417</v>
      </c>
      <c r="AE13" t="n">
        <v>100</v>
      </c>
      <c r="AF13" t="n">
        <v>102.580439630456</v>
      </c>
    </row>
    <row r="14">
      <c r="A14" t="s">
        <v>78</v>
      </c>
      <c r="B14" t="s">
        <v>298</v>
      </c>
      <c r="C14" t="s">
        <v>246</v>
      </c>
      <c r="D14" t="s">
        <v>299</v>
      </c>
      <c r="E14" t="s">
        <v>247</v>
      </c>
      <c r="F14" t="n">
        <v>55.584771949342</v>
      </c>
      <c r="G14" t="n">
        <v>61.6855396023185</v>
      </c>
      <c r="H14" t="n">
        <v>63.5361057903881</v>
      </c>
      <c r="I14" t="n">
        <v>70.9540267709918</v>
      </c>
      <c r="J14" t="n">
        <v>76.0412966149497</v>
      </c>
      <c r="K14" t="n">
        <v>79.8015805134911</v>
      </c>
      <c r="L14" t="n">
        <v>81.9939316264991</v>
      </c>
      <c r="M14" t="n">
        <v>83.5409869402066</v>
      </c>
      <c r="N14" t="n">
        <v>84.0631181085829</v>
      </c>
      <c r="O14" t="n">
        <v>85.0050017848696</v>
      </c>
      <c r="P14" t="n">
        <v>86.1118377456101</v>
      </c>
      <c r="Q14" t="n">
        <v>87.2979512131805</v>
      </c>
      <c r="R14" t="n">
        <v>87.9982021587408</v>
      </c>
      <c r="S14" t="n">
        <v>90.1214831759758</v>
      </c>
      <c r="T14" t="n">
        <v>91.6361299520426</v>
      </c>
      <c r="U14" t="n">
        <v>96.7709130959071</v>
      </c>
      <c r="V14" t="n">
        <v>95.4763189407779</v>
      </c>
      <c r="W14" t="n">
        <v>96.0346599872152</v>
      </c>
      <c r="X14" t="n">
        <v>93.931711228371</v>
      </c>
      <c r="Y14" t="n">
        <v>92.5993465300963</v>
      </c>
      <c r="Z14" t="n">
        <v>95.2300097837922</v>
      </c>
      <c r="AA14" t="n">
        <v>97.1422589762378</v>
      </c>
      <c r="AB14" t="n">
        <v>97.1422589762378</v>
      </c>
      <c r="AC14" t="n">
        <v>97.5609756097561</v>
      </c>
      <c r="AD14" t="n">
        <v>100</v>
      </c>
      <c r="AE14" t="n">
        <v>100</v>
      </c>
      <c r="AF14" t="n">
        <v>101.271186440678</v>
      </c>
    </row>
    <row r="15">
      <c r="A15" t="s">
        <v>78</v>
      </c>
      <c r="B15" t="s">
        <v>300</v>
      </c>
      <c r="C15" t="s">
        <v>246</v>
      </c>
      <c r="D15" t="s">
        <v>301</v>
      </c>
      <c r="E15" t="s">
        <v>247</v>
      </c>
      <c r="F15" t="n">
        <v>56.6694981073968</v>
      </c>
      <c r="G15" t="n">
        <v>62.9416561503514</v>
      </c>
      <c r="H15" t="n">
        <v>64.8463555111598</v>
      </c>
      <c r="I15" t="n">
        <v>72.3952633092147</v>
      </c>
      <c r="J15" t="n">
        <v>77.6247179952076</v>
      </c>
      <c r="K15" t="n">
        <v>81.4895079801385</v>
      </c>
      <c r="L15" t="n">
        <v>83.770161594222</v>
      </c>
      <c r="M15" t="n">
        <v>85.3734182754511</v>
      </c>
      <c r="N15" t="n">
        <v>85.9711318223038</v>
      </c>
      <c r="O15" t="n">
        <v>86.9545956753711</v>
      </c>
      <c r="P15" t="n">
        <v>88.0998943012879</v>
      </c>
      <c r="Q15" t="n">
        <v>89.3430724899232</v>
      </c>
      <c r="R15" t="n">
        <v>90.1569263891229</v>
      </c>
      <c r="S15" t="n">
        <v>92.3241601965537</v>
      </c>
      <c r="T15" t="n">
        <v>94.010446227541</v>
      </c>
      <c r="U15" t="n">
        <v>99.2332487957378</v>
      </c>
      <c r="V15" t="n">
        <v>98.0245612342793</v>
      </c>
      <c r="W15" t="n">
        <v>97.4496371214683</v>
      </c>
      <c r="X15" t="n">
        <v>95.5704430171975</v>
      </c>
      <c r="Y15" t="n">
        <v>93.9427225765153</v>
      </c>
      <c r="Z15" t="n">
        <v>96.51378656282</v>
      </c>
      <c r="AA15" t="n">
        <v>97.8945274292409</v>
      </c>
      <c r="AB15" t="n">
        <v>97.763827125597</v>
      </c>
      <c r="AC15" t="n">
        <v>97.909525824741</v>
      </c>
      <c r="AD15" t="n">
        <v>100.196463654224</v>
      </c>
      <c r="AE15" t="n">
        <v>100</v>
      </c>
      <c r="AF15" t="n">
        <v>101.399688958009</v>
      </c>
    </row>
    <row r="16">
      <c r="A16" t="s">
        <v>78</v>
      </c>
      <c r="B16" t="s">
        <v>302</v>
      </c>
      <c r="C16" t="s">
        <v>246</v>
      </c>
      <c r="D16" t="s">
        <v>303</v>
      </c>
      <c r="E16" t="s">
        <v>247</v>
      </c>
      <c r="F16" t="n">
        <v>57.5587051994086</v>
      </c>
      <c r="G16" t="n">
        <v>63.9778916528743</v>
      </c>
      <c r="H16" t="n">
        <v>65.9202944355042</v>
      </c>
      <c r="I16" t="n">
        <v>73.5807567858075</v>
      </c>
      <c r="J16" t="n">
        <v>78.9126956833297</v>
      </c>
      <c r="K16" t="n">
        <v>82.8583304674962</v>
      </c>
      <c r="L16" t="n">
        <v>85.2047610648059</v>
      </c>
      <c r="M16" t="n">
        <v>86.8481763375692</v>
      </c>
      <c r="N16" t="n">
        <v>87.4950901277931</v>
      </c>
      <c r="O16" t="n">
        <v>88.5065940599063</v>
      </c>
      <c r="P16" t="n">
        <v>89.680810896522</v>
      </c>
      <c r="Q16" t="n">
        <v>90.9619653379009</v>
      </c>
      <c r="R16" t="n">
        <v>91.8508444780107</v>
      </c>
      <c r="S16" t="n">
        <v>94.0541630861789</v>
      </c>
      <c r="T16" t="n">
        <v>95.8499466295904</v>
      </c>
      <c r="U16" t="n">
        <v>101.149342717284</v>
      </c>
      <c r="V16" t="n">
        <v>99.9867065940969</v>
      </c>
      <c r="W16" t="n">
        <v>98.2222353012599</v>
      </c>
      <c r="X16" t="n">
        <v>96.4837886587597</v>
      </c>
      <c r="Y16" t="n">
        <v>94.6970518317457</v>
      </c>
      <c r="Z16" t="n">
        <v>97.2307522152037</v>
      </c>
      <c r="AA16" t="n">
        <v>98.3110939064838</v>
      </c>
      <c r="AB16" t="n">
        <v>98.104990984248</v>
      </c>
      <c r="AC16" t="n">
        <v>98.104990984248</v>
      </c>
      <c r="AD16" t="n">
        <v>100.30959752322</v>
      </c>
      <c r="AE16" t="n">
        <v>100</v>
      </c>
      <c r="AF16" t="n">
        <v>101.474201474201</v>
      </c>
    </row>
    <row r="17">
      <c r="A17" t="s">
        <v>78</v>
      </c>
      <c r="B17" t="s">
        <v>304</v>
      </c>
      <c r="C17" t="s">
        <v>246</v>
      </c>
      <c r="D17" t="s">
        <v>305</v>
      </c>
      <c r="E17" t="s">
        <v>247</v>
      </c>
      <c r="F17" t="n">
        <v>56.132541535224</v>
      </c>
      <c r="G17" t="n">
        <v>62.283344889452</v>
      </c>
      <c r="H17" t="n">
        <v>64.1651284139556</v>
      </c>
      <c r="I17" t="n">
        <v>71.5649768146363</v>
      </c>
      <c r="J17" t="n">
        <v>76.6480025940162</v>
      </c>
      <c r="K17" t="n">
        <v>80.5074868235735</v>
      </c>
      <c r="L17" t="n">
        <v>82.8486333588077</v>
      </c>
      <c r="M17" t="n">
        <v>84.5160683632667</v>
      </c>
      <c r="N17" t="n">
        <v>85.0797772518259</v>
      </c>
      <c r="O17" t="n">
        <v>86.0322897520463</v>
      </c>
      <c r="P17" t="n">
        <v>87.2456142439218</v>
      </c>
      <c r="Q17" t="n">
        <v>88.4311036772765</v>
      </c>
      <c r="R17" t="n">
        <v>89.1924562702793</v>
      </c>
      <c r="S17" t="n">
        <v>91.3462028187759</v>
      </c>
      <c r="T17" t="n">
        <v>92.9891201356604</v>
      </c>
      <c r="U17" t="n">
        <v>97.9696694795058</v>
      </c>
      <c r="V17" t="n">
        <v>97.195205689154</v>
      </c>
      <c r="W17" t="n">
        <v>97.9428611175321</v>
      </c>
      <c r="X17" t="n">
        <v>96.2042304468067</v>
      </c>
      <c r="Y17" t="n">
        <v>94.4434209045191</v>
      </c>
      <c r="Z17" t="n">
        <v>97.2680324193014</v>
      </c>
      <c r="AA17" t="n">
        <v>98.1052762426575</v>
      </c>
      <c r="AB17" t="n">
        <v>97.8801608772544</v>
      </c>
      <c r="AC17" t="n">
        <v>97.9284252563852</v>
      </c>
      <c r="AD17" t="n">
        <v>100.427089688835</v>
      </c>
      <c r="AE17" t="n">
        <v>100</v>
      </c>
      <c r="AF17" t="n">
        <v>102.058823529412</v>
      </c>
    </row>
    <row r="18">
      <c r="A18" t="s">
        <v>78</v>
      </c>
      <c r="B18" t="s">
        <v>306</v>
      </c>
      <c r="C18" t="s">
        <v>246</v>
      </c>
      <c r="D18" t="s">
        <v>307</v>
      </c>
      <c r="E18" t="s">
        <v>247</v>
      </c>
      <c r="F18" t="n">
        <v>52.6071260346327</v>
      </c>
      <c r="G18" t="n">
        <v>58.3856548572671</v>
      </c>
      <c r="H18" t="n">
        <v>60.1616443586288</v>
      </c>
      <c r="I18" t="n">
        <v>67.0850081935504</v>
      </c>
      <c r="J18" t="n">
        <v>71.8657788924012</v>
      </c>
      <c r="K18" t="n">
        <v>75.4853388366163</v>
      </c>
      <c r="L18" t="n">
        <v>77.6676429245541</v>
      </c>
      <c r="M18" t="n">
        <v>79.2267703289875</v>
      </c>
      <c r="N18" t="n">
        <v>79.7694194408299</v>
      </c>
      <c r="O18" t="n">
        <v>80.6582152006163</v>
      </c>
      <c r="P18" t="n">
        <v>81.8157368799467</v>
      </c>
      <c r="Q18" t="n">
        <v>82.9143227461792</v>
      </c>
      <c r="R18" t="n">
        <v>83.6052754357307</v>
      </c>
      <c r="S18" t="n">
        <v>85.608887701075</v>
      </c>
      <c r="T18" t="n">
        <v>87.2929969673257</v>
      </c>
      <c r="U18" t="n">
        <v>92.1536297530063</v>
      </c>
      <c r="V18" t="n">
        <v>91.7396421979614</v>
      </c>
      <c r="W18" t="n">
        <v>93.511287295857</v>
      </c>
      <c r="X18" t="n">
        <v>94.3037558322625</v>
      </c>
      <c r="Y18" t="n">
        <v>96.3349136501882</v>
      </c>
      <c r="Z18" t="n">
        <v>97.8579952889263</v>
      </c>
      <c r="AA18" t="n">
        <v>99.0160780734107</v>
      </c>
      <c r="AB18" t="n">
        <v>97.0157532638468</v>
      </c>
      <c r="AC18" t="n">
        <v>98.2535938158576</v>
      </c>
      <c r="AD18" t="n">
        <v>99.4520142180095</v>
      </c>
      <c r="AE18" t="n">
        <v>100</v>
      </c>
      <c r="AF18" t="n">
        <v>103.960396039604</v>
      </c>
    </row>
    <row r="19">
      <c r="A19" t="s">
        <v>78</v>
      </c>
      <c r="B19" t="s">
        <v>308</v>
      </c>
      <c r="C19" t="s">
        <v>246</v>
      </c>
      <c r="D19" t="s">
        <v>309</v>
      </c>
      <c r="E19" t="s">
        <v>247</v>
      </c>
      <c r="F19" t="n">
        <v>57.9199833259312</v>
      </c>
      <c r="G19" t="n">
        <v>64.2720126459068</v>
      </c>
      <c r="H19" t="n">
        <v>66.1889906535726</v>
      </c>
      <c r="I19" t="n">
        <v>73.9441958753361</v>
      </c>
      <c r="J19" t="n">
        <v>79.2626028207347</v>
      </c>
      <c r="K19" t="n">
        <v>83.2257329617715</v>
      </c>
      <c r="L19" t="n">
        <v>85.6501058692772</v>
      </c>
      <c r="M19" t="n">
        <v>87.3594451168465</v>
      </c>
      <c r="N19" t="n">
        <v>87.9184859345737</v>
      </c>
      <c r="O19" t="n">
        <v>88.8791626836705</v>
      </c>
      <c r="P19" t="n">
        <v>90.1452476221843</v>
      </c>
      <c r="Q19" t="n">
        <v>91.3685129865772</v>
      </c>
      <c r="R19" t="n">
        <v>92.1413339345605</v>
      </c>
      <c r="S19" t="n">
        <v>94.3287651638324</v>
      </c>
      <c r="T19" t="n">
        <v>95.9771257726705</v>
      </c>
      <c r="U19" t="n">
        <v>101.059858067111</v>
      </c>
      <c r="V19" t="n">
        <v>101.38827914718</v>
      </c>
      <c r="W19" t="n">
        <v>99.5946317507216</v>
      </c>
      <c r="X19" t="n">
        <v>97.9361760072828</v>
      </c>
      <c r="Y19" t="n">
        <v>95.5835568169911</v>
      </c>
      <c r="Z19" t="n">
        <v>98.6611697919035</v>
      </c>
      <c r="AA19" t="n">
        <v>98.147720949912</v>
      </c>
      <c r="AB19" t="n">
        <v>97.8444448712719</v>
      </c>
      <c r="AC19" t="n">
        <v>97.7657917805394</v>
      </c>
      <c r="AD19" t="n">
        <v>100.744186046512</v>
      </c>
      <c r="AE19" t="n">
        <v>100</v>
      </c>
      <c r="AF19" t="n">
        <v>103.567274137263</v>
      </c>
    </row>
    <row r="20">
      <c r="A20" t="s">
        <v>78</v>
      </c>
      <c r="B20" t="s">
        <v>310</v>
      </c>
      <c r="C20" t="s">
        <v>246</v>
      </c>
      <c r="D20" t="s">
        <v>311</v>
      </c>
      <c r="E20" t="s">
        <v>247</v>
      </c>
      <c r="F20" t="n">
        <v>55.5831225248545</v>
      </c>
      <c r="G20" t="n">
        <v>61.5050626817081</v>
      </c>
      <c r="H20" t="n">
        <v>63.2457720028886</v>
      </c>
      <c r="I20" t="n">
        <v>70.0273699332682</v>
      </c>
      <c r="J20" t="n">
        <v>75.0466727492944</v>
      </c>
      <c r="K20" t="n">
        <v>78.6646252923044</v>
      </c>
      <c r="L20" t="n">
        <v>80.8962458679726</v>
      </c>
      <c r="M20" t="n">
        <v>82.5471896611966</v>
      </c>
      <c r="N20" t="n">
        <v>83.1632134646383</v>
      </c>
      <c r="O20" t="n">
        <v>84.0506258034378</v>
      </c>
      <c r="P20" t="n">
        <v>85.1769323468675</v>
      </c>
      <c r="Q20" t="n">
        <v>86.3299195867574</v>
      </c>
      <c r="R20" t="n">
        <v>87.135799816272</v>
      </c>
      <c r="S20" t="n">
        <v>89.3027896022788</v>
      </c>
      <c r="T20" t="n">
        <v>90.4393705608533</v>
      </c>
      <c r="U20" t="n">
        <v>94.7539093399031</v>
      </c>
      <c r="V20" t="n">
        <v>95.3835034218958</v>
      </c>
      <c r="W20" t="n">
        <v>98.5858272777868</v>
      </c>
      <c r="X20" t="n">
        <v>97.0126491829285</v>
      </c>
      <c r="Y20" t="n">
        <v>95.1993286374532</v>
      </c>
      <c r="Z20" t="n">
        <v>98.4695345830146</v>
      </c>
      <c r="AA20" t="n">
        <v>98.6676624191977</v>
      </c>
      <c r="AB20" t="n">
        <v>98.2232134893815</v>
      </c>
      <c r="AC20" t="n">
        <v>98.0146716348393</v>
      </c>
      <c r="AD20" t="n">
        <v>100.663716814159</v>
      </c>
      <c r="AE20" t="n">
        <v>100</v>
      </c>
      <c r="AF20" t="n">
        <v>103.553299492386</v>
      </c>
    </row>
    <row r="21">
      <c r="A21" t="s">
        <v>78</v>
      </c>
      <c r="B21" t="s">
        <v>312</v>
      </c>
      <c r="C21" t="s">
        <v>246</v>
      </c>
      <c r="D21" t="s">
        <v>313</v>
      </c>
      <c r="E21" t="s">
        <v>247</v>
      </c>
      <c r="F21" t="n">
        <v>52.844866461638</v>
      </c>
      <c r="G21" t="n">
        <v>58.1121237614939</v>
      </c>
      <c r="H21" t="n">
        <v>59.8495232670807</v>
      </c>
      <c r="I21" t="n">
        <v>65.859430224755</v>
      </c>
      <c r="J21" t="n">
        <v>70.269382641565</v>
      </c>
      <c r="K21" t="n">
        <v>73.555287551612</v>
      </c>
      <c r="L21" t="n">
        <v>75.6835773753066</v>
      </c>
      <c r="M21" t="n">
        <v>77.2238180748804</v>
      </c>
      <c r="N21" t="n">
        <v>77.9162143142741</v>
      </c>
      <c r="O21" t="n">
        <v>78.9417087719338</v>
      </c>
      <c r="P21" t="n">
        <v>80.1404370939814</v>
      </c>
      <c r="Q21" t="n">
        <v>81.3762186991315</v>
      </c>
      <c r="R21" t="n">
        <v>82.2731509693624</v>
      </c>
      <c r="S21" t="n">
        <v>84.4272268590026</v>
      </c>
      <c r="T21" t="n">
        <v>85.6679348814232</v>
      </c>
      <c r="U21" t="n">
        <v>89.4760255001233</v>
      </c>
      <c r="V21" t="n">
        <v>91.430131255432</v>
      </c>
      <c r="W21" t="n">
        <v>98.9017647546172</v>
      </c>
      <c r="X21" t="n">
        <v>98.0685569639297</v>
      </c>
      <c r="Y21" t="n">
        <v>96.2302710550703</v>
      </c>
      <c r="Z21" t="n">
        <v>99.1453245306244</v>
      </c>
      <c r="AA21" t="n">
        <v>98.0530455315582</v>
      </c>
      <c r="AB21" t="n">
        <v>97.8630202495203</v>
      </c>
      <c r="AC21" t="n">
        <v>97.7954508454355</v>
      </c>
      <c r="AD21" t="n">
        <v>100.974155069582</v>
      </c>
      <c r="AE21" t="n">
        <v>100</v>
      </c>
      <c r="AF21" t="n">
        <v>106.362823949955</v>
      </c>
    </row>
    <row r="22">
      <c r="A22" t="s">
        <v>78</v>
      </c>
      <c r="B22" t="s">
        <v>314</v>
      </c>
      <c r="C22" t="s">
        <v>246</v>
      </c>
      <c r="D22" t="s">
        <v>315</v>
      </c>
      <c r="E22" t="s">
        <v>247</v>
      </c>
      <c r="F22" t="n">
        <v>52.4275614650243</v>
      </c>
      <c r="G22" t="n">
        <v>57.5337197466675</v>
      </c>
      <c r="H22" t="n">
        <v>59.2690061456829</v>
      </c>
      <c r="I22" t="n">
        <v>65.1499242728372</v>
      </c>
      <c r="J22" t="n">
        <v>69.3976093182597</v>
      </c>
      <c r="K22" t="n">
        <v>72.6159011011455</v>
      </c>
      <c r="L22" t="n">
        <v>74.726687401112</v>
      </c>
      <c r="M22" t="n">
        <v>76.2464729709093</v>
      </c>
      <c r="N22" t="n">
        <v>76.9565987971303</v>
      </c>
      <c r="O22" t="n">
        <v>78.0115036953858</v>
      </c>
      <c r="P22" t="n">
        <v>79.223583256934</v>
      </c>
      <c r="Q22" t="n">
        <v>80.4719548718917</v>
      </c>
      <c r="R22" t="n">
        <v>81.3960347364493</v>
      </c>
      <c r="S22" t="n">
        <v>83.5529012720524</v>
      </c>
      <c r="T22" t="n">
        <v>84.8199513346702</v>
      </c>
      <c r="U22" t="n">
        <v>88.5299732830968</v>
      </c>
      <c r="V22" t="n">
        <v>90.7691232302344</v>
      </c>
      <c r="W22" t="n">
        <v>99.0284845588054</v>
      </c>
      <c r="X22" t="n">
        <v>98.2583636816326</v>
      </c>
      <c r="Y22" t="n">
        <v>96.416019362602</v>
      </c>
      <c r="Z22" t="n">
        <v>99.2974176424039</v>
      </c>
      <c r="AA22" t="n">
        <v>97.9921607558787</v>
      </c>
      <c r="AB22" t="n">
        <v>97.8375014112514</v>
      </c>
      <c r="AC22" t="n">
        <v>97.7869916015398</v>
      </c>
      <c r="AD22" t="n">
        <v>101.004805591962</v>
      </c>
      <c r="AE22" t="n">
        <v>100</v>
      </c>
      <c r="AF22" t="n">
        <v>106.575658527206</v>
      </c>
    </row>
    <row r="23">
      <c r="A23" t="s">
        <v>78</v>
      </c>
      <c r="B23" t="s">
        <v>316</v>
      </c>
      <c r="C23" t="s">
        <v>246</v>
      </c>
      <c r="D23" t="s">
        <v>317</v>
      </c>
      <c r="E23" t="s">
        <v>247</v>
      </c>
      <c r="F23" t="n">
        <v>56.8162054485309</v>
      </c>
      <c r="G23" t="n">
        <v>62.9575087687212</v>
      </c>
      <c r="H23" t="n">
        <v>64.7676078528174</v>
      </c>
      <c r="I23" t="n">
        <v>72.141816292821</v>
      </c>
      <c r="J23" t="n">
        <v>77.3537212642947</v>
      </c>
      <c r="K23" t="n">
        <v>81.1745952946868</v>
      </c>
      <c r="L23" t="n">
        <v>83.5698521740374</v>
      </c>
      <c r="M23" t="n">
        <v>85.2353889953691</v>
      </c>
      <c r="N23" t="n">
        <v>85.8277901988188</v>
      </c>
      <c r="O23" t="n">
        <v>86.7991593468707</v>
      </c>
      <c r="P23" t="n">
        <v>88.0400381335106</v>
      </c>
      <c r="Q23" t="n">
        <v>89.2538153279901</v>
      </c>
      <c r="R23" t="n">
        <v>90.0669962507897</v>
      </c>
      <c r="S23" t="n">
        <v>92.2550221195833</v>
      </c>
      <c r="T23" t="n">
        <v>93.6783603690383</v>
      </c>
      <c r="U23" t="n">
        <v>98.3622783874902</v>
      </c>
      <c r="V23" t="n">
        <v>99.7636785924736</v>
      </c>
      <c r="W23" t="n">
        <v>100.437985308205</v>
      </c>
      <c r="X23" t="n">
        <v>99.0134577631229</v>
      </c>
      <c r="Y23" t="n">
        <v>96.4074091313837</v>
      </c>
      <c r="Z23" t="n">
        <v>99.619182530897</v>
      </c>
      <c r="AA23" t="n">
        <v>98.225521820498</v>
      </c>
      <c r="AB23" t="n">
        <v>97.8556286012231</v>
      </c>
      <c r="AC23" t="n">
        <v>97.7007603306507</v>
      </c>
      <c r="AD23" t="n">
        <v>100.957895489313</v>
      </c>
      <c r="AE23" t="n">
        <v>100</v>
      </c>
      <c r="AF23" t="n">
        <v>105.276929786306</v>
      </c>
    </row>
    <row r="24">
      <c r="A24" t="s">
        <v>78</v>
      </c>
      <c r="B24" t="s">
        <v>318</v>
      </c>
      <c r="C24" t="s">
        <v>246</v>
      </c>
      <c r="D24" t="s">
        <v>319</v>
      </c>
      <c r="E24" t="s">
        <v>247</v>
      </c>
      <c r="F24" t="n">
        <v>55.4549261376418</v>
      </c>
      <c r="G24" t="n">
        <v>61.3576013297521</v>
      </c>
      <c r="H24" t="n">
        <v>63.257272435737</v>
      </c>
      <c r="I24" t="n">
        <v>70.4272914071134</v>
      </c>
      <c r="J24" t="n">
        <v>75.3909489161418</v>
      </c>
      <c r="K24" t="n">
        <v>78.6905868370288</v>
      </c>
      <c r="L24" t="n">
        <v>81.374923291283</v>
      </c>
      <c r="M24" t="n">
        <v>83.0407559792042</v>
      </c>
      <c r="N24" t="n">
        <v>83.339433890609</v>
      </c>
      <c r="O24" t="n">
        <v>83.8975589950862</v>
      </c>
      <c r="P24" t="n">
        <v>84.9176053806163</v>
      </c>
      <c r="Q24" t="n">
        <v>86.1437003741526</v>
      </c>
      <c r="R24" t="n">
        <v>86.9006748941363</v>
      </c>
      <c r="S24" t="n">
        <v>89.036676570733</v>
      </c>
      <c r="T24" t="n">
        <v>90.2730345153858</v>
      </c>
      <c r="U24" t="n">
        <v>95.1238525399377</v>
      </c>
      <c r="V24" t="n">
        <v>95.6534043437281</v>
      </c>
      <c r="W24" t="n">
        <v>97.5028593092607</v>
      </c>
      <c r="X24" t="n">
        <v>95.0730136450377</v>
      </c>
      <c r="Y24" t="n">
        <v>93.7835175978981</v>
      </c>
      <c r="Z24" t="n">
        <v>96.4417693850914</v>
      </c>
      <c r="AA24" t="n">
        <v>97.9751851731944</v>
      </c>
      <c r="AB24" t="n">
        <v>98.043178763606</v>
      </c>
      <c r="AC24" t="n">
        <v>98.0227556542523</v>
      </c>
      <c r="AD24" t="n">
        <v>100.370773185683</v>
      </c>
      <c r="AE24" t="n">
        <v>100</v>
      </c>
      <c r="AF24" t="n">
        <v>98.374463730468</v>
      </c>
    </row>
    <row r="25">
      <c r="A25" t="s">
        <v>78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78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78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78</v>
      </c>
      <c r="B28" t="s">
        <v>326</v>
      </c>
      <c r="C28" t="s">
        <v>246</v>
      </c>
      <c r="D28" t="s">
        <v>327</v>
      </c>
      <c r="E28" t="s">
        <v>247</v>
      </c>
      <c r="F28" t="n">
        <v>63.1974222076549</v>
      </c>
      <c r="G28" t="n">
        <v>65.8120335571909</v>
      </c>
      <c r="H28" t="n">
        <v>67.79599298533</v>
      </c>
      <c r="I28" t="n">
        <v>70.8633885678036</v>
      </c>
      <c r="J28" t="n">
        <v>71.4023436722069</v>
      </c>
      <c r="K28" t="n">
        <v>73.2315317337333</v>
      </c>
      <c r="L28" t="n">
        <v>75.4335763797243</v>
      </c>
      <c r="M28" t="n">
        <v>76.734155282823</v>
      </c>
      <c r="N28" t="n">
        <v>76.3237886099476</v>
      </c>
      <c r="O28" t="n">
        <v>79.5195956528428</v>
      </c>
      <c r="P28" t="n">
        <v>80.6997124055518</v>
      </c>
      <c r="Q28" t="n">
        <v>83.9809356405184</v>
      </c>
      <c r="R28" t="n">
        <v>86.8063381853211</v>
      </c>
      <c r="S28" t="n">
        <v>90.7022418015063</v>
      </c>
      <c r="T28" t="n">
        <v>86.4665101193453</v>
      </c>
      <c r="U28" t="n">
        <v>89.4049969087632</v>
      </c>
      <c r="V28" t="n">
        <v>86.0236950660115</v>
      </c>
      <c r="W28" t="n">
        <v>92.406033646239</v>
      </c>
      <c r="X28" t="n">
        <v>94.5020528586248</v>
      </c>
      <c r="Y28" t="n">
        <v>95.3625768465242</v>
      </c>
      <c r="Z28" t="n">
        <v>96.9420032241257</v>
      </c>
      <c r="AA28" t="n">
        <v>96.522262180897</v>
      </c>
      <c r="AB28" t="n">
        <v>97.0263967607041</v>
      </c>
      <c r="AC28" t="n">
        <v>97.5171497330358</v>
      </c>
      <c r="AD28" t="n">
        <v>99.773127141402</v>
      </c>
      <c r="AE28" t="n">
        <v>100</v>
      </c>
      <c r="AF28" t="n">
        <v>103.632515232339</v>
      </c>
    </row>
    <row r="29">
      <c r="A29" t="s">
        <v>78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78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78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78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78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78</v>
      </c>
      <c r="B34" t="s">
        <v>338</v>
      </c>
      <c r="C34" t="s">
        <v>246</v>
      </c>
      <c r="D34" t="s">
        <v>339</v>
      </c>
      <c r="E34" t="s">
        <v>247</v>
      </c>
      <c r="F34" t="n">
        <v>58.7897463624159</v>
      </c>
      <c r="G34" t="n">
        <v>65.231716728095</v>
      </c>
      <c r="H34" t="n">
        <v>67.2265704506667</v>
      </c>
      <c r="I34" t="n">
        <v>75.1811280013738</v>
      </c>
      <c r="J34" t="n">
        <v>80.5591701452823</v>
      </c>
      <c r="K34" t="n">
        <v>84.6149930849564</v>
      </c>
      <c r="L34" t="n">
        <v>87.0603428154757</v>
      </c>
      <c r="M34" t="n">
        <v>88.7956561547838</v>
      </c>
      <c r="N34" t="n">
        <v>89.3600353252591</v>
      </c>
      <c r="O34" t="n">
        <v>90.3550743823916</v>
      </c>
      <c r="P34" t="n">
        <v>91.622513594843</v>
      </c>
      <c r="Q34" t="n">
        <v>92.8523459920892</v>
      </c>
      <c r="R34" t="n">
        <v>93.6372900934665</v>
      </c>
      <c r="S34" t="n">
        <v>95.870717803065</v>
      </c>
      <c r="T34" t="n">
        <v>97.9105203095132</v>
      </c>
      <c r="U34" t="n">
        <v>103.486663844728</v>
      </c>
      <c r="V34" t="n">
        <v>102.30170204498</v>
      </c>
      <c r="W34" t="n">
        <v>98.0813347988996</v>
      </c>
      <c r="X34" t="n">
        <v>96.2411596619596</v>
      </c>
      <c r="Y34" t="n">
        <v>94.364808864326</v>
      </c>
      <c r="Z34" t="n">
        <v>97.2373127611027</v>
      </c>
      <c r="AA34" t="n">
        <v>98.1523938550083</v>
      </c>
      <c r="AB34" t="n">
        <v>97.898933832142</v>
      </c>
      <c r="AC34" t="n">
        <v>97.9711306860004</v>
      </c>
      <c r="AD34" t="n">
        <v>100.32414910859</v>
      </c>
      <c r="AE34" t="n">
        <v>100</v>
      </c>
      <c r="AF34" t="n">
        <v>101.447876447876</v>
      </c>
    </row>
    <row r="35">
      <c r="A35" t="s">
        <v>78</v>
      </c>
      <c r="B35" t="s">
        <v>340</v>
      </c>
      <c r="C35" t="s">
        <v>246</v>
      </c>
      <c r="D35" t="s">
        <v>341</v>
      </c>
      <c r="E35" t="s">
        <v>247</v>
      </c>
      <c r="F35" t="n">
        <v>51.0433379825306</v>
      </c>
      <c r="G35" t="n">
        <v>56.6586110410647</v>
      </c>
      <c r="H35" t="n">
        <v>58.4162686828496</v>
      </c>
      <c r="I35" t="n">
        <v>65.3487403589993</v>
      </c>
      <c r="J35" t="n">
        <v>70.0594624400928</v>
      </c>
      <c r="K35" t="n">
        <v>73.6204043844474</v>
      </c>
      <c r="L35" t="n">
        <v>75.6990981553024</v>
      </c>
      <c r="M35" t="n">
        <v>77.2469161394574</v>
      </c>
      <c r="N35" t="n">
        <v>77.6796719721714</v>
      </c>
      <c r="O35" t="n">
        <v>78.5186963319069</v>
      </c>
      <c r="P35" t="n">
        <v>79.5948619115745</v>
      </c>
      <c r="Q35" t="n">
        <v>80.5817523827153</v>
      </c>
      <c r="R35" t="n">
        <v>81.2780901373427</v>
      </c>
      <c r="S35" t="n">
        <v>83.2010733424849</v>
      </c>
      <c r="T35" t="n">
        <v>85.0737663116084</v>
      </c>
      <c r="U35" t="n">
        <v>90.1072974850452</v>
      </c>
      <c r="V35" t="n">
        <v>88.101198097623</v>
      </c>
      <c r="W35" t="n">
        <v>88.2560332436645</v>
      </c>
      <c r="X35" t="n">
        <v>86.407093999733</v>
      </c>
      <c r="Y35" t="n">
        <v>86.5560717480084</v>
      </c>
      <c r="Z35" t="n">
        <v>89.6785188985997</v>
      </c>
      <c r="AA35" t="n">
        <v>89.615512913425</v>
      </c>
      <c r="AB35" t="n">
        <v>92.76143591103</v>
      </c>
      <c r="AC35" t="n">
        <v>96.3008679894423</v>
      </c>
      <c r="AD35" t="n">
        <v>98.5603543743079</v>
      </c>
      <c r="AE35" t="n">
        <v>100</v>
      </c>
      <c r="AF35" t="n">
        <v>104.426725323068</v>
      </c>
    </row>
    <row r="36">
      <c r="A36" t="s">
        <v>78</v>
      </c>
      <c r="B36" t="s">
        <v>342</v>
      </c>
      <c r="C36" t="s">
        <v>246</v>
      </c>
      <c r="D36" t="s">
        <v>343</v>
      </c>
      <c r="E36" t="s">
        <v>247</v>
      </c>
      <c r="F36" t="n">
        <v>56.9608356228984</v>
      </c>
      <c r="G36" t="n">
        <v>63.2487200747768</v>
      </c>
      <c r="H36" t="n">
        <v>65.1770347112029</v>
      </c>
      <c r="I36" t="n">
        <v>72.8918673913045</v>
      </c>
      <c r="J36" t="n">
        <v>78.2779659670166</v>
      </c>
      <c r="K36" t="n">
        <v>82.397858912649</v>
      </c>
      <c r="L36" t="n">
        <v>84.6115327341829</v>
      </c>
      <c r="M36" t="n">
        <v>86.4987788174733</v>
      </c>
      <c r="N36" t="n">
        <v>86.804428212588</v>
      </c>
      <c r="O36" t="n">
        <v>87.6337698834089</v>
      </c>
      <c r="P36" t="n">
        <v>89.0336703607796</v>
      </c>
      <c r="Q36" t="n">
        <v>89.9483998507877</v>
      </c>
      <c r="R36" t="n">
        <v>90.5105773498551</v>
      </c>
      <c r="S36" t="n">
        <v>92.6582859649364</v>
      </c>
      <c r="T36" t="n">
        <v>94.5589687539607</v>
      </c>
      <c r="U36" t="n">
        <v>100.033435366032</v>
      </c>
      <c r="V36" t="n">
        <v>98.0327666587115</v>
      </c>
      <c r="W36" t="n">
        <v>96.8928507673312</v>
      </c>
      <c r="X36" t="n">
        <v>94.9741804551068</v>
      </c>
      <c r="Y36" t="n">
        <v>94.0521010332125</v>
      </c>
      <c r="Z36" t="n">
        <v>96.2564471511784</v>
      </c>
      <c r="AA36" t="n">
        <v>98.2617898001613</v>
      </c>
      <c r="AB36" t="n">
        <v>97.7128412537917</v>
      </c>
      <c r="AC36" t="n">
        <v>98.1395348837209</v>
      </c>
      <c r="AD36" t="n">
        <v>100</v>
      </c>
      <c r="AE36" t="n">
        <v>100</v>
      </c>
      <c r="AF36" t="n">
        <v>100.50505050505</v>
      </c>
    </row>
    <row r="37">
      <c r="A37" t="s">
        <v>78</v>
      </c>
      <c r="B37" t="s">
        <v>344</v>
      </c>
      <c r="C37" t="s">
        <v>246</v>
      </c>
      <c r="D37" t="s">
        <v>345</v>
      </c>
      <c r="E37" t="s">
        <v>247</v>
      </c>
      <c r="F37" t="n">
        <v>49.2674285367037</v>
      </c>
      <c r="G37" t="n">
        <v>53.8862499620196</v>
      </c>
      <c r="H37" t="n">
        <v>55.8457499606385</v>
      </c>
      <c r="I37" t="n">
        <v>62.4158381913019</v>
      </c>
      <c r="J37" t="n">
        <v>66.7958970117441</v>
      </c>
      <c r="K37" t="n">
        <v>69.3164968989797</v>
      </c>
      <c r="L37" t="n">
        <v>70.6495064547293</v>
      </c>
      <c r="M37" t="n">
        <v>72.2551770559732</v>
      </c>
      <c r="N37" t="n">
        <v>72.2551770559732</v>
      </c>
      <c r="O37" t="n">
        <v>73.5689075479</v>
      </c>
      <c r="P37" t="n">
        <v>73.5689075479</v>
      </c>
      <c r="Q37" t="n">
        <v>74.7007368947907</v>
      </c>
      <c r="R37" t="n">
        <v>75.646315842826</v>
      </c>
      <c r="S37" t="n">
        <v>77.1592421596826</v>
      </c>
      <c r="T37" t="n">
        <v>79.5704684771726</v>
      </c>
      <c r="U37" t="n">
        <v>84.6494345501837</v>
      </c>
      <c r="V37" t="n">
        <v>83.26173890182</v>
      </c>
      <c r="W37" t="n">
        <v>83.26173890182</v>
      </c>
      <c r="X37" t="n">
        <v>81.3254193924754</v>
      </c>
      <c r="Y37" t="n">
        <v>82.1671633830026</v>
      </c>
      <c r="Z37" t="n">
        <v>85.3978949793347</v>
      </c>
      <c r="AA37" t="n">
        <v>84.1976690277512</v>
      </c>
      <c r="AB37" t="n">
        <v>89.8155285125052</v>
      </c>
      <c r="AC37" t="n">
        <v>95.4188481032492</v>
      </c>
      <c r="AD37" t="n">
        <v>97.9958534899793</v>
      </c>
      <c r="AE37" t="n">
        <v>100</v>
      </c>
      <c r="AF37" t="n">
        <v>106.633733239238</v>
      </c>
    </row>
    <row r="38">
      <c r="A38" t="s">
        <v>78</v>
      </c>
      <c r="B38" t="s">
        <v>346</v>
      </c>
      <c r="C38" t="s">
        <v>246</v>
      </c>
      <c r="D38" t="s">
        <v>347</v>
      </c>
      <c r="E38" t="s">
        <v>247</v>
      </c>
      <c r="F38" t="n">
        <v>52.421567819618</v>
      </c>
      <c r="G38" t="n">
        <v>58.2178772626135</v>
      </c>
      <c r="H38" t="n">
        <v>60.0102178396837</v>
      </c>
      <c r="I38" t="n">
        <v>67.1408437241637</v>
      </c>
      <c r="J38" t="n">
        <v>71.9641801986008</v>
      </c>
      <c r="K38" t="n">
        <v>75.63314787078</v>
      </c>
      <c r="L38" t="n">
        <v>77.8220737040546</v>
      </c>
      <c r="M38" t="n">
        <v>79.3820809088896</v>
      </c>
      <c r="N38" t="n">
        <v>79.8844991424902</v>
      </c>
      <c r="O38" t="n">
        <v>80.7467171580594</v>
      </c>
      <c r="P38" t="n">
        <v>81.8615633515632</v>
      </c>
      <c r="Q38" t="n">
        <v>82.8998608840597</v>
      </c>
      <c r="R38" t="n">
        <v>83.6382800724569</v>
      </c>
      <c r="S38" t="n">
        <v>85.6258307228621</v>
      </c>
      <c r="T38" t="n">
        <v>87.5623047706751</v>
      </c>
      <c r="U38" t="n">
        <v>92.745120317849</v>
      </c>
      <c r="V38" t="n">
        <v>90.6146811068724</v>
      </c>
      <c r="W38" t="n">
        <v>91.0556284601905</v>
      </c>
      <c r="X38" t="n">
        <v>89.1453705204662</v>
      </c>
      <c r="Y38" t="n">
        <v>88.4032654589015</v>
      </c>
      <c r="Z38" t="n">
        <v>91.1117910389189</v>
      </c>
      <c r="AA38" t="n">
        <v>92.4953784169002</v>
      </c>
      <c r="AB38" t="n">
        <v>94.1021307924109</v>
      </c>
      <c r="AC38" t="n">
        <v>96.7686002378424</v>
      </c>
      <c r="AD38" t="n">
        <v>98.8613861386139</v>
      </c>
      <c r="AE38" t="n">
        <v>100</v>
      </c>
      <c r="AF38" t="n">
        <v>103.26409495549</v>
      </c>
    </row>
    <row r="39">
      <c r="A39" t="s">
        <v>78</v>
      </c>
      <c r="B39" t="s">
        <v>348</v>
      </c>
      <c r="C39" t="s">
        <v>246</v>
      </c>
      <c r="D39" t="s">
        <v>349</v>
      </c>
      <c r="E39" t="s">
        <v>247</v>
      </c>
      <c r="F39" t="n">
        <v>54.6621108603122</v>
      </c>
      <c r="G39" t="n">
        <v>60.1498424624302</v>
      </c>
      <c r="H39" t="n">
        <v>61.9820621125884</v>
      </c>
      <c r="I39" t="n">
        <v>69.292766874586</v>
      </c>
      <c r="J39" t="n">
        <v>74.3078062936076</v>
      </c>
      <c r="K39" t="n">
        <v>78.0563568633278</v>
      </c>
      <c r="L39" t="n">
        <v>80.3068436317697</v>
      </c>
      <c r="M39" t="n">
        <v>81.9021444985177</v>
      </c>
      <c r="N39" t="n">
        <v>82.4274950084505</v>
      </c>
      <c r="O39" t="n">
        <v>83.3270311489574</v>
      </c>
      <c r="P39" t="n">
        <v>84.4664961611627</v>
      </c>
      <c r="Q39" t="n">
        <v>85.5744446782922</v>
      </c>
      <c r="R39" t="n">
        <v>86.2901894481006</v>
      </c>
      <c r="S39" t="n">
        <v>88.3432585862479</v>
      </c>
      <c r="T39" t="n">
        <v>90.396929527331</v>
      </c>
      <c r="U39" t="n">
        <v>95.793761140903</v>
      </c>
      <c r="V39" t="n">
        <v>93.3700635698681</v>
      </c>
      <c r="W39" t="n">
        <v>95.2383545036149</v>
      </c>
      <c r="X39" t="n">
        <v>93.171699433012</v>
      </c>
      <c r="Y39" t="n">
        <v>92.3698775790274</v>
      </c>
      <c r="Z39" t="n">
        <v>94.6936480841602</v>
      </c>
      <c r="AA39" t="n">
        <v>98.008091489276</v>
      </c>
      <c r="AB39" t="n">
        <v>97.8733261520615</v>
      </c>
      <c r="AC39" t="n">
        <v>98.2052251480557</v>
      </c>
      <c r="AD39" t="n">
        <v>99.7478991596639</v>
      </c>
      <c r="AE39" t="n">
        <v>100</v>
      </c>
      <c r="AF39" t="n">
        <v>99.7362471740769</v>
      </c>
    </row>
    <row r="40">
      <c r="A40" t="s">
        <v>78</v>
      </c>
      <c r="B40" t="s">
        <v>350</v>
      </c>
      <c r="C40" t="s">
        <v>246</v>
      </c>
      <c r="D40" t="s">
        <v>351</v>
      </c>
      <c r="E40" t="s">
        <v>247</v>
      </c>
      <c r="F40" t="n">
        <v>52.5500644939689</v>
      </c>
      <c r="G40" t="n">
        <v>58.3846096576063</v>
      </c>
      <c r="H40" t="n">
        <v>60.1574216917441</v>
      </c>
      <c r="I40" t="n">
        <v>67.2393432621823</v>
      </c>
      <c r="J40" t="n">
        <v>72.1128215476702</v>
      </c>
      <c r="K40" t="n">
        <v>75.7017144581382</v>
      </c>
      <c r="L40" t="n">
        <v>77.8776465736883</v>
      </c>
      <c r="M40" t="n">
        <v>79.423680040118</v>
      </c>
      <c r="N40" t="n">
        <v>79.928705559661</v>
      </c>
      <c r="O40" t="n">
        <v>80.7956112598742</v>
      </c>
      <c r="P40" t="n">
        <v>81.922173159794</v>
      </c>
      <c r="Q40" t="n">
        <v>83.0314339672146</v>
      </c>
      <c r="R40" t="n">
        <v>83.7064862758911</v>
      </c>
      <c r="S40" t="n">
        <v>85.7133985449295</v>
      </c>
      <c r="T40" t="n">
        <v>87.6157250820712</v>
      </c>
      <c r="U40" t="n">
        <v>92.7470237048307</v>
      </c>
      <c r="V40" t="n">
        <v>90.3429398707355</v>
      </c>
      <c r="W40" t="n">
        <v>95.6227220709733</v>
      </c>
      <c r="X40" t="n">
        <v>93.5013988850985</v>
      </c>
      <c r="Y40" t="n">
        <v>92.5817129944254</v>
      </c>
      <c r="Z40" t="n">
        <v>95.0180738626997</v>
      </c>
      <c r="AA40" t="n">
        <v>98.0123408961882</v>
      </c>
      <c r="AB40" t="n">
        <v>97.876589731512</v>
      </c>
      <c r="AC40" t="n">
        <v>98.1309467734338</v>
      </c>
      <c r="AD40" t="n">
        <v>99.9481865284974</v>
      </c>
      <c r="AE40" t="n">
        <v>100</v>
      </c>
      <c r="AF40" t="n">
        <v>100.201857085184</v>
      </c>
    </row>
    <row r="41">
      <c r="A41" t="s">
        <v>78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78</v>
      </c>
      <c r="B42" t="s">
        <v>354</v>
      </c>
      <c r="C42" t="s">
        <v>246</v>
      </c>
      <c r="D42" t="s">
        <v>355</v>
      </c>
      <c r="E42" t="s">
        <v>247</v>
      </c>
      <c r="F42" t="n">
        <v>68.0641154825104</v>
      </c>
      <c r="G42" t="n">
        <v>75.5155791055957</v>
      </c>
      <c r="H42" t="n">
        <v>77.8334123407428</v>
      </c>
      <c r="I42" t="n">
        <v>86.9547513112141</v>
      </c>
      <c r="J42" t="n">
        <v>93.1658049763008</v>
      </c>
      <c r="K42" t="n">
        <v>97.8456341880149</v>
      </c>
      <c r="L42" t="n">
        <v>100.672285842335</v>
      </c>
      <c r="M42" t="n">
        <v>102.672999743448</v>
      </c>
      <c r="N42" t="n">
        <v>103.33629156625</v>
      </c>
      <c r="O42" t="n">
        <v>104.466569830996</v>
      </c>
      <c r="P42" t="n">
        <v>105.929014498501</v>
      </c>
      <c r="Q42" t="n">
        <v>107.331904869813</v>
      </c>
      <c r="R42" t="n">
        <v>108.243938050729</v>
      </c>
      <c r="S42" t="n">
        <v>110.812680153449</v>
      </c>
      <c r="T42" t="n">
        <v>113.214422137435</v>
      </c>
      <c r="U42" t="n">
        <v>119.826051049617</v>
      </c>
      <c r="V42" t="n">
        <v>117.094634623313</v>
      </c>
      <c r="W42" t="n">
        <v>96.3197800933703</v>
      </c>
      <c r="X42" t="n">
        <v>94.4559141864449</v>
      </c>
      <c r="Y42" t="n">
        <v>93.5107249184017</v>
      </c>
      <c r="Z42" t="n">
        <v>96.1214304364282</v>
      </c>
      <c r="AA42" t="n">
        <v>98.0042871415243</v>
      </c>
      <c r="AB42" t="n">
        <v>97.8171540236872</v>
      </c>
      <c r="AC42" t="n">
        <v>97.9739625424812</v>
      </c>
      <c r="AD42" t="n">
        <v>100.108342361864</v>
      </c>
      <c r="AE42" t="n">
        <v>100</v>
      </c>
      <c r="AF42" t="n">
        <v>101.219875037191</v>
      </c>
    </row>
    <row r="43">
      <c r="A43" t="s">
        <v>78</v>
      </c>
      <c r="B43" t="s">
        <v>356</v>
      </c>
      <c r="C43" t="s">
        <v>246</v>
      </c>
      <c r="D43" t="s">
        <v>357</v>
      </c>
      <c r="E43" t="s">
        <v>247</v>
      </c>
      <c r="F43" t="n">
        <v>59.2083864242319</v>
      </c>
      <c r="G43" t="n">
        <v>64.1620852535802</v>
      </c>
      <c r="H43" t="n">
        <v>66.0089707474692</v>
      </c>
      <c r="I43" t="n">
        <v>71.8553567116743</v>
      </c>
      <c r="J43" t="n">
        <v>74.9816178526432</v>
      </c>
      <c r="K43" t="n">
        <v>77.8355894664116</v>
      </c>
      <c r="L43" t="n">
        <v>80.286748871942</v>
      </c>
      <c r="M43" t="n">
        <v>81.9118396795587</v>
      </c>
      <c r="N43" t="n">
        <v>82.1428483931086</v>
      </c>
      <c r="O43" t="n">
        <v>83.5011849685992</v>
      </c>
      <c r="P43" t="n">
        <v>84.651629835426</v>
      </c>
      <c r="Q43" t="n">
        <v>86.4814523486772</v>
      </c>
      <c r="R43" t="n">
        <v>88.163415085272</v>
      </c>
      <c r="S43" t="n">
        <v>91.2338717763678</v>
      </c>
      <c r="T43" t="n">
        <v>90.3049833208934</v>
      </c>
      <c r="U43" t="n">
        <v>95.5260539353954</v>
      </c>
      <c r="V43" t="n">
        <v>93.619658637556</v>
      </c>
      <c r="W43" t="n">
        <v>96.3743783228371</v>
      </c>
      <c r="X43" t="n">
        <v>96.9015556189972</v>
      </c>
      <c r="Y43" t="n">
        <v>94.7371800401012</v>
      </c>
      <c r="Z43" t="n">
        <v>96.9776983990294</v>
      </c>
      <c r="AA43" t="n">
        <v>98.0031580500755</v>
      </c>
      <c r="AB43" t="n">
        <v>98.2032815931956</v>
      </c>
      <c r="AC43" t="n">
        <v>98.3697146514117</v>
      </c>
      <c r="AD43" t="n">
        <v>100.444744816761</v>
      </c>
      <c r="AE43" t="n">
        <v>100</v>
      </c>
      <c r="AF43" t="n">
        <v>104.701348747592</v>
      </c>
    </row>
    <row r="44">
      <c r="A44" t="s">
        <v>78</v>
      </c>
      <c r="B44" t="s">
        <v>358</v>
      </c>
      <c r="C44" t="s">
        <v>246</v>
      </c>
      <c r="D44" t="s">
        <v>359</v>
      </c>
      <c r="E44" t="s">
        <v>247</v>
      </c>
      <c r="F44" t="n">
        <v>58.77258053481</v>
      </c>
      <c r="G44" t="n">
        <v>63.3611727179526</v>
      </c>
      <c r="H44" t="n">
        <v>65.2534215772581</v>
      </c>
      <c r="I44" t="n">
        <v>70.774699868788</v>
      </c>
      <c r="J44" t="n">
        <v>73.7596128991761</v>
      </c>
      <c r="K44" t="n">
        <v>76.5559176282497</v>
      </c>
      <c r="L44" t="n">
        <v>78.9214025267339</v>
      </c>
      <c r="M44" t="n">
        <v>80.4366648878499</v>
      </c>
      <c r="N44" t="n">
        <v>80.5109318168767</v>
      </c>
      <c r="O44" t="n">
        <v>82.2899585101053</v>
      </c>
      <c r="P44" t="n">
        <v>83.4342200302221</v>
      </c>
      <c r="Q44" t="n">
        <v>85.5397547378005</v>
      </c>
      <c r="R44" t="n">
        <v>87.2046683865111</v>
      </c>
      <c r="S44" t="n">
        <v>90.2016251044106</v>
      </c>
      <c r="T44" t="n">
        <v>88.5997310990201</v>
      </c>
      <c r="U44" t="n">
        <v>92.659092302163</v>
      </c>
      <c r="V44" t="n">
        <v>91.0033506147963</v>
      </c>
      <c r="W44" t="n">
        <v>95.2013618617708</v>
      </c>
      <c r="X44" t="n">
        <v>95.5915349310865</v>
      </c>
      <c r="Y44" t="n">
        <v>94.8479871320567</v>
      </c>
      <c r="Z44" t="n">
        <v>97.005000733521</v>
      </c>
      <c r="AA44" t="n">
        <v>97.3598227673229</v>
      </c>
      <c r="AB44" t="n">
        <v>97.6115107934312</v>
      </c>
      <c r="AC44" t="n">
        <v>97.8952032304658</v>
      </c>
      <c r="AD44" t="n">
        <v>100.273437267295</v>
      </c>
      <c r="AE44" t="n">
        <v>100</v>
      </c>
      <c r="AF44" t="n">
        <v>103.422489717194</v>
      </c>
    </row>
    <row r="45">
      <c r="A45" t="s">
        <v>78</v>
      </c>
      <c r="B45" t="s">
        <v>360</v>
      </c>
      <c r="C45" t="s">
        <v>246</v>
      </c>
      <c r="D45" t="s">
        <v>361</v>
      </c>
      <c r="E45" t="s">
        <v>247</v>
      </c>
      <c r="F45" t="n">
        <v>58.8557144948403</v>
      </c>
      <c r="G45" t="n">
        <v>63.4240598637156</v>
      </c>
      <c r="H45" t="n">
        <v>65.3181520591578</v>
      </c>
      <c r="I45" t="n">
        <v>70.8181102389863</v>
      </c>
      <c r="J45" t="n">
        <v>73.7830020399705</v>
      </c>
      <c r="K45" t="n">
        <v>76.5652274830204</v>
      </c>
      <c r="L45" t="n">
        <v>78.9331766312846</v>
      </c>
      <c r="M45" t="n">
        <v>80.4487254519724</v>
      </c>
      <c r="N45" t="n">
        <v>80.5152651845158</v>
      </c>
      <c r="O45" t="n">
        <v>82.3067147360463</v>
      </c>
      <c r="P45" t="n">
        <v>83.452288274726</v>
      </c>
      <c r="Q45" t="n">
        <v>85.5738629235219</v>
      </c>
      <c r="R45" t="n">
        <v>87.2535454443625</v>
      </c>
      <c r="S45" t="n">
        <v>90.2618239742906</v>
      </c>
      <c r="T45" t="n">
        <v>88.6124493080257</v>
      </c>
      <c r="U45" t="n">
        <v>92.6590329442561</v>
      </c>
      <c r="V45" t="n">
        <v>90.9882366771395</v>
      </c>
      <c r="W45" t="n">
        <v>95.2056091139215</v>
      </c>
      <c r="X45" t="n">
        <v>95.5996807840804</v>
      </c>
      <c r="Y45" t="n">
        <v>94.8628969022732</v>
      </c>
      <c r="Z45" t="n">
        <v>97.0155013057994</v>
      </c>
      <c r="AA45" t="n">
        <v>97.3692357820074</v>
      </c>
      <c r="AB45" t="n">
        <v>97.6059182039015</v>
      </c>
      <c r="AC45" t="n">
        <v>97.8865424741943</v>
      </c>
      <c r="AD45" t="n">
        <v>100.246841875998</v>
      </c>
      <c r="AE45" t="n">
        <v>100</v>
      </c>
      <c r="AF45" t="n">
        <v>103.351681726789</v>
      </c>
    </row>
    <row r="46">
      <c r="A46" t="s">
        <v>78</v>
      </c>
      <c r="B46" t="s">
        <v>362</v>
      </c>
      <c r="C46" t="s">
        <v>246</v>
      </c>
      <c r="D46" t="s">
        <v>363</v>
      </c>
      <c r="E46" t="s">
        <v>247</v>
      </c>
      <c r="F46" t="n">
        <v>59.6771902062124</v>
      </c>
      <c r="G46" t="n">
        <v>64.5089175712604</v>
      </c>
      <c r="H46" t="n">
        <v>66.3529742402598</v>
      </c>
      <c r="I46" t="n">
        <v>72.0344691803962</v>
      </c>
      <c r="J46" t="n">
        <v>74.963972159226</v>
      </c>
      <c r="K46" t="n">
        <v>77.7175045695339</v>
      </c>
      <c r="L46" t="n">
        <v>80.1842048838441</v>
      </c>
      <c r="M46" t="n">
        <v>81.8104999237109</v>
      </c>
      <c r="N46" t="n">
        <v>82.0016798767954</v>
      </c>
      <c r="O46" t="n">
        <v>83.4139297312502</v>
      </c>
      <c r="P46" t="n">
        <v>84.5610604619636</v>
      </c>
      <c r="Q46" t="n">
        <v>86.4787778735936</v>
      </c>
      <c r="R46" t="n">
        <v>88.24640108312</v>
      </c>
      <c r="S46" t="n">
        <v>91.4094819113108</v>
      </c>
      <c r="T46" t="n">
        <v>90.2176597189265</v>
      </c>
      <c r="U46" t="n">
        <v>95.4286379237869</v>
      </c>
      <c r="V46" t="n">
        <v>93.5543395540389</v>
      </c>
      <c r="W46" t="n">
        <v>96.3727343650982</v>
      </c>
      <c r="X46" t="n">
        <v>97.0493771932652</v>
      </c>
      <c r="Y46" t="n">
        <v>94.820304416628</v>
      </c>
      <c r="Z46" t="n">
        <v>97.0401055981067</v>
      </c>
      <c r="AA46" t="n">
        <v>98.0058116316666</v>
      </c>
      <c r="AB46" t="n">
        <v>98.227333741046</v>
      </c>
      <c r="AC46" t="n">
        <v>98.3942756905526</v>
      </c>
      <c r="AD46" t="n">
        <v>100.466357308585</v>
      </c>
      <c r="AE46" t="n">
        <v>100</v>
      </c>
      <c r="AF46" t="n">
        <v>104.93018343959</v>
      </c>
    </row>
    <row r="47">
      <c r="A47" t="s">
        <v>78</v>
      </c>
      <c r="B47" t="s">
        <v>364</v>
      </c>
      <c r="C47" t="s">
        <v>246</v>
      </c>
      <c r="D47" t="s">
        <v>365</v>
      </c>
      <c r="E47" t="s">
        <v>247</v>
      </c>
      <c r="F47" t="n">
        <v>55.1092489934567</v>
      </c>
      <c r="G47" t="n">
        <v>57.9287919652149</v>
      </c>
      <c r="H47" t="n">
        <v>61.0307690708838</v>
      </c>
      <c r="I47" t="n">
        <v>64.5392802807785</v>
      </c>
      <c r="J47" t="n">
        <v>66.2860061176628</v>
      </c>
      <c r="K47" t="n">
        <v>70.4696797356532</v>
      </c>
      <c r="L47" t="n">
        <v>73.905416488812</v>
      </c>
      <c r="M47" t="n">
        <v>74.1826311042989</v>
      </c>
      <c r="N47" t="n">
        <v>70.4033354096044</v>
      </c>
      <c r="O47" t="n">
        <v>69.290867355728</v>
      </c>
      <c r="P47" t="n">
        <v>71.5072691366607</v>
      </c>
      <c r="Q47" t="n">
        <v>74.2571371851602</v>
      </c>
      <c r="R47" t="n">
        <v>73.5794318914234</v>
      </c>
      <c r="S47" t="n">
        <v>75.0729892566343</v>
      </c>
      <c r="T47" t="n">
        <v>73.270881542581</v>
      </c>
      <c r="U47" t="n">
        <v>78.439366962597</v>
      </c>
      <c r="V47" t="n">
        <v>96.3336190050057</v>
      </c>
      <c r="W47" t="n">
        <v>100.36531506551</v>
      </c>
      <c r="X47" t="n">
        <v>90.4276888436313</v>
      </c>
      <c r="Y47" t="n">
        <v>91.1186358453019</v>
      </c>
      <c r="Z47" t="n">
        <v>92.613449414804</v>
      </c>
      <c r="AA47" t="n">
        <v>93.8950249644581</v>
      </c>
      <c r="AB47" t="n">
        <v>96.3117023670255</v>
      </c>
      <c r="AC47" t="n">
        <v>97.4027721157766</v>
      </c>
      <c r="AD47" t="n">
        <v>99.5454545454545</v>
      </c>
      <c r="AE47" t="n">
        <v>100</v>
      </c>
      <c r="AF47" t="n">
        <v>103.983977481866</v>
      </c>
    </row>
    <row r="48">
      <c r="A48" t="s">
        <v>78</v>
      </c>
      <c r="B48" t="s">
        <v>366</v>
      </c>
      <c r="C48" t="s">
        <v>246</v>
      </c>
      <c r="D48" t="s">
        <v>367</v>
      </c>
      <c r="E48" t="s">
        <v>247</v>
      </c>
      <c r="F48" t="n">
        <v>54.0467335112503</v>
      </c>
      <c r="G48" t="n">
        <v>57.7671189099906</v>
      </c>
      <c r="H48" t="n">
        <v>60.4667701375753</v>
      </c>
      <c r="I48" t="n">
        <v>65.0742551908666</v>
      </c>
      <c r="J48" t="n">
        <v>67.7177375620696</v>
      </c>
      <c r="K48" t="n">
        <v>71.5419441775376</v>
      </c>
      <c r="L48" t="n">
        <v>74.6195423224231</v>
      </c>
      <c r="M48" t="n">
        <v>75.3182410950407</v>
      </c>
      <c r="N48" t="n">
        <v>72.5210853508355</v>
      </c>
      <c r="O48" t="n">
        <v>71.916209258713</v>
      </c>
      <c r="P48" t="n">
        <v>73.8818901138277</v>
      </c>
      <c r="Q48" t="n">
        <v>76.0912682271707</v>
      </c>
      <c r="R48" t="n">
        <v>75.7183632125803</v>
      </c>
      <c r="S48" t="n">
        <v>77.3496063594422</v>
      </c>
      <c r="T48" t="n">
        <v>76.5682378613558</v>
      </c>
      <c r="U48" t="n">
        <v>81.822163365465</v>
      </c>
      <c r="V48" t="n">
        <v>96.0172834295436</v>
      </c>
      <c r="W48" t="n">
        <v>100.207947813876</v>
      </c>
      <c r="X48" t="n">
        <v>92.1347262667434</v>
      </c>
      <c r="Y48" t="n">
        <v>92.1498352740027</v>
      </c>
      <c r="Z48" t="n">
        <v>94.1984603258037</v>
      </c>
      <c r="AA48" t="n">
        <v>95.2305151700107</v>
      </c>
      <c r="AB48" t="n">
        <v>96.8503036129709</v>
      </c>
      <c r="AC48" t="n">
        <v>97.5883467329321</v>
      </c>
      <c r="AD48" t="n">
        <v>100.044511706579</v>
      </c>
      <c r="AE48" t="n">
        <v>100</v>
      </c>
      <c r="AF48" t="n">
        <v>103.196980201833</v>
      </c>
    </row>
    <row r="49">
      <c r="A49" t="s">
        <v>78</v>
      </c>
      <c r="B49" t="s">
        <v>368</v>
      </c>
      <c r="C49" t="s">
        <v>246</v>
      </c>
      <c r="D49" t="s">
        <v>369</v>
      </c>
      <c r="E49" t="s">
        <v>247</v>
      </c>
      <c r="F49" t="n">
        <v>54.8471623631699</v>
      </c>
      <c r="G49" t="n">
        <v>60.8460707466416</v>
      </c>
      <c r="H49" t="n">
        <v>62.7214633381477</v>
      </c>
      <c r="I49" t="n">
        <v>70.12951018911</v>
      </c>
      <c r="J49" t="n">
        <v>75.2046721106903</v>
      </c>
      <c r="K49" t="n">
        <v>79.0002130740233</v>
      </c>
      <c r="L49" t="n">
        <v>81.2693681304048</v>
      </c>
      <c r="M49" t="n">
        <v>82.8547048803819</v>
      </c>
      <c r="N49" t="n">
        <v>83.3364182808492</v>
      </c>
      <c r="O49" t="n">
        <v>84.2751263716222</v>
      </c>
      <c r="P49" t="n">
        <v>85.499833021891</v>
      </c>
      <c r="Q49" t="n">
        <v>86.6893959161087</v>
      </c>
      <c r="R49" t="n">
        <v>87.4393041852791</v>
      </c>
      <c r="S49" t="n">
        <v>89.5606519744595</v>
      </c>
      <c r="T49" t="n">
        <v>91.5869110689043</v>
      </c>
      <c r="U49" t="n">
        <v>96.9278324487324</v>
      </c>
      <c r="V49" t="n">
        <v>95.3994040789758</v>
      </c>
      <c r="W49" t="n">
        <v>96.1086933286336</v>
      </c>
      <c r="X49" t="n">
        <v>94.4151480717414</v>
      </c>
      <c r="Y49" t="n">
        <v>93.0915712296142</v>
      </c>
      <c r="Z49" t="n">
        <v>95.5543112092336</v>
      </c>
      <c r="AA49" t="n">
        <v>97.5323463138834</v>
      </c>
      <c r="AB49" t="n">
        <v>97.3302067360307</v>
      </c>
      <c r="AC49" t="n">
        <v>97.4154345878136</v>
      </c>
      <c r="AD49" t="n">
        <v>100.109349371241</v>
      </c>
      <c r="AE49" t="n">
        <v>100</v>
      </c>
      <c r="AF49" t="n">
        <v>102.573807721423</v>
      </c>
    </row>
    <row r="50">
      <c r="A50" t="s">
        <v>78</v>
      </c>
      <c r="B50" t="s">
        <v>370</v>
      </c>
      <c r="C50" t="s">
        <v>246</v>
      </c>
      <c r="D50" t="s">
        <v>371</v>
      </c>
      <c r="E50" t="s">
        <v>247</v>
      </c>
      <c r="F50" t="n">
        <v>50.2751370306256</v>
      </c>
      <c r="G50" t="n">
        <v>55.8658991568529</v>
      </c>
      <c r="H50" t="n">
        <v>57.4686093785659</v>
      </c>
      <c r="I50" t="n">
        <v>64.1923763730151</v>
      </c>
      <c r="J50" t="n">
        <v>68.9020600135317</v>
      </c>
      <c r="K50" t="n">
        <v>72.0312625660494</v>
      </c>
      <c r="L50" t="n">
        <v>74.4826761638683</v>
      </c>
      <c r="M50" t="n">
        <v>76.0660927892777</v>
      </c>
      <c r="N50" t="n">
        <v>76.196678356298</v>
      </c>
      <c r="O50" t="n">
        <v>76.5296572857501</v>
      </c>
      <c r="P50" t="n">
        <v>77.3643169552825</v>
      </c>
      <c r="Q50" t="n">
        <v>78.5093088462207</v>
      </c>
      <c r="R50" t="n">
        <v>79.1330442878315</v>
      </c>
      <c r="S50" t="n">
        <v>81.1869381895235</v>
      </c>
      <c r="T50" t="n">
        <v>84.5712941121993</v>
      </c>
      <c r="U50" t="n">
        <v>89.7713177859511</v>
      </c>
      <c r="V50" t="n">
        <v>90.0326607780499</v>
      </c>
      <c r="W50" t="n">
        <v>97.5586107502089</v>
      </c>
      <c r="X50" t="n">
        <v>96.1343974545854</v>
      </c>
      <c r="Y50" t="n">
        <v>94.4664504955942</v>
      </c>
      <c r="Z50" t="n">
        <v>97.3469243845797</v>
      </c>
      <c r="AA50" t="n">
        <v>97.6094565431142</v>
      </c>
      <c r="AB50" t="n">
        <v>98.1925476813645</v>
      </c>
      <c r="AC50" t="n">
        <v>98.514038716804</v>
      </c>
      <c r="AD50" t="n">
        <v>101.773215118992</v>
      </c>
      <c r="AE50" t="n">
        <v>100</v>
      </c>
      <c r="AF50" t="n">
        <v>100.453795379538</v>
      </c>
    </row>
    <row r="51">
      <c r="A51" t="s">
        <v>78</v>
      </c>
      <c r="B51" t="s">
        <v>372</v>
      </c>
      <c r="C51" t="s">
        <v>246</v>
      </c>
      <c r="D51" t="s">
        <v>373</v>
      </c>
      <c r="E51" t="s">
        <v>247</v>
      </c>
      <c r="F51" t="n">
        <v>49.9567392518477</v>
      </c>
      <c r="G51" t="n">
        <v>55.5074880576086</v>
      </c>
      <c r="H51" t="n">
        <v>57.1164007549306</v>
      </c>
      <c r="I51" t="n">
        <v>63.817703407607</v>
      </c>
      <c r="J51" t="n">
        <v>68.4928267724601</v>
      </c>
      <c r="K51" t="n">
        <v>71.9174681110831</v>
      </c>
      <c r="L51" t="n">
        <v>73.9998241792713</v>
      </c>
      <c r="M51" t="n">
        <v>75.5003999882368</v>
      </c>
      <c r="N51" t="n">
        <v>75.9132211303353</v>
      </c>
      <c r="O51" t="n">
        <v>76.709220689649</v>
      </c>
      <c r="P51" t="n">
        <v>77.7594564603178</v>
      </c>
      <c r="Q51" t="n">
        <v>78.816808842781</v>
      </c>
      <c r="R51" t="n">
        <v>79.473273674371</v>
      </c>
      <c r="S51" t="n">
        <v>81.4088691650076</v>
      </c>
      <c r="T51" t="n">
        <v>83.5354236843882</v>
      </c>
      <c r="U51" t="n">
        <v>88.5581232097154</v>
      </c>
      <c r="V51" t="n">
        <v>88.687028774795</v>
      </c>
      <c r="W51" t="n">
        <v>96.9616558614386</v>
      </c>
      <c r="X51" t="n">
        <v>95.7171071864376</v>
      </c>
      <c r="Y51" t="n">
        <v>94.1655830051113</v>
      </c>
      <c r="Z51" t="n">
        <v>96.9053144071997</v>
      </c>
      <c r="AA51" t="n">
        <v>97.3141975903524</v>
      </c>
      <c r="AB51" t="n">
        <v>98.0834797847426</v>
      </c>
      <c r="AC51" t="n">
        <v>98.3804774525237</v>
      </c>
      <c r="AD51" t="n">
        <v>101.567164179104</v>
      </c>
      <c r="AE51" t="n">
        <v>100</v>
      </c>
      <c r="AF51" t="n">
        <v>101.268115942029</v>
      </c>
    </row>
    <row r="52">
      <c r="A52" t="s">
        <v>78</v>
      </c>
      <c r="B52" t="s">
        <v>374</v>
      </c>
      <c r="C52" t="s">
        <v>246</v>
      </c>
      <c r="D52" t="s">
        <v>375</v>
      </c>
      <c r="E52" t="s">
        <v>247</v>
      </c>
      <c r="F52" t="n">
        <v>49.9900898254328</v>
      </c>
      <c r="G52" t="n">
        <v>55.5586061604177</v>
      </c>
      <c r="H52" t="n">
        <v>57.1176486802253</v>
      </c>
      <c r="I52" t="n">
        <v>63.7613816446457</v>
      </c>
      <c r="J52" t="n">
        <v>68.4537776964161</v>
      </c>
      <c r="K52" t="n">
        <v>71.0630024068176</v>
      </c>
      <c r="L52" t="n">
        <v>74.1823660241265</v>
      </c>
      <c r="M52" t="n">
        <v>75.9459883961711</v>
      </c>
      <c r="N52" t="n">
        <v>75.390827662281</v>
      </c>
      <c r="O52" t="n">
        <v>74.8258000459684</v>
      </c>
      <c r="P52" t="n">
        <v>75.1851076092143</v>
      </c>
      <c r="Q52" t="n">
        <v>76.514912233595</v>
      </c>
      <c r="R52" t="n">
        <v>77.064814066896</v>
      </c>
      <c r="S52" t="n">
        <v>79.3314262453341</v>
      </c>
      <c r="T52" t="n">
        <v>85.406355282139</v>
      </c>
      <c r="U52" t="n">
        <v>90.9374335289823</v>
      </c>
      <c r="V52" t="n">
        <v>91.466909124493</v>
      </c>
      <c r="W52" t="n">
        <v>98.4389784225488</v>
      </c>
      <c r="X52" t="n">
        <v>96.7119788011005</v>
      </c>
      <c r="Y52" t="n">
        <v>94.8441508843411</v>
      </c>
      <c r="Z52" t="n">
        <v>97.9749286805232</v>
      </c>
      <c r="AA52" t="n">
        <v>97.9749286805232</v>
      </c>
      <c r="AB52" t="n">
        <v>98.3680865002685</v>
      </c>
      <c r="AC52" t="n">
        <v>98.7292912242597</v>
      </c>
      <c r="AD52" t="n">
        <v>102.117061021171</v>
      </c>
      <c r="AE52" t="n">
        <v>100</v>
      </c>
      <c r="AF52" t="n">
        <v>98.6979166666667</v>
      </c>
    </row>
    <row r="53">
      <c r="A53" t="s">
        <v>78</v>
      </c>
      <c r="B53" t="s">
        <v>376</v>
      </c>
      <c r="C53" t="s">
        <v>246</v>
      </c>
      <c r="D53" t="s">
        <v>377</v>
      </c>
      <c r="E53" t="s">
        <v>247</v>
      </c>
      <c r="F53" t="n">
        <v>50.3542403212085</v>
      </c>
      <c r="G53" t="n">
        <v>55.0254670176728</v>
      </c>
      <c r="H53" t="n">
        <v>56.6788764833481</v>
      </c>
      <c r="I53" t="n">
        <v>62.759368979646</v>
      </c>
      <c r="J53" t="n">
        <v>66.9087487468953</v>
      </c>
      <c r="K53" t="n">
        <v>69.7502260574605</v>
      </c>
      <c r="L53" t="n">
        <v>72.2610333309472</v>
      </c>
      <c r="M53" t="n">
        <v>73.8304419868601</v>
      </c>
      <c r="N53" t="n">
        <v>73.6424187899496</v>
      </c>
      <c r="O53" t="n">
        <v>73.8677972713267</v>
      </c>
      <c r="P53" t="n">
        <v>74.5285110215174</v>
      </c>
      <c r="Q53" t="n">
        <v>75.7167423752706</v>
      </c>
      <c r="R53" t="n">
        <v>76.306896251929</v>
      </c>
      <c r="S53" t="n">
        <v>78.3071741148436</v>
      </c>
      <c r="T53" t="n">
        <v>82.8394221343523</v>
      </c>
      <c r="U53" t="n">
        <v>87.8790827965182</v>
      </c>
      <c r="V53" t="n">
        <v>87.9702436707884</v>
      </c>
      <c r="W53" t="n">
        <v>96.4388918827111</v>
      </c>
      <c r="X53" t="n">
        <v>94.7868337776539</v>
      </c>
      <c r="Y53" t="n">
        <v>93.3533844955722</v>
      </c>
      <c r="Z53" t="n">
        <v>96.4233014744998</v>
      </c>
      <c r="AA53" t="n">
        <v>97.5303428232312</v>
      </c>
      <c r="AB53" t="n">
        <v>99.4323430082996</v>
      </c>
      <c r="AC53" t="n">
        <v>100.344566338651</v>
      </c>
      <c r="AD53" t="n">
        <v>104.07358738502</v>
      </c>
      <c r="AE53" t="n">
        <v>100</v>
      </c>
      <c r="AF53" t="n">
        <v>95.5773955773956</v>
      </c>
    </row>
    <row r="54">
      <c r="A54" t="s">
        <v>78</v>
      </c>
      <c r="B54" t="s">
        <v>378</v>
      </c>
      <c r="C54" t="s">
        <v>246</v>
      </c>
      <c r="D54" t="s">
        <v>379</v>
      </c>
      <c r="E54" t="s">
        <v>247</v>
      </c>
      <c r="F54" t="n">
        <v>55.0189406074505</v>
      </c>
      <c r="G54" t="n">
        <v>60.4312780062018</v>
      </c>
      <c r="H54" t="n">
        <v>62.2703505349543</v>
      </c>
      <c r="I54" t="n">
        <v>69.2777557102433</v>
      </c>
      <c r="J54" t="n">
        <v>74.1192356495338</v>
      </c>
      <c r="K54" t="n">
        <v>77.5631597302192</v>
      </c>
      <c r="L54" t="n">
        <v>80.0792767952843</v>
      </c>
      <c r="M54" t="n">
        <v>81.7220714166062</v>
      </c>
      <c r="N54" t="n">
        <v>81.9285147583298</v>
      </c>
      <c r="O54" t="n">
        <v>82.5744349314481</v>
      </c>
      <c r="P54" t="n">
        <v>83.5740520821223</v>
      </c>
      <c r="Q54" t="n">
        <v>84.7923327247188</v>
      </c>
      <c r="R54" t="n">
        <v>85.5106683120173</v>
      </c>
      <c r="S54" t="n">
        <v>87.6341726770674</v>
      </c>
      <c r="T54" t="n">
        <v>90.8895282742839</v>
      </c>
      <c r="U54" t="n">
        <v>96.1543245408301</v>
      </c>
      <c r="V54" t="n">
        <v>96.602881610359</v>
      </c>
      <c r="W54" t="n">
        <v>98.9029502201295</v>
      </c>
      <c r="X54" t="n">
        <v>97.2947721677696</v>
      </c>
      <c r="Y54" t="n">
        <v>95.0455535245253</v>
      </c>
      <c r="Z54" t="n">
        <v>98.2081901566899</v>
      </c>
      <c r="AA54" t="n">
        <v>98.0420172461032</v>
      </c>
      <c r="AB54" t="n">
        <v>98.4994450093043</v>
      </c>
      <c r="AC54" t="n">
        <v>98.8284619446172</v>
      </c>
      <c r="AD54" t="n">
        <v>102.11122554068</v>
      </c>
      <c r="AE54" t="n">
        <v>100</v>
      </c>
      <c r="AF54" t="n">
        <v>100.80454330336</v>
      </c>
    </row>
    <row r="55">
      <c r="A55" t="s">
        <v>78</v>
      </c>
      <c r="B55" t="s">
        <v>380</v>
      </c>
      <c r="C55" t="s">
        <v>246</v>
      </c>
      <c r="D55" t="s">
        <v>381</v>
      </c>
      <c r="E55" t="s">
        <v>247</v>
      </c>
      <c r="F55" t="n">
        <v>58.4323206260932</v>
      </c>
      <c r="G55" t="n">
        <v>64.4485183739535</v>
      </c>
      <c r="H55" t="n">
        <v>66.4296447793008</v>
      </c>
      <c r="I55" t="n">
        <v>74.1848721268075</v>
      </c>
      <c r="J55" t="n">
        <v>79.5935454881655</v>
      </c>
      <c r="K55" t="n">
        <v>83.6153872324738</v>
      </c>
      <c r="L55" t="n">
        <v>86.0746633275465</v>
      </c>
      <c r="M55" t="n">
        <v>87.7800501628749</v>
      </c>
      <c r="N55" t="n">
        <v>88.3310862593148</v>
      </c>
      <c r="O55" t="n">
        <v>89.3262326173865</v>
      </c>
      <c r="P55" t="n">
        <v>90.6039088301974</v>
      </c>
      <c r="Q55" t="n">
        <v>91.85329878853</v>
      </c>
      <c r="R55" t="n">
        <v>92.6793176625276</v>
      </c>
      <c r="S55" t="n">
        <v>94.9018432659455</v>
      </c>
      <c r="T55" t="n">
        <v>96.7369617821378</v>
      </c>
      <c r="U55" t="n">
        <v>102.140287575374</v>
      </c>
      <c r="V55" t="n">
        <v>102.873001259559</v>
      </c>
      <c r="W55" t="n">
        <v>100.2703554221</v>
      </c>
      <c r="X55" t="n">
        <v>98.6859480000807</v>
      </c>
      <c r="Y55" t="n">
        <v>95.9808509483019</v>
      </c>
      <c r="Z55" t="n">
        <v>99.1985997827756</v>
      </c>
      <c r="AA55" t="n">
        <v>98.2684052771099</v>
      </c>
      <c r="AB55" t="n">
        <v>97.9108489207347</v>
      </c>
      <c r="AC55" t="n">
        <v>97.8416050388955</v>
      </c>
      <c r="AD55" t="n">
        <v>100.846740050804</v>
      </c>
      <c r="AE55" t="n">
        <v>100</v>
      </c>
      <c r="AF55" t="n">
        <v>104.080061585835</v>
      </c>
    </row>
    <row r="56">
      <c r="A56" t="s">
        <v>78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78</v>
      </c>
      <c r="B57" t="s">
        <v>384</v>
      </c>
      <c r="C57" t="s">
        <v>246</v>
      </c>
      <c r="D57" t="s">
        <v>385</v>
      </c>
      <c r="E57" t="s">
        <v>247</v>
      </c>
      <c r="F57" t="n">
        <v>58.4270142903716</v>
      </c>
      <c r="G57" t="n">
        <v>62.9829299917285</v>
      </c>
      <c r="H57" t="n">
        <v>64.9171626500088</v>
      </c>
      <c r="I57" t="n">
        <v>70.4017101188089</v>
      </c>
      <c r="J57" t="n">
        <v>73.3870003507441</v>
      </c>
      <c r="K57" t="n">
        <v>76.2299105206222</v>
      </c>
      <c r="L57" t="n">
        <v>78.623213575193</v>
      </c>
      <c r="M57" t="n">
        <v>80.0970480273913</v>
      </c>
      <c r="N57" t="n">
        <v>79.987334182399</v>
      </c>
      <c r="O57" t="n">
        <v>81.6256239482585</v>
      </c>
      <c r="P57" t="n">
        <v>82.8467480247539</v>
      </c>
      <c r="Q57" t="n">
        <v>84.9449129641767</v>
      </c>
      <c r="R57" t="n">
        <v>86.4383990946161</v>
      </c>
      <c r="S57" t="n">
        <v>89.3401438971457</v>
      </c>
      <c r="T57" t="n">
        <v>87.8289789745019</v>
      </c>
      <c r="U57" t="n">
        <v>92.0016793992135</v>
      </c>
      <c r="V57" t="n">
        <v>91.4178531501876</v>
      </c>
      <c r="W57" t="n">
        <v>95.6125552931769</v>
      </c>
      <c r="X57" t="n">
        <v>95.4319747600858</v>
      </c>
      <c r="Y57" t="n">
        <v>94.7239633980715</v>
      </c>
      <c r="Z57" t="n">
        <v>96.877504935261</v>
      </c>
      <c r="AA57" t="n">
        <v>97.2756840878277</v>
      </c>
      <c r="AB57" t="n">
        <v>97.5799156324519</v>
      </c>
      <c r="AC57" t="n">
        <v>97.8810157607219</v>
      </c>
      <c r="AD57" t="n">
        <v>100.256870597984</v>
      </c>
      <c r="AE57" t="n">
        <v>100</v>
      </c>
      <c r="AF57" t="n">
        <v>103.374323574303</v>
      </c>
    </row>
    <row r="58">
      <c r="A58" t="s">
        <v>78</v>
      </c>
      <c r="B58" t="s">
        <v>386</v>
      </c>
      <c r="C58" t="s">
        <v>246</v>
      </c>
      <c r="D58" t="s">
        <v>387</v>
      </c>
      <c r="E58" t="s">
        <v>247</v>
      </c>
      <c r="F58" t="n">
        <v>58.4270142903716</v>
      </c>
      <c r="G58" t="n">
        <v>62.9829299917285</v>
      </c>
      <c r="H58" t="n">
        <v>64.9171626500088</v>
      </c>
      <c r="I58" t="n">
        <v>70.4017101188089</v>
      </c>
      <c r="J58" t="n">
        <v>73.3870003507441</v>
      </c>
      <c r="K58" t="n">
        <v>76.2299105206222</v>
      </c>
      <c r="L58" t="n">
        <v>78.623213575193</v>
      </c>
      <c r="M58" t="n">
        <v>80.0970480273913</v>
      </c>
      <c r="N58" t="n">
        <v>79.987334182399</v>
      </c>
      <c r="O58" t="n">
        <v>81.6256239482585</v>
      </c>
      <c r="P58" t="n">
        <v>82.8467480247539</v>
      </c>
      <c r="Q58" t="n">
        <v>84.9449129641767</v>
      </c>
      <c r="R58" t="n">
        <v>86.4383990946161</v>
      </c>
      <c r="S58" t="n">
        <v>89.3401438971457</v>
      </c>
      <c r="T58" t="n">
        <v>87.8289789745019</v>
      </c>
      <c r="U58" t="n">
        <v>92.0016793992135</v>
      </c>
      <c r="V58" t="n">
        <v>91.4178531501876</v>
      </c>
      <c r="W58" t="n">
        <v>95.6125552931769</v>
      </c>
      <c r="X58" t="n">
        <v>95.4319747600858</v>
      </c>
      <c r="Y58" t="n">
        <v>94.7239633980715</v>
      </c>
      <c r="Z58" t="n">
        <v>96.877504935261</v>
      </c>
      <c r="AA58" t="n">
        <v>97.2756840878277</v>
      </c>
      <c r="AB58" t="n">
        <v>97.5799156324519</v>
      </c>
      <c r="AC58" t="n">
        <v>97.8810157607219</v>
      </c>
      <c r="AD58" t="n">
        <v>100.256870597984</v>
      </c>
      <c r="AE58" t="n">
        <v>100</v>
      </c>
      <c r="AF58" t="n">
        <v>103.374323574303</v>
      </c>
    </row>
    <row r="59">
      <c r="A59" t="s">
        <v>78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80</v>
      </c>
      <c r="B2" t="s">
        <v>197</v>
      </c>
      <c r="C2" t="s">
        <v>246</v>
      </c>
      <c r="D2" t="s">
        <v>199</v>
      </c>
      <c r="E2" t="s">
        <v>247</v>
      </c>
      <c r="F2" t="n">
        <v>72.6990546572883</v>
      </c>
      <c r="G2" t="n">
        <v>75.6762019697731</v>
      </c>
      <c r="H2" t="n">
        <v>76.5716809731423</v>
      </c>
      <c r="I2" t="n">
        <v>76.4280353725487</v>
      </c>
      <c r="J2" t="n">
        <v>75.1762586773972</v>
      </c>
      <c r="K2" t="n">
        <v>76.4993353250274</v>
      </c>
      <c r="L2" t="n">
        <v>78.87955783629</v>
      </c>
      <c r="M2" t="n">
        <v>80.4726768620006</v>
      </c>
      <c r="N2" t="n">
        <v>81.1966397279032</v>
      </c>
      <c r="O2" t="n">
        <v>83.1305803115397</v>
      </c>
      <c r="P2" t="n">
        <v>84.0651445062459</v>
      </c>
      <c r="Q2" t="n">
        <v>86.0143433891845</v>
      </c>
      <c r="R2" t="n">
        <v>88.0910095370802</v>
      </c>
      <c r="S2" t="n">
        <v>89.9824975207464</v>
      </c>
      <c r="T2" t="n">
        <v>92.5411860526725</v>
      </c>
      <c r="U2" t="n">
        <v>92.2875236800417</v>
      </c>
      <c r="V2" t="n">
        <v>94.3285569332456</v>
      </c>
      <c r="W2" t="n">
        <v>96.8514765044197</v>
      </c>
      <c r="X2" t="n">
        <v>95.2383809759447</v>
      </c>
      <c r="Y2" t="n">
        <v>95.1533781760228</v>
      </c>
      <c r="Z2" t="n">
        <v>96.3661007678131</v>
      </c>
      <c r="AA2" t="n">
        <v>95.9604959895451</v>
      </c>
      <c r="AB2" t="n">
        <v>97.0956064971558</v>
      </c>
      <c r="AC2" t="n">
        <v>98.5265460220774</v>
      </c>
      <c r="AD2" t="n">
        <v>101.072223346146</v>
      </c>
      <c r="AE2" t="n">
        <v>100</v>
      </c>
      <c r="AF2" t="n">
        <v>103.19371882287</v>
      </c>
    </row>
    <row r="3">
      <c r="A3" t="s">
        <v>80</v>
      </c>
      <c r="B3" t="s">
        <v>276</v>
      </c>
      <c r="C3" t="s">
        <v>246</v>
      </c>
      <c r="D3" t="s">
        <v>277</v>
      </c>
      <c r="E3" t="s">
        <v>247</v>
      </c>
      <c r="F3" t="n">
        <v>81.7035482713655</v>
      </c>
      <c r="G3" t="n">
        <v>83.4587530905083</v>
      </c>
      <c r="H3" t="n">
        <v>83.8489498582042</v>
      </c>
      <c r="I3" t="n">
        <v>83.9766126929457</v>
      </c>
      <c r="J3" t="n">
        <v>82.2695040690078</v>
      </c>
      <c r="K3" t="n">
        <v>84.3167636172688</v>
      </c>
      <c r="L3" t="n">
        <v>86.0762567624946</v>
      </c>
      <c r="M3" t="n">
        <v>87.2696555688408</v>
      </c>
      <c r="N3" t="n">
        <v>88.1590621882886</v>
      </c>
      <c r="O3" t="n">
        <v>89.4304779705559</v>
      </c>
      <c r="P3" t="n">
        <v>89.8504182314996</v>
      </c>
      <c r="Q3" t="n">
        <v>91.8063737154575</v>
      </c>
      <c r="R3" t="n">
        <v>93.4596833027142</v>
      </c>
      <c r="S3" t="n">
        <v>96.0301064381809</v>
      </c>
      <c r="T3" t="n">
        <v>94.9795206583444</v>
      </c>
      <c r="U3" t="n">
        <v>95.5986050024169</v>
      </c>
      <c r="V3" t="n">
        <v>98.4583018061674</v>
      </c>
      <c r="W3" t="n">
        <v>99.7985066107465</v>
      </c>
      <c r="X3" t="n">
        <v>98.2404141791386</v>
      </c>
      <c r="Y3" t="n">
        <v>98.3910434557089</v>
      </c>
      <c r="Z3" t="n">
        <v>99.7928154452407</v>
      </c>
      <c r="AA3" t="n">
        <v>98.997653569183</v>
      </c>
      <c r="AB3" t="n">
        <v>100.000330681632</v>
      </c>
      <c r="AC3" t="n">
        <v>99.7558737880507</v>
      </c>
      <c r="AD3" t="n">
        <v>101.141045958796</v>
      </c>
      <c r="AE3" t="n">
        <v>100</v>
      </c>
      <c r="AF3" t="n">
        <v>102.96886314265</v>
      </c>
    </row>
    <row r="4">
      <c r="A4" t="s">
        <v>80</v>
      </c>
      <c r="B4" t="s">
        <v>278</v>
      </c>
      <c r="C4" t="s">
        <v>246</v>
      </c>
      <c r="D4" t="s">
        <v>279</v>
      </c>
      <c r="E4" t="s">
        <v>247</v>
      </c>
      <c r="F4" t="n">
        <v>76.4180867103303</v>
      </c>
      <c r="G4" t="n">
        <v>78.056115189037</v>
      </c>
      <c r="H4" t="n">
        <v>78.3235339491921</v>
      </c>
      <c r="I4" t="n">
        <v>78.7317579493689</v>
      </c>
      <c r="J4" t="n">
        <v>77.4963607175596</v>
      </c>
      <c r="K4" t="n">
        <v>79.3683181587371</v>
      </c>
      <c r="L4" t="n">
        <v>81.0429854170315</v>
      </c>
      <c r="M4" t="n">
        <v>82.3640156203522</v>
      </c>
      <c r="N4" t="n">
        <v>83.2497304537866</v>
      </c>
      <c r="O4" t="n">
        <v>84.401841139051</v>
      </c>
      <c r="P4" t="n">
        <v>84.415574081634</v>
      </c>
      <c r="Q4" t="n">
        <v>86.450722561455</v>
      </c>
      <c r="R4" t="n">
        <v>87.9627579546559</v>
      </c>
      <c r="S4" t="n">
        <v>90.2636604955417</v>
      </c>
      <c r="T4" t="n">
        <v>90.4486373624648</v>
      </c>
      <c r="U4" t="n">
        <v>91.0148741413715</v>
      </c>
      <c r="V4" t="n">
        <v>93.6723807244924</v>
      </c>
      <c r="W4" t="n">
        <v>96.0309336150047</v>
      </c>
      <c r="X4" t="n">
        <v>95.1657213426474</v>
      </c>
      <c r="Y4" t="n">
        <v>96.1432480060324</v>
      </c>
      <c r="Z4" t="n">
        <v>98.3267824911499</v>
      </c>
      <c r="AA4" t="n">
        <v>98.042957964205</v>
      </c>
      <c r="AB4" t="n">
        <v>99.234287086998</v>
      </c>
      <c r="AC4" t="n">
        <v>99.021616177893</v>
      </c>
      <c r="AD4" t="n">
        <v>101.004189273101</v>
      </c>
      <c r="AE4" t="n">
        <v>100</v>
      </c>
      <c r="AF4" t="n">
        <v>102.529798791759</v>
      </c>
    </row>
    <row r="5">
      <c r="A5" t="s">
        <v>80</v>
      </c>
      <c r="B5" t="s">
        <v>280</v>
      </c>
      <c r="C5" t="s">
        <v>246</v>
      </c>
      <c r="D5" t="s">
        <v>281</v>
      </c>
      <c r="E5" t="s">
        <v>247</v>
      </c>
      <c r="F5" t="n">
        <v>74.9519100134165</v>
      </c>
      <c r="G5" t="n">
        <v>77.0358200597201</v>
      </c>
      <c r="H5" t="n">
        <v>77.5273577454697</v>
      </c>
      <c r="I5" t="n">
        <v>78.0585540621069</v>
      </c>
      <c r="J5" t="n">
        <v>76.918335692792</v>
      </c>
      <c r="K5" t="n">
        <v>78.74369631252</v>
      </c>
      <c r="L5" t="n">
        <v>80.3804013167064</v>
      </c>
      <c r="M5" t="n">
        <v>81.7302596052675</v>
      </c>
      <c r="N5" t="n">
        <v>82.7655465112343</v>
      </c>
      <c r="O5" t="n">
        <v>83.8105341483726</v>
      </c>
      <c r="P5" t="n">
        <v>83.9461288602103</v>
      </c>
      <c r="Q5" t="n">
        <v>85.9238698467275</v>
      </c>
      <c r="R5" t="n">
        <v>87.4386292274818</v>
      </c>
      <c r="S5" t="n">
        <v>89.7697479516899</v>
      </c>
      <c r="T5" t="n">
        <v>89.9955753581787</v>
      </c>
      <c r="U5" t="n">
        <v>90.9250047475901</v>
      </c>
      <c r="V5" t="n">
        <v>93.4134629698911</v>
      </c>
      <c r="W5" t="n">
        <v>95.6828975700412</v>
      </c>
      <c r="X5" t="n">
        <v>95.0323116060693</v>
      </c>
      <c r="Y5" t="n">
        <v>95.8846709853613</v>
      </c>
      <c r="Z5" t="n">
        <v>97.7185252825629</v>
      </c>
      <c r="AA5" t="n">
        <v>97.2258237109681</v>
      </c>
      <c r="AB5" t="n">
        <v>98.2069514800919</v>
      </c>
      <c r="AC5" t="n">
        <v>98.244069736098</v>
      </c>
      <c r="AD5" t="n">
        <v>100.455460442041</v>
      </c>
      <c r="AE5" t="n">
        <v>100</v>
      </c>
      <c r="AF5" t="n">
        <v>102.31081208539</v>
      </c>
    </row>
    <row r="6">
      <c r="A6" t="s">
        <v>80</v>
      </c>
      <c r="B6" t="s">
        <v>282</v>
      </c>
      <c r="C6" t="s">
        <v>246</v>
      </c>
      <c r="D6" t="s">
        <v>283</v>
      </c>
      <c r="E6" t="s">
        <v>247</v>
      </c>
      <c r="F6" t="n">
        <v>67.4699526088015</v>
      </c>
      <c r="G6" t="n">
        <v>69.1469624152306</v>
      </c>
      <c r="H6" t="n">
        <v>69.3630973293987</v>
      </c>
      <c r="I6" t="n">
        <v>69.7019286524234</v>
      </c>
      <c r="J6" t="n">
        <v>68.6561315695389</v>
      </c>
      <c r="K6" t="n">
        <v>70.1663869505092</v>
      </c>
      <c r="L6" t="n">
        <v>71.5449318596914</v>
      </c>
      <c r="M6" t="n">
        <v>72.728287154072</v>
      </c>
      <c r="N6" t="n">
        <v>73.5995199567283</v>
      </c>
      <c r="O6" t="n">
        <v>74.4267972891926</v>
      </c>
      <c r="P6" t="n">
        <v>74.4163357612036</v>
      </c>
      <c r="Q6" t="n">
        <v>76.1651828847007</v>
      </c>
      <c r="R6" t="n">
        <v>77.5198449396373</v>
      </c>
      <c r="S6" t="n">
        <v>79.4798835687469</v>
      </c>
      <c r="T6" t="n">
        <v>80.1440252922846</v>
      </c>
      <c r="U6" t="n">
        <v>80.9686995176762</v>
      </c>
      <c r="V6" t="n">
        <v>87.0002373464752</v>
      </c>
      <c r="W6" t="n">
        <v>91.1926400881712</v>
      </c>
      <c r="X6" t="n">
        <v>92.9084134280279</v>
      </c>
      <c r="Y6" t="n">
        <v>98.1227299823393</v>
      </c>
      <c r="Z6" t="n">
        <v>106.136278435656</v>
      </c>
      <c r="AA6" t="n">
        <v>107.694843250172</v>
      </c>
      <c r="AB6" t="n">
        <v>107.7308428635</v>
      </c>
      <c r="AC6" t="n">
        <v>102.033354836225</v>
      </c>
      <c r="AD6" t="n">
        <v>102.616450867673</v>
      </c>
      <c r="AE6" t="n">
        <v>100</v>
      </c>
      <c r="AF6" t="n">
        <v>105.690711928336</v>
      </c>
    </row>
    <row r="7">
      <c r="A7" t="s">
        <v>80</v>
      </c>
      <c r="B7" t="s">
        <v>284</v>
      </c>
      <c r="C7" t="s">
        <v>246</v>
      </c>
      <c r="D7" t="s">
        <v>285</v>
      </c>
      <c r="E7" t="s">
        <v>247</v>
      </c>
      <c r="F7" t="n">
        <v>76.9030719814387</v>
      </c>
      <c r="G7" t="n">
        <v>78.3509459832446</v>
      </c>
      <c r="H7" t="n">
        <v>78.6190263184975</v>
      </c>
      <c r="I7" t="n">
        <v>78.9288871285481</v>
      </c>
      <c r="J7" t="n">
        <v>77.7146590337016</v>
      </c>
      <c r="K7" t="n">
        <v>79.8858742557617</v>
      </c>
      <c r="L7" t="n">
        <v>81.5980617180732</v>
      </c>
      <c r="M7" t="n">
        <v>83.0176393846552</v>
      </c>
      <c r="N7" t="n">
        <v>83.8902923479546</v>
      </c>
      <c r="O7" t="n">
        <v>84.8933443685228</v>
      </c>
      <c r="P7" t="n">
        <v>84.9071000752988</v>
      </c>
      <c r="Q7" t="n">
        <v>86.7307231442961</v>
      </c>
      <c r="R7" t="n">
        <v>88.0440769161498</v>
      </c>
      <c r="S7" t="n">
        <v>90.3649546097655</v>
      </c>
      <c r="T7" t="n">
        <v>89.8124299537041</v>
      </c>
      <c r="U7" t="n">
        <v>90.6314456412127</v>
      </c>
      <c r="V7" t="n">
        <v>92.956515274127</v>
      </c>
      <c r="W7" t="n">
        <v>94.6050355582626</v>
      </c>
      <c r="X7" t="n">
        <v>93.9473384196114</v>
      </c>
      <c r="Y7" t="n">
        <v>94.7212258368738</v>
      </c>
      <c r="Z7" t="n">
        <v>96.5799424641639</v>
      </c>
      <c r="AA7" t="n">
        <v>95.7153549635323</v>
      </c>
      <c r="AB7" t="n">
        <v>97.1856945575475</v>
      </c>
      <c r="AC7" t="n">
        <v>98.3155612090141</v>
      </c>
      <c r="AD7" t="n">
        <v>100.264494731097</v>
      </c>
      <c r="AE7" t="n">
        <v>100</v>
      </c>
      <c r="AF7" t="n">
        <v>101.289333379796</v>
      </c>
    </row>
    <row r="8">
      <c r="A8" t="s">
        <v>80</v>
      </c>
      <c r="B8" t="s">
        <v>286</v>
      </c>
      <c r="C8" t="s">
        <v>246</v>
      </c>
      <c r="D8" t="s">
        <v>287</v>
      </c>
      <c r="E8" t="s">
        <v>247</v>
      </c>
      <c r="F8" t="n">
        <v>76.8628163722126</v>
      </c>
      <c r="G8" t="n">
        <v>77.8714892936902</v>
      </c>
      <c r="H8" t="n">
        <v>78.0218493811467</v>
      </c>
      <c r="I8" t="n">
        <v>78.1290909958005</v>
      </c>
      <c r="J8" t="n">
        <v>76.3210027753372</v>
      </c>
      <c r="K8" t="n">
        <v>78.0303936862911</v>
      </c>
      <c r="L8" t="n">
        <v>79.9508224325405</v>
      </c>
      <c r="M8" t="n">
        <v>80.9824991956321</v>
      </c>
      <c r="N8" t="n">
        <v>81.6325135223944</v>
      </c>
      <c r="O8" t="n">
        <v>83.9519658282498</v>
      </c>
      <c r="P8" t="n">
        <v>84.7970843970506</v>
      </c>
      <c r="Q8" t="n">
        <v>87.6281021652524</v>
      </c>
      <c r="R8" t="n">
        <v>90.1317622271168</v>
      </c>
      <c r="S8" t="n">
        <v>92.6851208777404</v>
      </c>
      <c r="T8" t="n">
        <v>91.6308539844284</v>
      </c>
      <c r="U8" t="n">
        <v>92.9381801484785</v>
      </c>
      <c r="V8" t="n">
        <v>95.9259774271627</v>
      </c>
      <c r="W8" t="n">
        <v>97.6146375657912</v>
      </c>
      <c r="X8" t="n">
        <v>96.3873642567231</v>
      </c>
      <c r="Y8" t="n">
        <v>97.0564259522028</v>
      </c>
      <c r="Z8" t="n">
        <v>98.2168528254429</v>
      </c>
      <c r="AA8" t="n">
        <v>97.0241213105146</v>
      </c>
      <c r="AB8" t="n">
        <v>98.1338182527525</v>
      </c>
      <c r="AC8" t="n">
        <v>98.261117815202</v>
      </c>
      <c r="AD8" t="n">
        <v>100.597701149425</v>
      </c>
      <c r="AE8" t="n">
        <v>100</v>
      </c>
      <c r="AF8" t="n">
        <v>106.1168174153</v>
      </c>
    </row>
    <row r="9">
      <c r="A9" t="s">
        <v>80</v>
      </c>
      <c r="B9" t="s">
        <v>288</v>
      </c>
      <c r="C9" t="s">
        <v>246</v>
      </c>
      <c r="D9" t="s">
        <v>289</v>
      </c>
      <c r="E9" t="s">
        <v>247</v>
      </c>
      <c r="F9" t="n">
        <v>76.962941331652</v>
      </c>
      <c r="G9" t="n">
        <v>77.9753220297521</v>
      </c>
      <c r="H9" t="n">
        <v>78.2292646493893</v>
      </c>
      <c r="I9" t="n">
        <v>78.7123270039996</v>
      </c>
      <c r="J9" t="n">
        <v>77.4123711492679</v>
      </c>
      <c r="K9" t="n">
        <v>79.1724805938814</v>
      </c>
      <c r="L9" t="n">
        <v>81.2617599462906</v>
      </c>
      <c r="M9" t="n">
        <v>82.629816875619</v>
      </c>
      <c r="N9" t="n">
        <v>83.0064402761525</v>
      </c>
      <c r="O9" t="n">
        <v>84.8639930509509</v>
      </c>
      <c r="P9" t="n">
        <v>85.1352753506368</v>
      </c>
      <c r="Q9" t="n">
        <v>87.6360694901673</v>
      </c>
      <c r="R9" t="n">
        <v>89.946379491189</v>
      </c>
      <c r="S9" t="n">
        <v>92.478399273084</v>
      </c>
      <c r="T9" t="n">
        <v>92.1426932581308</v>
      </c>
      <c r="U9" t="n">
        <v>93.2046996083794</v>
      </c>
      <c r="V9" t="n">
        <v>95.0481874089654</v>
      </c>
      <c r="W9" t="n">
        <v>97.2650692128688</v>
      </c>
      <c r="X9" t="n">
        <v>96.0632693719721</v>
      </c>
      <c r="Y9" t="n">
        <v>97.0310826155636</v>
      </c>
      <c r="Z9" t="n">
        <v>98.7028528324793</v>
      </c>
      <c r="AA9" t="n">
        <v>96.6584333460878</v>
      </c>
      <c r="AB9" t="n">
        <v>97.9723269868566</v>
      </c>
      <c r="AC9" t="n">
        <v>98.3100400152946</v>
      </c>
      <c r="AD9" t="n">
        <v>100.674464673144</v>
      </c>
      <c r="AE9" t="n">
        <v>100</v>
      </c>
      <c r="AF9" t="n">
        <v>105.441886292768</v>
      </c>
    </row>
    <row r="10">
      <c r="A10" t="s">
        <v>80</v>
      </c>
      <c r="B10" t="s">
        <v>290</v>
      </c>
      <c r="C10" t="s">
        <v>246</v>
      </c>
      <c r="D10" t="s">
        <v>291</v>
      </c>
      <c r="E10" t="s">
        <v>247</v>
      </c>
      <c r="F10" t="n">
        <v>74.1364865123231</v>
      </c>
      <c r="G10" t="n">
        <v>75.1115084110291</v>
      </c>
      <c r="H10" t="n">
        <v>75.3722787244015</v>
      </c>
      <c r="I10" t="n">
        <v>75.8459781910576</v>
      </c>
      <c r="J10" t="n">
        <v>74.593833495578</v>
      </c>
      <c r="K10" t="n">
        <v>76.3360566450802</v>
      </c>
      <c r="L10" t="n">
        <v>78.0718259506459</v>
      </c>
      <c r="M10" t="n">
        <v>79.4496983948621</v>
      </c>
      <c r="N10" t="n">
        <v>79.9408069203208</v>
      </c>
      <c r="O10" t="n">
        <v>81.5225800106413</v>
      </c>
      <c r="P10" t="n">
        <v>81.3748511661733</v>
      </c>
      <c r="Q10" t="n">
        <v>83.5783148281074</v>
      </c>
      <c r="R10" t="n">
        <v>85.5806347042023</v>
      </c>
      <c r="S10" t="n">
        <v>87.8580105900547</v>
      </c>
      <c r="T10" t="n">
        <v>89.1500814641691</v>
      </c>
      <c r="U10" t="n">
        <v>90.0623123152163</v>
      </c>
      <c r="V10" t="n">
        <v>91.8324158032776</v>
      </c>
      <c r="W10" t="n">
        <v>94.3280960263343</v>
      </c>
      <c r="X10" t="n">
        <v>91.9104233182468</v>
      </c>
      <c r="Y10" t="n">
        <v>92.6415235809595</v>
      </c>
      <c r="Z10" t="n">
        <v>94.4801601821138</v>
      </c>
      <c r="AA10" t="n">
        <v>95.285141940939</v>
      </c>
      <c r="AB10" t="n">
        <v>96.8156945594733</v>
      </c>
      <c r="AC10" t="n">
        <v>97.2564876270096</v>
      </c>
      <c r="AD10" t="n">
        <v>99.8293135435993</v>
      </c>
      <c r="AE10" t="n">
        <v>100</v>
      </c>
      <c r="AF10" t="n">
        <v>105.457584818591</v>
      </c>
    </row>
    <row r="11">
      <c r="A11" t="s">
        <v>80</v>
      </c>
      <c r="B11" t="s">
        <v>292</v>
      </c>
      <c r="C11" t="s">
        <v>246</v>
      </c>
      <c r="D11" t="s">
        <v>293</v>
      </c>
      <c r="E11" t="s">
        <v>247</v>
      </c>
      <c r="F11" t="n">
        <v>70.5389752442813</v>
      </c>
      <c r="G11" t="n">
        <v>71.4664101733454</v>
      </c>
      <c r="H11" t="n">
        <v>71.7459033691739</v>
      </c>
      <c r="I11" t="n">
        <v>72.2085052743284</v>
      </c>
      <c r="J11" t="n">
        <v>71.017206445174</v>
      </c>
      <c r="K11" t="n">
        <v>72.7649514218665</v>
      </c>
      <c r="L11" t="n">
        <v>73.8011476231194</v>
      </c>
      <c r="M11" t="n">
        <v>75.2117456936441</v>
      </c>
      <c r="N11" t="n">
        <v>75.9451213287934</v>
      </c>
      <c r="O11" t="n">
        <v>77.0408348458809</v>
      </c>
      <c r="P11" t="n">
        <v>76.2219103843659</v>
      </c>
      <c r="Q11" t="n">
        <v>77.9045283006175</v>
      </c>
      <c r="R11" t="n">
        <v>79.3485485252656</v>
      </c>
      <c r="S11" t="n">
        <v>81.1663121739525</v>
      </c>
      <c r="T11" t="n">
        <v>85.6258174792616</v>
      </c>
      <c r="U11" t="n">
        <v>86.2746192768125</v>
      </c>
      <c r="V11" t="n">
        <v>87.9482062124606</v>
      </c>
      <c r="W11" t="n">
        <v>90.946534119301</v>
      </c>
      <c r="X11" t="n">
        <v>86.485396880715</v>
      </c>
      <c r="Y11" t="n">
        <v>86.8561354056428</v>
      </c>
      <c r="Z11" t="n">
        <v>88.948829881349</v>
      </c>
      <c r="AA11" t="n">
        <v>93.7938389790942</v>
      </c>
      <c r="AB11" t="n">
        <v>95.5020982384555</v>
      </c>
      <c r="AC11" t="n">
        <v>96.06073853658</v>
      </c>
      <c r="AD11" t="n">
        <v>98.897154450398</v>
      </c>
      <c r="AE11" t="n">
        <v>100</v>
      </c>
      <c r="AF11" t="n">
        <v>105.47686496695</v>
      </c>
    </row>
    <row r="12">
      <c r="A12" t="s">
        <v>80</v>
      </c>
      <c r="B12" t="s">
        <v>294</v>
      </c>
      <c r="C12" t="s">
        <v>246</v>
      </c>
      <c r="D12" t="s">
        <v>295</v>
      </c>
      <c r="E12" t="s">
        <v>247</v>
      </c>
      <c r="F12" t="n">
        <v>77.3403900852572</v>
      </c>
      <c r="G12" t="n">
        <v>78.9896937432751</v>
      </c>
      <c r="H12" t="n">
        <v>78.5309481552882</v>
      </c>
      <c r="I12" t="n">
        <v>78.8907580843013</v>
      </c>
      <c r="J12" t="n">
        <v>77.593654484493</v>
      </c>
      <c r="K12" t="n">
        <v>79.4454118537229</v>
      </c>
      <c r="L12" t="n">
        <v>81.1114890495107</v>
      </c>
      <c r="M12" t="n">
        <v>82.4305773955138</v>
      </c>
      <c r="N12" t="n">
        <v>83.4045998461564</v>
      </c>
      <c r="O12" t="n">
        <v>84.6128672832247</v>
      </c>
      <c r="P12" t="n">
        <v>84.7613587590629</v>
      </c>
      <c r="Q12" t="n">
        <v>86.795161465406</v>
      </c>
      <c r="R12" t="n">
        <v>88.4021421953746</v>
      </c>
      <c r="S12" t="n">
        <v>90.7490593366074</v>
      </c>
      <c r="T12" t="n">
        <v>90.5804318118041</v>
      </c>
      <c r="U12" t="n">
        <v>91.1807676729602</v>
      </c>
      <c r="V12" t="n">
        <v>93.7030906197387</v>
      </c>
      <c r="W12" t="n">
        <v>95.6592285903213</v>
      </c>
      <c r="X12" t="n">
        <v>94.6698054455225</v>
      </c>
      <c r="Y12" t="n">
        <v>95.3417545866099</v>
      </c>
      <c r="Z12" t="n">
        <v>97.1423850072278</v>
      </c>
      <c r="AA12" t="n">
        <v>96.7540613124157</v>
      </c>
      <c r="AB12" t="n">
        <v>98.0502322248572</v>
      </c>
      <c r="AC12" t="n">
        <v>98.6148564262843</v>
      </c>
      <c r="AD12" t="n">
        <v>100.45996592845</v>
      </c>
      <c r="AE12" t="n">
        <v>100</v>
      </c>
      <c r="AF12" t="n">
        <v>102.169135889984</v>
      </c>
    </row>
    <row r="13">
      <c r="A13" t="s">
        <v>80</v>
      </c>
      <c r="B13" t="s">
        <v>296</v>
      </c>
      <c r="C13" t="s">
        <v>246</v>
      </c>
      <c r="D13" t="s">
        <v>297</v>
      </c>
      <c r="E13" t="s">
        <v>247</v>
      </c>
      <c r="F13" t="n">
        <v>77.6491606929847</v>
      </c>
      <c r="G13" t="n">
        <v>79.5853803680679</v>
      </c>
      <c r="H13" t="n">
        <v>80.0289056562806</v>
      </c>
      <c r="I13" t="n">
        <v>80.4702640697453</v>
      </c>
      <c r="J13" t="n">
        <v>79.2556813597088</v>
      </c>
      <c r="K13" t="n">
        <v>81.199296481295</v>
      </c>
      <c r="L13" t="n">
        <v>82.9838964039608</v>
      </c>
      <c r="M13" t="n">
        <v>84.3233224917032</v>
      </c>
      <c r="N13" t="n">
        <v>85.3657238740797</v>
      </c>
      <c r="O13" t="n">
        <v>86.5724756065131</v>
      </c>
      <c r="P13" t="n">
        <v>86.7582740031729</v>
      </c>
      <c r="Q13" t="n">
        <v>88.8448799824951</v>
      </c>
      <c r="R13" t="n">
        <v>90.4954134859452</v>
      </c>
      <c r="S13" t="n">
        <v>92.9245396693125</v>
      </c>
      <c r="T13" t="n">
        <v>93.0261276302944</v>
      </c>
      <c r="U13" t="n">
        <v>93.0426291015811</v>
      </c>
      <c r="V13" t="n">
        <v>95.5415748923566</v>
      </c>
      <c r="W13" t="n">
        <v>97.8652347689577</v>
      </c>
      <c r="X13" t="n">
        <v>97.2375697910809</v>
      </c>
      <c r="Y13" t="n">
        <v>97.7948885683004</v>
      </c>
      <c r="Z13" t="n">
        <v>99.7116578089605</v>
      </c>
      <c r="AA13" t="n">
        <v>99.2475072059235</v>
      </c>
      <c r="AB13" t="n">
        <v>100.430412558366</v>
      </c>
      <c r="AC13" t="n">
        <v>99.9788460878349</v>
      </c>
      <c r="AD13" t="n">
        <v>101.8720663683</v>
      </c>
      <c r="AE13" t="n">
        <v>100</v>
      </c>
      <c r="AF13" t="n">
        <v>101.374026377914</v>
      </c>
    </row>
    <row r="14">
      <c r="A14" t="s">
        <v>80</v>
      </c>
      <c r="B14" t="s">
        <v>298</v>
      </c>
      <c r="C14" t="s">
        <v>246</v>
      </c>
      <c r="D14" t="s">
        <v>299</v>
      </c>
      <c r="E14" t="s">
        <v>247</v>
      </c>
      <c r="F14" t="n">
        <v>83.031904151211</v>
      </c>
      <c r="G14" t="n">
        <v>84.5123786686242</v>
      </c>
      <c r="H14" t="n">
        <v>84.757753851189</v>
      </c>
      <c r="I14" t="n">
        <v>85.3717142535487</v>
      </c>
      <c r="J14" t="n">
        <v>84.1222099888802</v>
      </c>
      <c r="K14" t="n">
        <v>86.3624129794436</v>
      </c>
      <c r="L14" t="n">
        <v>88.040780681193</v>
      </c>
      <c r="M14" t="n">
        <v>89.1607533798988</v>
      </c>
      <c r="N14" t="n">
        <v>89.4557049450103</v>
      </c>
      <c r="O14" t="n">
        <v>89.6736072482942</v>
      </c>
      <c r="P14" t="n">
        <v>88.4513436974442</v>
      </c>
      <c r="Q14" t="n">
        <v>90.4034530131305</v>
      </c>
      <c r="R14" t="n">
        <v>90.7423498077864</v>
      </c>
      <c r="S14" t="n">
        <v>92.4696682629909</v>
      </c>
      <c r="T14" t="n">
        <v>91.8405801055449</v>
      </c>
      <c r="U14" t="n">
        <v>91.389490092564</v>
      </c>
      <c r="V14" t="n">
        <v>93.908043456032</v>
      </c>
      <c r="W14" t="n">
        <v>96.38259455957</v>
      </c>
      <c r="X14" t="n">
        <v>95.1470697048942</v>
      </c>
      <c r="Y14" t="n">
        <v>95.7087279662921</v>
      </c>
      <c r="Z14" t="n">
        <v>97.5599840192432</v>
      </c>
      <c r="AA14" t="n">
        <v>96.6387377112239</v>
      </c>
      <c r="AB14" t="n">
        <v>98.4046449550407</v>
      </c>
      <c r="AC14" t="n">
        <v>99.0230917181215</v>
      </c>
      <c r="AD14" t="n">
        <v>100.755813953488</v>
      </c>
      <c r="AE14" t="n">
        <v>100</v>
      </c>
      <c r="AF14" t="n">
        <v>102.757017106793</v>
      </c>
    </row>
    <row r="15">
      <c r="A15" t="s">
        <v>80</v>
      </c>
      <c r="B15" t="s">
        <v>300</v>
      </c>
      <c r="C15" t="s">
        <v>246</v>
      </c>
      <c r="D15" t="s">
        <v>301</v>
      </c>
      <c r="E15" t="s">
        <v>247</v>
      </c>
      <c r="F15" t="n">
        <v>80.1229919793547</v>
      </c>
      <c r="G15" t="n">
        <v>81.5724531407902</v>
      </c>
      <c r="H15" t="n">
        <v>81.7880940780246</v>
      </c>
      <c r="I15" t="n">
        <v>82.3311840020658</v>
      </c>
      <c r="J15" t="n">
        <v>81.0958227058879</v>
      </c>
      <c r="K15" t="n">
        <v>83.1987666174058</v>
      </c>
      <c r="L15" t="n">
        <v>84.8519401195739</v>
      </c>
      <c r="M15" t="n">
        <v>86.1139582630902</v>
      </c>
      <c r="N15" t="n">
        <v>86.6873452365541</v>
      </c>
      <c r="O15" t="n">
        <v>87.3973467360013</v>
      </c>
      <c r="P15" t="n">
        <v>86.7324003853504</v>
      </c>
      <c r="Q15" t="n">
        <v>88.7074255333031</v>
      </c>
      <c r="R15" t="n">
        <v>89.4840573834618</v>
      </c>
      <c r="S15" t="n">
        <v>91.5164413725701</v>
      </c>
      <c r="T15" t="n">
        <v>91.1793054205616</v>
      </c>
      <c r="U15" t="n">
        <v>91.2487917543486</v>
      </c>
      <c r="V15" t="n">
        <v>93.7237599103512</v>
      </c>
      <c r="W15" t="n">
        <v>96.1460688297424</v>
      </c>
      <c r="X15" t="n">
        <v>95.0192923581352</v>
      </c>
      <c r="Y15" t="n">
        <v>95.6327598123843</v>
      </c>
      <c r="Z15" t="n">
        <v>97.46604456296</v>
      </c>
      <c r="AA15" t="n">
        <v>96.828672153737</v>
      </c>
      <c r="AB15" t="n">
        <v>98.3847763223585</v>
      </c>
      <c r="AC15" t="n">
        <v>98.8604706333597</v>
      </c>
      <c r="AD15" t="n">
        <v>100.788696594774</v>
      </c>
      <c r="AE15" t="n">
        <v>100</v>
      </c>
      <c r="AF15" t="n">
        <v>102.750645913416</v>
      </c>
    </row>
    <row r="16">
      <c r="A16" t="s">
        <v>80</v>
      </c>
      <c r="B16" t="s">
        <v>302</v>
      </c>
      <c r="C16" t="s">
        <v>246</v>
      </c>
      <c r="D16" t="s">
        <v>303</v>
      </c>
      <c r="E16" t="s">
        <v>247</v>
      </c>
      <c r="F16" t="n">
        <v>77.4412455638642</v>
      </c>
      <c r="G16" t="n">
        <v>78.8595833947042</v>
      </c>
      <c r="H16" t="n">
        <v>79.0542583588548</v>
      </c>
      <c r="I16" t="n">
        <v>79.5008024851506</v>
      </c>
      <c r="J16" t="n">
        <v>78.2743321061661</v>
      </c>
      <c r="K16" t="n">
        <v>80.2554963591462</v>
      </c>
      <c r="L16" t="n">
        <v>81.8949627511618</v>
      </c>
      <c r="M16" t="n">
        <v>83.2448797195876</v>
      </c>
      <c r="N16" t="n">
        <v>84.0641106728319</v>
      </c>
      <c r="O16" t="n">
        <v>85.207594423393</v>
      </c>
      <c r="P16" t="n">
        <v>85.1025524288174</v>
      </c>
      <c r="Q16" t="n">
        <v>87.1035157038796</v>
      </c>
      <c r="R16" t="n">
        <v>88.3009592721934</v>
      </c>
      <c r="S16" t="n">
        <v>90.5464050104827</v>
      </c>
      <c r="T16" t="n">
        <v>90.5872321387226</v>
      </c>
      <c r="U16" t="n">
        <v>91.1601158202323</v>
      </c>
      <c r="V16" t="n">
        <v>93.5947571310564</v>
      </c>
      <c r="W16" t="n">
        <v>95.9592562585779</v>
      </c>
      <c r="X16" t="n">
        <v>94.9301462658726</v>
      </c>
      <c r="Y16" t="n">
        <v>95.5927103705952</v>
      </c>
      <c r="Z16" t="n">
        <v>97.4119488032536</v>
      </c>
      <c r="AA16" t="n">
        <v>97.0174974673275</v>
      </c>
      <c r="AB16" t="n">
        <v>98.3594926209878</v>
      </c>
      <c r="AC16" t="n">
        <v>98.6694172442171</v>
      </c>
      <c r="AD16" t="n">
        <v>100.833850793932</v>
      </c>
      <c r="AE16" t="n">
        <v>100</v>
      </c>
      <c r="AF16" t="n">
        <v>102.742230347349</v>
      </c>
    </row>
    <row r="17">
      <c r="A17" t="s">
        <v>80</v>
      </c>
      <c r="B17" t="s">
        <v>304</v>
      </c>
      <c r="C17" t="s">
        <v>246</v>
      </c>
      <c r="D17" t="s">
        <v>305</v>
      </c>
      <c r="E17" t="s">
        <v>247</v>
      </c>
      <c r="F17" t="n">
        <v>78.2548132871573</v>
      </c>
      <c r="G17" t="n">
        <v>79.7733565284381</v>
      </c>
      <c r="H17" t="n">
        <v>80.0306010272053</v>
      </c>
      <c r="I17" t="n">
        <v>80.3083148907412</v>
      </c>
      <c r="J17" t="n">
        <v>78.9964748276438</v>
      </c>
      <c r="K17" t="n">
        <v>80.8093261417962</v>
      </c>
      <c r="L17" t="n">
        <v>82.499429724391</v>
      </c>
      <c r="M17" t="n">
        <v>83.8482321318183</v>
      </c>
      <c r="N17" t="n">
        <v>84.7767122465866</v>
      </c>
      <c r="O17" t="n">
        <v>86.1359138487346</v>
      </c>
      <c r="P17" t="n">
        <v>86.1141742499001</v>
      </c>
      <c r="Q17" t="n">
        <v>88.2898866480666</v>
      </c>
      <c r="R17" t="n">
        <v>89.7533865616655</v>
      </c>
      <c r="S17" t="n">
        <v>92.0780326681103</v>
      </c>
      <c r="T17" t="n">
        <v>92.2296135195102</v>
      </c>
      <c r="U17" t="n">
        <v>92.9373707455592</v>
      </c>
      <c r="V17" t="n">
        <v>95.4634008427227</v>
      </c>
      <c r="W17" t="n">
        <v>97.4486416276567</v>
      </c>
      <c r="X17" t="n">
        <v>96.2867108838955</v>
      </c>
      <c r="Y17" t="n">
        <v>96.7924142163571</v>
      </c>
      <c r="Z17" t="n">
        <v>98.4423868137084</v>
      </c>
      <c r="AA17" t="n">
        <v>97.9732010721854</v>
      </c>
      <c r="AB17" t="n">
        <v>99.1498880739102</v>
      </c>
      <c r="AC17" t="n">
        <v>99.4815196700046</v>
      </c>
      <c r="AD17" t="n">
        <v>101.346887844979</v>
      </c>
      <c r="AE17" t="n">
        <v>100</v>
      </c>
      <c r="AF17" t="n">
        <v>102.087153960353</v>
      </c>
    </row>
    <row r="18">
      <c r="A18" t="s">
        <v>80</v>
      </c>
      <c r="B18" t="s">
        <v>306</v>
      </c>
      <c r="C18" t="s">
        <v>246</v>
      </c>
      <c r="D18" t="s">
        <v>307</v>
      </c>
      <c r="E18" t="s">
        <v>247</v>
      </c>
      <c r="F18" t="n">
        <v>78.0652088185927</v>
      </c>
      <c r="G18" t="n">
        <v>79.6961685675775</v>
      </c>
      <c r="H18" t="n">
        <v>80.0442366052822</v>
      </c>
      <c r="I18" t="n">
        <v>80.4645052820428</v>
      </c>
      <c r="J18" t="n">
        <v>79.2020014059323</v>
      </c>
      <c r="K18" t="n">
        <v>81.1393706104241</v>
      </c>
      <c r="L18" t="n">
        <v>82.7739433432769</v>
      </c>
      <c r="M18" t="n">
        <v>84.0521757548144</v>
      </c>
      <c r="N18" t="n">
        <v>85.0641503872633</v>
      </c>
      <c r="O18" t="n">
        <v>86.1473704188179</v>
      </c>
      <c r="P18" t="n">
        <v>86.2346812054688</v>
      </c>
      <c r="Q18" t="n">
        <v>88.2015547679197</v>
      </c>
      <c r="R18" t="n">
        <v>89.5792964891231</v>
      </c>
      <c r="S18" t="n">
        <v>91.9457215523562</v>
      </c>
      <c r="T18" t="n">
        <v>92.1264392948328</v>
      </c>
      <c r="U18" t="n">
        <v>92.3638978978936</v>
      </c>
      <c r="V18" t="n">
        <v>94.7976854582854</v>
      </c>
      <c r="W18" t="n">
        <v>97.2579821567831</v>
      </c>
      <c r="X18" t="n">
        <v>96.4186165705686</v>
      </c>
      <c r="Y18" t="n">
        <v>97.0332084272239</v>
      </c>
      <c r="Z18" t="n">
        <v>98.9803890568396</v>
      </c>
      <c r="AA18" t="n">
        <v>98.5215868355393</v>
      </c>
      <c r="AB18" t="n">
        <v>99.7500355491994</v>
      </c>
      <c r="AC18" t="n">
        <v>99.5250146457949</v>
      </c>
      <c r="AD18" t="n">
        <v>101.552795031056</v>
      </c>
      <c r="AE18" t="n">
        <v>100</v>
      </c>
      <c r="AF18" t="n">
        <v>101.453369746053</v>
      </c>
    </row>
    <row r="19">
      <c r="A19" t="s">
        <v>80</v>
      </c>
      <c r="B19" t="s">
        <v>308</v>
      </c>
      <c r="C19" t="s">
        <v>246</v>
      </c>
      <c r="D19" t="s">
        <v>309</v>
      </c>
      <c r="E19" t="s">
        <v>247</v>
      </c>
      <c r="F19" t="n">
        <v>77.5268462326867</v>
      </c>
      <c r="G19" t="n">
        <v>79.0485885129945</v>
      </c>
      <c r="H19" t="n">
        <v>79.217200976373</v>
      </c>
      <c r="I19" t="n">
        <v>79.4415903911331</v>
      </c>
      <c r="J19" t="n">
        <v>78.1550155495241</v>
      </c>
      <c r="K19" t="n">
        <v>79.9463113717852</v>
      </c>
      <c r="L19" t="n">
        <v>81.4948120638635</v>
      </c>
      <c r="M19" t="n">
        <v>82.8854691273338</v>
      </c>
      <c r="N19" t="n">
        <v>83.9199794938855</v>
      </c>
      <c r="O19" t="n">
        <v>85.0742567008386</v>
      </c>
      <c r="P19" t="n">
        <v>84.9929043157553</v>
      </c>
      <c r="Q19" t="n">
        <v>87.0383013722683</v>
      </c>
      <c r="R19" t="n">
        <v>88.4715584654107</v>
      </c>
      <c r="S19" t="n">
        <v>90.6995510091825</v>
      </c>
      <c r="T19" t="n">
        <v>91.5045558996707</v>
      </c>
      <c r="U19" t="n">
        <v>91.9617034088257</v>
      </c>
      <c r="V19" t="n">
        <v>94.2450050509078</v>
      </c>
      <c r="W19" t="n">
        <v>96.788537297316</v>
      </c>
      <c r="X19" t="n">
        <v>95.4447400009014</v>
      </c>
      <c r="Y19" t="n">
        <v>96.2931765643258</v>
      </c>
      <c r="Z19" t="n">
        <v>98.4109593083894</v>
      </c>
      <c r="AA19" t="n">
        <v>97.1860528956603</v>
      </c>
      <c r="AB19" t="n">
        <v>98.6168703833465</v>
      </c>
      <c r="AC19" t="n">
        <v>98.5924587562945</v>
      </c>
      <c r="AD19" t="n">
        <v>101.025785147193</v>
      </c>
      <c r="AE19" t="n">
        <v>100</v>
      </c>
      <c r="AF19" t="n">
        <v>102.998846597463</v>
      </c>
    </row>
    <row r="20">
      <c r="A20" t="s">
        <v>80</v>
      </c>
      <c r="B20" t="s">
        <v>310</v>
      </c>
      <c r="C20" t="s">
        <v>246</v>
      </c>
      <c r="D20" t="s">
        <v>311</v>
      </c>
      <c r="E20" t="s">
        <v>247</v>
      </c>
      <c r="F20" t="n">
        <v>78.9084086791974</v>
      </c>
      <c r="G20" t="n">
        <v>80.3607325443663</v>
      </c>
      <c r="H20" t="n">
        <v>80.620952307756</v>
      </c>
      <c r="I20" t="n">
        <v>80.5923694871642</v>
      </c>
      <c r="J20" t="n">
        <v>78.8348742270321</v>
      </c>
      <c r="K20" t="n">
        <v>80.5073732895765</v>
      </c>
      <c r="L20" t="n">
        <v>81.9425357358082</v>
      </c>
      <c r="M20" t="n">
        <v>82.9101063125813</v>
      </c>
      <c r="N20" t="n">
        <v>83.785331354322</v>
      </c>
      <c r="O20" t="n">
        <v>85.1132396561414</v>
      </c>
      <c r="P20" t="n">
        <v>85.321352674232</v>
      </c>
      <c r="Q20" t="n">
        <v>87.2533577154215</v>
      </c>
      <c r="R20" t="n">
        <v>88.4530362298025</v>
      </c>
      <c r="S20" t="n">
        <v>90.8313548045744</v>
      </c>
      <c r="T20" t="n">
        <v>90.9902391427155</v>
      </c>
      <c r="U20" t="n">
        <v>91.8672502793384</v>
      </c>
      <c r="V20" t="n">
        <v>94.4657162616899</v>
      </c>
      <c r="W20" t="n">
        <v>96.8269205544316</v>
      </c>
      <c r="X20" t="n">
        <v>95.7863420041521</v>
      </c>
      <c r="Y20" t="n">
        <v>96.4977205196657</v>
      </c>
      <c r="Z20" t="n">
        <v>98.1775786105928</v>
      </c>
      <c r="AA20" t="n">
        <v>97.0927816620487</v>
      </c>
      <c r="AB20" t="n">
        <v>98.2126124717716</v>
      </c>
      <c r="AC20" t="n">
        <v>98.3899502414398</v>
      </c>
      <c r="AD20" t="n">
        <v>101.132832729156</v>
      </c>
      <c r="AE20" t="n">
        <v>100</v>
      </c>
      <c r="AF20" t="n">
        <v>102.015427941717</v>
      </c>
    </row>
    <row r="21">
      <c r="A21" t="s">
        <v>80</v>
      </c>
      <c r="B21" t="s">
        <v>312</v>
      </c>
      <c r="C21" t="s">
        <v>246</v>
      </c>
      <c r="D21" t="s">
        <v>313</v>
      </c>
      <c r="E21" t="s">
        <v>247</v>
      </c>
      <c r="F21" t="n">
        <v>78.4399519241635</v>
      </c>
      <c r="G21" t="n">
        <v>79.939694923025</v>
      </c>
      <c r="H21" t="n">
        <v>80.2233414479952</v>
      </c>
      <c r="I21" t="n">
        <v>80.2029451893641</v>
      </c>
      <c r="J21" t="n">
        <v>78.5209303068336</v>
      </c>
      <c r="K21" t="n">
        <v>80.2149097677679</v>
      </c>
      <c r="L21" t="n">
        <v>81.774188671109</v>
      </c>
      <c r="M21" t="n">
        <v>82.8269236038889</v>
      </c>
      <c r="N21" t="n">
        <v>83.6270563053702</v>
      </c>
      <c r="O21" t="n">
        <v>85.0114187753201</v>
      </c>
      <c r="P21" t="n">
        <v>85.236373142132</v>
      </c>
      <c r="Q21" t="n">
        <v>87.2379708789526</v>
      </c>
      <c r="R21" t="n">
        <v>88.6445540870727</v>
      </c>
      <c r="S21" t="n">
        <v>91.0467296742858</v>
      </c>
      <c r="T21" t="n">
        <v>91.1073474187765</v>
      </c>
      <c r="U21" t="n">
        <v>91.9124957774503</v>
      </c>
      <c r="V21" t="n">
        <v>94.3968125512041</v>
      </c>
      <c r="W21" t="n">
        <v>96.7511019347486</v>
      </c>
      <c r="X21" t="n">
        <v>95.7212182206725</v>
      </c>
      <c r="Y21" t="n">
        <v>96.5062035954834</v>
      </c>
      <c r="Z21" t="n">
        <v>98.2352001074746</v>
      </c>
      <c r="AA21" t="n">
        <v>96.9953200850423</v>
      </c>
      <c r="AB21" t="n">
        <v>98.2508859467319</v>
      </c>
      <c r="AC21" t="n">
        <v>98.3956745487496</v>
      </c>
      <c r="AD21" t="n">
        <v>100.916969271612</v>
      </c>
      <c r="AE21" t="n">
        <v>100</v>
      </c>
      <c r="AF21" t="n">
        <v>102.859537543756</v>
      </c>
    </row>
    <row r="22">
      <c r="A22" t="s">
        <v>80</v>
      </c>
      <c r="B22" t="s">
        <v>314</v>
      </c>
      <c r="C22" t="s">
        <v>246</v>
      </c>
      <c r="D22" t="s">
        <v>315</v>
      </c>
      <c r="E22" t="s">
        <v>247</v>
      </c>
      <c r="F22" t="n">
        <v>77.0808183186779</v>
      </c>
      <c r="G22" t="n">
        <v>78.7350355400511</v>
      </c>
      <c r="H22" t="n">
        <v>79.0938035591375</v>
      </c>
      <c r="I22" t="n">
        <v>79.1027286103178</v>
      </c>
      <c r="J22" t="n">
        <v>77.6849963579284</v>
      </c>
      <c r="K22" t="n">
        <v>79.4680275956643</v>
      </c>
      <c r="L22" t="n">
        <v>81.3945771279371</v>
      </c>
      <c r="M22" t="n">
        <v>82.7267305997528</v>
      </c>
      <c r="N22" t="n">
        <v>83.2779312034106</v>
      </c>
      <c r="O22" t="n">
        <v>84.8055167886899</v>
      </c>
      <c r="P22" t="n">
        <v>85.0900256192068</v>
      </c>
      <c r="Q22" t="n">
        <v>87.2877447255375</v>
      </c>
      <c r="R22" t="n">
        <v>89.3431099966389</v>
      </c>
      <c r="S22" t="n">
        <v>91.841391661086</v>
      </c>
      <c r="T22" t="n">
        <v>91.5972429046012</v>
      </c>
      <c r="U22" t="n">
        <v>92.1772116827996</v>
      </c>
      <c r="V22" t="n">
        <v>94.3031532566968</v>
      </c>
      <c r="W22" t="n">
        <v>96.64314010069</v>
      </c>
      <c r="X22" t="n">
        <v>95.6541162930978</v>
      </c>
      <c r="Y22" t="n">
        <v>96.6470320782052</v>
      </c>
      <c r="Z22" t="n">
        <v>98.4595579570365</v>
      </c>
      <c r="AA22" t="n">
        <v>96.8869810340575</v>
      </c>
      <c r="AB22" t="n">
        <v>98.2898571212871</v>
      </c>
      <c r="AC22" t="n">
        <v>98.4021141112669</v>
      </c>
      <c r="AD22" t="n">
        <v>100.724470357328</v>
      </c>
      <c r="AE22" t="n">
        <v>100</v>
      </c>
      <c r="AF22" t="n">
        <v>103.714916743182</v>
      </c>
    </row>
    <row r="23">
      <c r="A23" t="s">
        <v>80</v>
      </c>
      <c r="B23" t="s">
        <v>316</v>
      </c>
      <c r="C23" t="s">
        <v>246</v>
      </c>
      <c r="D23" t="s">
        <v>317</v>
      </c>
      <c r="E23" t="s">
        <v>247</v>
      </c>
      <c r="F23" t="n">
        <v>83.4632888799654</v>
      </c>
      <c r="G23" t="n">
        <v>85.4837226537542</v>
      </c>
      <c r="H23" t="n">
        <v>85.6902659166928</v>
      </c>
      <c r="I23" t="n">
        <v>85.8056775044457</v>
      </c>
      <c r="J23" t="n">
        <v>84.3696098546334</v>
      </c>
      <c r="K23" t="n">
        <v>86.1831910741511</v>
      </c>
      <c r="L23" t="n">
        <v>87.8315229259081</v>
      </c>
      <c r="M23" t="n">
        <v>89.1530576297088</v>
      </c>
      <c r="N23" t="n">
        <v>90.0289044375858</v>
      </c>
      <c r="O23" t="n">
        <v>91.0727910261975</v>
      </c>
      <c r="P23" t="n">
        <v>91.104045188691</v>
      </c>
      <c r="Q23" t="n">
        <v>93.0615530084628</v>
      </c>
      <c r="R23" t="n">
        <v>94.7359720411312</v>
      </c>
      <c r="S23" t="n">
        <v>97.1256541726732</v>
      </c>
      <c r="T23" t="n">
        <v>96.4775672614895</v>
      </c>
      <c r="U23" t="n">
        <v>97.2677945829577</v>
      </c>
      <c r="V23" t="n">
        <v>99.7902431837865</v>
      </c>
      <c r="W23" t="n">
        <v>101.009576556022</v>
      </c>
      <c r="X23" t="n">
        <v>99.4708086704344</v>
      </c>
      <c r="Y23" t="n">
        <v>99.608449892571</v>
      </c>
      <c r="Z23" t="n">
        <v>101.486850431137</v>
      </c>
      <c r="AA23" t="n">
        <v>101.983310307087</v>
      </c>
      <c r="AB23" t="n">
        <v>102.60402687777</v>
      </c>
      <c r="AC23" t="n">
        <v>101.552778667618</v>
      </c>
      <c r="AD23" t="n">
        <v>101.72958211248</v>
      </c>
      <c r="AE23" t="n">
        <v>100</v>
      </c>
      <c r="AF23" t="n">
        <v>102.574328411713</v>
      </c>
    </row>
    <row r="24">
      <c r="A24" t="s">
        <v>80</v>
      </c>
      <c r="B24" t="s">
        <v>318</v>
      </c>
      <c r="C24" t="s">
        <v>246</v>
      </c>
      <c r="D24" t="s">
        <v>319</v>
      </c>
      <c r="E24" t="s">
        <v>247</v>
      </c>
      <c r="F24" t="n">
        <v>80.7837998522753</v>
      </c>
      <c r="G24" t="n">
        <v>82.9555465502755</v>
      </c>
      <c r="H24" t="n">
        <v>83.0164769027472</v>
      </c>
      <c r="I24" t="n">
        <v>83.1175665734861</v>
      </c>
      <c r="J24" t="n">
        <v>81.7912986921599</v>
      </c>
      <c r="K24" t="n">
        <v>83.2571676839222</v>
      </c>
      <c r="L24" t="n">
        <v>84.728157303593</v>
      </c>
      <c r="M24" t="n">
        <v>86.105603476211</v>
      </c>
      <c r="N24" t="n">
        <v>86.624916126276</v>
      </c>
      <c r="O24" t="n">
        <v>87.6017857267499</v>
      </c>
      <c r="P24" t="n">
        <v>87.4156656844198</v>
      </c>
      <c r="Q24" t="n">
        <v>89.5152961876664</v>
      </c>
      <c r="R24" t="n">
        <v>91.3130535114755</v>
      </c>
      <c r="S24" t="n">
        <v>93.4180726877295</v>
      </c>
      <c r="T24" t="n">
        <v>94.4341239128821</v>
      </c>
      <c r="U24" t="n">
        <v>95.1246900339736</v>
      </c>
      <c r="V24" t="n">
        <v>96.2882298739035</v>
      </c>
      <c r="W24" t="n">
        <v>99.495610188926</v>
      </c>
      <c r="X24" t="n">
        <v>98.566637677425</v>
      </c>
      <c r="Y24" t="n">
        <v>99.3525253863379</v>
      </c>
      <c r="Z24" t="n">
        <v>100.974188507313</v>
      </c>
      <c r="AA24" t="n">
        <v>97.5115053480022</v>
      </c>
      <c r="AB24" t="n">
        <v>99.4072912600065</v>
      </c>
      <c r="AC24" t="n">
        <v>99.4482726910605</v>
      </c>
      <c r="AD24" t="n">
        <v>101.722008011081</v>
      </c>
      <c r="AE24" t="n">
        <v>100</v>
      </c>
      <c r="AF24" t="n">
        <v>104.488332664656</v>
      </c>
    </row>
    <row r="25">
      <c r="A25" t="s">
        <v>80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80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80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80</v>
      </c>
      <c r="B28" t="s">
        <v>326</v>
      </c>
      <c r="C28" t="s">
        <v>246</v>
      </c>
      <c r="D28" t="s">
        <v>327</v>
      </c>
      <c r="E28" t="s">
        <v>247</v>
      </c>
      <c r="F28" t="n">
        <v>76.4683474720827</v>
      </c>
      <c r="G28" t="n">
        <v>78.0672887502277</v>
      </c>
      <c r="H28" t="n">
        <v>78.2297727005564</v>
      </c>
      <c r="I28" t="n">
        <v>78.3750269204248</v>
      </c>
      <c r="J28" t="n">
        <v>76.8772343199128</v>
      </c>
      <c r="K28" t="n">
        <v>78.6387008938318</v>
      </c>
      <c r="L28" t="n">
        <v>80.4285138652538</v>
      </c>
      <c r="M28" t="n">
        <v>81.6270327422709</v>
      </c>
      <c r="N28" t="n">
        <v>82.381525225192</v>
      </c>
      <c r="O28" t="n">
        <v>83.9088157679637</v>
      </c>
      <c r="P28" t="n">
        <v>84.2532878891853</v>
      </c>
      <c r="Q28" t="n">
        <v>86.657867334072</v>
      </c>
      <c r="R28" t="n">
        <v>88.5957334387749</v>
      </c>
      <c r="S28" t="n">
        <v>90.943767607499</v>
      </c>
      <c r="T28" t="n">
        <v>91.0454323883611</v>
      </c>
      <c r="U28" t="n">
        <v>91.8236412511556</v>
      </c>
      <c r="V28" t="n">
        <v>94.4474001094547</v>
      </c>
      <c r="W28" t="n">
        <v>97.0663503894173</v>
      </c>
      <c r="X28" t="n">
        <v>95.4709814380461</v>
      </c>
      <c r="Y28" t="n">
        <v>96.4221640706279</v>
      </c>
      <c r="Z28" t="n">
        <v>98.3981264472516</v>
      </c>
      <c r="AA28" t="n">
        <v>97.516287587593</v>
      </c>
      <c r="AB28" t="n">
        <v>98.837296974175</v>
      </c>
      <c r="AC28" t="n">
        <v>98.4397305891309</v>
      </c>
      <c r="AD28" t="n">
        <v>100.902446556635</v>
      </c>
      <c r="AE28" t="n">
        <v>100</v>
      </c>
      <c r="AF28" t="n">
        <v>104.647410547629</v>
      </c>
    </row>
    <row r="29">
      <c r="A29" t="s">
        <v>80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80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80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80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80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80</v>
      </c>
      <c r="B34" t="s">
        <v>338</v>
      </c>
      <c r="C34" t="s">
        <v>246</v>
      </c>
      <c r="D34" t="s">
        <v>339</v>
      </c>
      <c r="E34" t="s">
        <v>247</v>
      </c>
      <c r="F34" t="n">
        <v>92.5591215005512</v>
      </c>
      <c r="G34" t="n">
        <v>95.2490278103568</v>
      </c>
      <c r="H34" t="n">
        <v>94.5103451302247</v>
      </c>
      <c r="I34" t="n">
        <v>94.2560500790041</v>
      </c>
      <c r="J34" t="n">
        <v>93.104142984521</v>
      </c>
      <c r="K34" t="n">
        <v>94.1067343309273</v>
      </c>
      <c r="L34" t="n">
        <v>95.8764339024043</v>
      </c>
      <c r="M34" t="n">
        <v>97.1831941867037</v>
      </c>
      <c r="N34" t="n">
        <v>96.4278160226702</v>
      </c>
      <c r="O34" t="n">
        <v>95.6446428495252</v>
      </c>
      <c r="P34" t="n">
        <v>93.620655580196</v>
      </c>
      <c r="Q34" t="n">
        <v>95.3250520921851</v>
      </c>
      <c r="R34" t="n">
        <v>96.0975556741074</v>
      </c>
      <c r="S34" t="n">
        <v>97.047531510636</v>
      </c>
      <c r="T34" t="n">
        <v>98.8017919032743</v>
      </c>
      <c r="U34" t="n">
        <v>99.1775822034753</v>
      </c>
      <c r="V34" t="n">
        <v>98.8444713691424</v>
      </c>
      <c r="W34" t="n">
        <v>103.148515488195</v>
      </c>
      <c r="X34" t="n">
        <v>102.637454386495</v>
      </c>
      <c r="Y34" t="n">
        <v>104.071575692626</v>
      </c>
      <c r="Z34" t="n">
        <v>106.121263817935</v>
      </c>
      <c r="AA34" t="n">
        <v>98.74715771434</v>
      </c>
      <c r="AB34" t="n">
        <v>100.43522130491</v>
      </c>
      <c r="AC34" t="n">
        <v>99.4761200792062</v>
      </c>
      <c r="AD34" t="n">
        <v>101.523308709987</v>
      </c>
      <c r="AE34" t="n">
        <v>100</v>
      </c>
      <c r="AF34" t="n">
        <v>104.748331228577</v>
      </c>
    </row>
    <row r="35">
      <c r="A35" t="s">
        <v>80</v>
      </c>
      <c r="B35" t="s">
        <v>340</v>
      </c>
      <c r="C35" t="s">
        <v>246</v>
      </c>
      <c r="D35" t="s">
        <v>341</v>
      </c>
      <c r="E35" t="s">
        <v>247</v>
      </c>
      <c r="F35" t="n">
        <v>97.0662545344582</v>
      </c>
      <c r="G35" t="n">
        <v>99.2070869901689</v>
      </c>
      <c r="H35" t="n">
        <v>99.1088426972493</v>
      </c>
      <c r="I35" t="n">
        <v>99.0886452563084</v>
      </c>
      <c r="J35" t="n">
        <v>97.6600315703755</v>
      </c>
      <c r="K35" t="n">
        <v>99.2390431731302</v>
      </c>
      <c r="L35" t="n">
        <v>100.552365086512</v>
      </c>
      <c r="M35" t="n">
        <v>100.652750143171</v>
      </c>
      <c r="N35" t="n">
        <v>99.8641699043074</v>
      </c>
      <c r="O35" t="n">
        <v>97.403830771091</v>
      </c>
      <c r="P35" t="n">
        <v>93.1064142942946</v>
      </c>
      <c r="Q35" t="n">
        <v>95.2684771613563</v>
      </c>
      <c r="R35" t="n">
        <v>93.389658587201</v>
      </c>
      <c r="S35" t="n">
        <v>93.2380109683856</v>
      </c>
      <c r="T35" t="n">
        <v>91.5851430029477</v>
      </c>
      <c r="U35" t="n">
        <v>88.4085636414472</v>
      </c>
      <c r="V35" t="n">
        <v>91.7613834202646</v>
      </c>
      <c r="W35" t="n">
        <v>95.0112107052322</v>
      </c>
      <c r="X35" t="n">
        <v>94.4342765170044</v>
      </c>
      <c r="Y35" t="n">
        <v>95.5795494437534</v>
      </c>
      <c r="Z35" t="n">
        <v>98.7280522489594</v>
      </c>
      <c r="AA35" t="n">
        <v>97.6147010793194</v>
      </c>
      <c r="AB35" t="n">
        <v>100.855741718374</v>
      </c>
      <c r="AC35" t="n">
        <v>100.797977834229</v>
      </c>
      <c r="AD35" t="n">
        <v>101.56820622986</v>
      </c>
      <c r="AE35" t="n">
        <v>100</v>
      </c>
      <c r="AF35" t="n">
        <v>105.170196347423</v>
      </c>
    </row>
    <row r="36">
      <c r="A36" t="s">
        <v>80</v>
      </c>
      <c r="B36" t="s">
        <v>342</v>
      </c>
      <c r="C36" t="s">
        <v>246</v>
      </c>
      <c r="D36" t="s">
        <v>343</v>
      </c>
      <c r="E36" t="s">
        <v>247</v>
      </c>
      <c r="F36" t="n">
        <v>109.696185614809</v>
      </c>
      <c r="G36" t="n">
        <v>112.57115844688</v>
      </c>
      <c r="H36" t="n">
        <v>113.279838863253</v>
      </c>
      <c r="I36" t="n">
        <v>113.444250820964</v>
      </c>
      <c r="J36" t="n">
        <v>112.220232420738</v>
      </c>
      <c r="K36" t="n">
        <v>114.649899157858</v>
      </c>
      <c r="L36" t="n">
        <v>116.053277380653</v>
      </c>
      <c r="M36" t="n">
        <v>114.581587268942</v>
      </c>
      <c r="N36" t="n">
        <v>112.259301349425</v>
      </c>
      <c r="O36" t="n">
        <v>107.012053552639</v>
      </c>
      <c r="P36" t="n">
        <v>99.75244187947</v>
      </c>
      <c r="Q36" t="n">
        <v>101.677139693512</v>
      </c>
      <c r="R36" t="n">
        <v>96.7752683514746</v>
      </c>
      <c r="S36" t="n">
        <v>95.0511296213592</v>
      </c>
      <c r="T36" t="n">
        <v>90.7905667141051</v>
      </c>
      <c r="U36" t="n">
        <v>84.6877017324019</v>
      </c>
      <c r="V36" t="n">
        <v>89.6117845054449</v>
      </c>
      <c r="W36" t="n">
        <v>93.3875619424721</v>
      </c>
      <c r="X36" t="n">
        <v>93.3875619424721</v>
      </c>
      <c r="Y36" t="n">
        <v>94.674983262994</v>
      </c>
      <c r="Z36" t="n">
        <v>97.8966347241936</v>
      </c>
      <c r="AA36" t="n">
        <v>96.7374711268134</v>
      </c>
      <c r="AB36" t="n">
        <v>101.106787045163</v>
      </c>
      <c r="AC36" t="n">
        <v>100.720145412103</v>
      </c>
      <c r="AD36" t="n">
        <v>100.762112139358</v>
      </c>
      <c r="AE36" t="n">
        <v>100</v>
      </c>
      <c r="AF36" t="n">
        <v>104.758497316637</v>
      </c>
    </row>
    <row r="37">
      <c r="A37" t="s">
        <v>80</v>
      </c>
      <c r="B37" t="s">
        <v>344</v>
      </c>
      <c r="C37" t="s">
        <v>246</v>
      </c>
      <c r="D37" t="s">
        <v>345</v>
      </c>
      <c r="E37" t="s">
        <v>247</v>
      </c>
      <c r="F37" t="n">
        <v>89.8893277593433</v>
      </c>
      <c r="G37" t="n">
        <v>92.3978671386739</v>
      </c>
      <c r="H37" t="n">
        <v>90.7102348621684</v>
      </c>
      <c r="I37" t="n">
        <v>90.1718951893959</v>
      </c>
      <c r="J37" t="n">
        <v>88.7017012460905</v>
      </c>
      <c r="K37" t="n">
        <v>88.9797630054827</v>
      </c>
      <c r="L37" t="n">
        <v>89.7012205433649</v>
      </c>
      <c r="M37" t="n">
        <v>90.6674814468841</v>
      </c>
      <c r="N37" t="n">
        <v>90.0356523078814</v>
      </c>
      <c r="O37" t="n">
        <v>88.615531609019</v>
      </c>
      <c r="P37" t="n">
        <v>84.6425155719675</v>
      </c>
      <c r="Q37" t="n">
        <v>87.029397789832</v>
      </c>
      <c r="R37" t="n">
        <v>86.902161828151</v>
      </c>
      <c r="S37" t="n">
        <v>87.3281528175047</v>
      </c>
      <c r="T37" t="n">
        <v>86.8611573478923</v>
      </c>
      <c r="U37" t="n">
        <v>85.3100652523943</v>
      </c>
      <c r="V37" t="n">
        <v>88.3935615868182</v>
      </c>
      <c r="W37" t="n">
        <v>92.7265793116622</v>
      </c>
      <c r="X37" t="n">
        <v>93.1239789372836</v>
      </c>
      <c r="Y37" t="n">
        <v>94.9661941487037</v>
      </c>
      <c r="Z37" t="n">
        <v>99.4516822856166</v>
      </c>
      <c r="AA37" t="n">
        <v>98.6896004290219</v>
      </c>
      <c r="AB37" t="n">
        <v>103.515266413567</v>
      </c>
      <c r="AC37" t="n">
        <v>102.704970786063</v>
      </c>
      <c r="AD37" t="n">
        <v>101.925722145805</v>
      </c>
      <c r="AE37" t="n">
        <v>100</v>
      </c>
      <c r="AF37" t="n">
        <v>112.694125590817</v>
      </c>
    </row>
    <row r="38">
      <c r="A38" t="s">
        <v>80</v>
      </c>
      <c r="B38" t="s">
        <v>346</v>
      </c>
      <c r="C38" t="s">
        <v>246</v>
      </c>
      <c r="D38" t="s">
        <v>347</v>
      </c>
      <c r="E38" t="s">
        <v>247</v>
      </c>
      <c r="F38" t="n">
        <v>89.1338241325955</v>
      </c>
      <c r="G38" t="n">
        <v>90.7787831187336</v>
      </c>
      <c r="H38" t="n">
        <v>90.4222285895948</v>
      </c>
      <c r="I38" t="n">
        <v>90.349977508021</v>
      </c>
      <c r="J38" t="n">
        <v>88.830675560659</v>
      </c>
      <c r="K38" t="n">
        <v>90.0116798710234</v>
      </c>
      <c r="L38" t="n">
        <v>91.3115918075433</v>
      </c>
      <c r="M38" t="n">
        <v>92.498337337905</v>
      </c>
      <c r="N38" t="n">
        <v>92.3789589717989</v>
      </c>
      <c r="O38" t="n">
        <v>91.5754382848949</v>
      </c>
      <c r="P38" t="n">
        <v>88.9522946172093</v>
      </c>
      <c r="Q38" t="n">
        <v>91.2746678221516</v>
      </c>
      <c r="R38" t="n">
        <v>91.2957962174808</v>
      </c>
      <c r="S38" t="n">
        <v>92.2460326873185</v>
      </c>
      <c r="T38" t="n">
        <v>92.3957422345524</v>
      </c>
      <c r="U38" t="n">
        <v>91.6861753715334</v>
      </c>
      <c r="V38" t="n">
        <v>93.8074493518516</v>
      </c>
      <c r="W38" t="n">
        <v>96.6230135772764</v>
      </c>
      <c r="X38" t="n">
        <v>95.4792383291193</v>
      </c>
      <c r="Y38" t="n">
        <v>96.3503510924206</v>
      </c>
      <c r="Z38" t="n">
        <v>98.8811295451296</v>
      </c>
      <c r="AA38" t="n">
        <v>97.7140462810974</v>
      </c>
      <c r="AB38" t="n">
        <v>99.9829145135676</v>
      </c>
      <c r="AC38" t="n">
        <v>100.238123209557</v>
      </c>
      <c r="AD38" t="n">
        <v>101.727861771058</v>
      </c>
      <c r="AE38" t="n">
        <v>100</v>
      </c>
      <c r="AF38" t="n">
        <v>103.817517260051</v>
      </c>
    </row>
    <row r="39">
      <c r="A39" t="s">
        <v>80</v>
      </c>
      <c r="B39" t="s">
        <v>348</v>
      </c>
      <c r="C39" t="s">
        <v>246</v>
      </c>
      <c r="D39" t="s">
        <v>349</v>
      </c>
      <c r="E39" t="s">
        <v>247</v>
      </c>
      <c r="F39" t="n">
        <v>88.36998212658</v>
      </c>
      <c r="G39" t="n">
        <v>91.1610101578932</v>
      </c>
      <c r="H39" t="n">
        <v>88.7782527945954</v>
      </c>
      <c r="I39" t="n">
        <v>87.9384585114033</v>
      </c>
      <c r="J39" t="n">
        <v>86.6476187534377</v>
      </c>
      <c r="K39" t="n">
        <v>85.6433098230422</v>
      </c>
      <c r="L39" t="n">
        <v>86.3925666225591</v>
      </c>
      <c r="M39" t="n">
        <v>88.9421769882646</v>
      </c>
      <c r="N39" t="n">
        <v>88.8658317719657</v>
      </c>
      <c r="O39" t="n">
        <v>88.8658317719657</v>
      </c>
      <c r="P39" t="n">
        <v>86.3370175056431</v>
      </c>
      <c r="Q39" t="n">
        <v>89.246954088239</v>
      </c>
      <c r="R39" t="n">
        <v>91.2423782330175</v>
      </c>
      <c r="S39" t="n">
        <v>92.4252958419157</v>
      </c>
      <c r="T39" t="n">
        <v>96.2235956710355</v>
      </c>
      <c r="U39" t="n">
        <v>98.0549963998758</v>
      </c>
      <c r="V39" t="n">
        <v>97.1942356414278</v>
      </c>
      <c r="W39" t="n">
        <v>101.31515243142</v>
      </c>
      <c r="X39" t="n">
        <v>100.009731712904</v>
      </c>
      <c r="Y39" t="n">
        <v>101.716867958359</v>
      </c>
      <c r="Z39" t="n">
        <v>104.938814995368</v>
      </c>
      <c r="AA39" t="n">
        <v>102.090634257038</v>
      </c>
      <c r="AB39" t="n">
        <v>104.256630740567</v>
      </c>
      <c r="AC39" t="n">
        <v>102.475009952813</v>
      </c>
      <c r="AD39" t="n">
        <v>103.977576081153</v>
      </c>
      <c r="AE39" t="n">
        <v>100</v>
      </c>
      <c r="AF39" t="n">
        <v>107.824627648416</v>
      </c>
    </row>
    <row r="40">
      <c r="A40" t="s">
        <v>80</v>
      </c>
      <c r="B40" t="s">
        <v>350</v>
      </c>
      <c r="C40" t="s">
        <v>246</v>
      </c>
      <c r="D40" t="s">
        <v>351</v>
      </c>
      <c r="E40" t="s">
        <v>247</v>
      </c>
      <c r="F40" t="n">
        <v>79.9961199473781</v>
      </c>
      <c r="G40" t="n">
        <v>81.5839217220912</v>
      </c>
      <c r="H40" t="n">
        <v>81.6667720705686</v>
      </c>
      <c r="I40" t="n">
        <v>81.8274280156254</v>
      </c>
      <c r="J40" t="n">
        <v>80.4709566388607</v>
      </c>
      <c r="K40" t="n">
        <v>81.5880120967413</v>
      </c>
      <c r="L40" t="n">
        <v>84.2343201447158</v>
      </c>
      <c r="M40" t="n">
        <v>85.7843171524548</v>
      </c>
      <c r="N40" t="n">
        <v>86.5284426793555</v>
      </c>
      <c r="O40" t="n">
        <v>88.7599350896223</v>
      </c>
      <c r="P40" t="n">
        <v>89.3394415403957</v>
      </c>
      <c r="Q40" t="n">
        <v>92.746948093176</v>
      </c>
      <c r="R40" t="n">
        <v>95.6759788634512</v>
      </c>
      <c r="S40" t="n">
        <v>97.9354548348805</v>
      </c>
      <c r="T40" t="n">
        <v>99.1793834258462</v>
      </c>
      <c r="U40" t="n">
        <v>100.346592040475</v>
      </c>
      <c r="V40" t="n">
        <v>102.578138408204</v>
      </c>
      <c r="W40" t="n">
        <v>104.750069252147</v>
      </c>
      <c r="X40" t="n">
        <v>103.272000790307</v>
      </c>
      <c r="Y40" t="n">
        <v>104.118844060229</v>
      </c>
      <c r="Z40" t="n">
        <v>105.792675953191</v>
      </c>
      <c r="AA40" t="n">
        <v>99.9535569102162</v>
      </c>
      <c r="AB40" t="n">
        <v>101.627820845061</v>
      </c>
      <c r="AC40" t="n">
        <v>100.783685875122</v>
      </c>
      <c r="AD40" t="n">
        <v>102.845696919464</v>
      </c>
      <c r="AE40" t="n">
        <v>100</v>
      </c>
      <c r="AF40" t="n">
        <v>107.176942164535</v>
      </c>
    </row>
    <row r="41">
      <c r="A41" t="s">
        <v>80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80</v>
      </c>
      <c r="B42" t="s">
        <v>354</v>
      </c>
      <c r="C42" t="s">
        <v>246</v>
      </c>
      <c r="D42" t="s">
        <v>355</v>
      </c>
      <c r="E42" t="s">
        <v>247</v>
      </c>
      <c r="F42" t="n">
        <v>91.5029223253828</v>
      </c>
      <c r="G42" t="n">
        <v>93.2173447301028</v>
      </c>
      <c r="H42" t="n">
        <v>92.886258440882</v>
      </c>
      <c r="I42" t="n">
        <v>92.8297730087661</v>
      </c>
      <c r="J42" t="n">
        <v>91.2766552921007</v>
      </c>
      <c r="K42" t="n">
        <v>92.8768078385102</v>
      </c>
      <c r="L42" t="n">
        <v>94.4476375882804</v>
      </c>
      <c r="M42" t="n">
        <v>95.6352867756834</v>
      </c>
      <c r="N42" t="n">
        <v>94.9987897410083</v>
      </c>
      <c r="O42" t="n">
        <v>94.1597484540595</v>
      </c>
      <c r="P42" t="n">
        <v>91.42394113212</v>
      </c>
      <c r="Q42" t="n">
        <v>93.3706533419975</v>
      </c>
      <c r="R42" t="n">
        <v>93.380930794209</v>
      </c>
      <c r="S42" t="n">
        <v>93.936850376402</v>
      </c>
      <c r="T42" t="n">
        <v>94.7681499372551</v>
      </c>
      <c r="U42" t="n">
        <v>93.8716168026152</v>
      </c>
      <c r="V42" t="n">
        <v>95.8245282231526</v>
      </c>
      <c r="W42" t="n">
        <v>99.0567047703621</v>
      </c>
      <c r="X42" t="n">
        <v>98.1282677259545</v>
      </c>
      <c r="Y42" t="n">
        <v>99.4805293456829</v>
      </c>
      <c r="Z42" t="n">
        <v>102.168827191934</v>
      </c>
      <c r="AA42" t="n">
        <v>98.302930507766</v>
      </c>
      <c r="AB42" t="n">
        <v>100.779611696546</v>
      </c>
      <c r="AC42" t="n">
        <v>100.810973019619</v>
      </c>
      <c r="AD42" t="n">
        <v>102.17565305974</v>
      </c>
      <c r="AE42" t="n">
        <v>100</v>
      </c>
      <c r="AF42" t="n">
        <v>104.371515458692</v>
      </c>
    </row>
    <row r="43">
      <c r="A43" t="s">
        <v>80</v>
      </c>
      <c r="B43" t="s">
        <v>356</v>
      </c>
      <c r="C43" t="s">
        <v>246</v>
      </c>
      <c r="D43" t="s">
        <v>357</v>
      </c>
      <c r="E43" t="s">
        <v>247</v>
      </c>
      <c r="F43" t="n">
        <v>87.2102796943684</v>
      </c>
      <c r="G43" t="n">
        <v>88.7667237795654</v>
      </c>
      <c r="H43" t="n">
        <v>88.6882628932087</v>
      </c>
      <c r="I43" t="n">
        <v>88.7234582001464</v>
      </c>
      <c r="J43" t="n">
        <v>87.203607164322</v>
      </c>
      <c r="K43" t="n">
        <v>88.8215157934753</v>
      </c>
      <c r="L43" t="n">
        <v>90.5589880569558</v>
      </c>
      <c r="M43" t="n">
        <v>91.8120435735193</v>
      </c>
      <c r="N43" t="n">
        <v>91.7528019506198</v>
      </c>
      <c r="O43" t="n">
        <v>91.8633774704302</v>
      </c>
      <c r="P43" t="n">
        <v>90.2632679571678</v>
      </c>
      <c r="Q43" t="n">
        <v>92.3102337952421</v>
      </c>
      <c r="R43" t="n">
        <v>93.1425065996722</v>
      </c>
      <c r="S43" t="n">
        <v>94.3392956516713</v>
      </c>
      <c r="T43" t="n">
        <v>95.0600724257266</v>
      </c>
      <c r="U43" t="n">
        <v>94.4869380206517</v>
      </c>
      <c r="V43" t="n">
        <v>95.7027625907704</v>
      </c>
      <c r="W43" t="n">
        <v>99.253858615902</v>
      </c>
      <c r="X43" t="n">
        <v>98.1345717330035</v>
      </c>
      <c r="Y43" t="n">
        <v>99.4059073033061</v>
      </c>
      <c r="Z43" t="n">
        <v>101.949245929779</v>
      </c>
      <c r="AA43" t="n">
        <v>98.9716017721541</v>
      </c>
      <c r="AB43" t="n">
        <v>100.986187098103</v>
      </c>
      <c r="AC43" t="n">
        <v>100.13376213574</v>
      </c>
      <c r="AD43" t="n">
        <v>101.699763829292</v>
      </c>
      <c r="AE43" t="n">
        <v>100</v>
      </c>
      <c r="AF43" t="n">
        <v>103.167205630588</v>
      </c>
    </row>
    <row r="44">
      <c r="A44" t="s">
        <v>80</v>
      </c>
      <c r="B44" t="s">
        <v>358</v>
      </c>
      <c r="C44" t="s">
        <v>246</v>
      </c>
      <c r="D44" t="s">
        <v>359</v>
      </c>
      <c r="E44" t="s">
        <v>247</v>
      </c>
      <c r="F44" t="n">
        <v>79.0743697594331</v>
      </c>
      <c r="G44" t="n">
        <v>80.9512201215604</v>
      </c>
      <c r="H44" t="n">
        <v>81.1780220530316</v>
      </c>
      <c r="I44" t="n">
        <v>81.3596064776161</v>
      </c>
      <c r="J44" t="n">
        <v>80.0123550204337</v>
      </c>
      <c r="K44" t="n">
        <v>81.7033673780114</v>
      </c>
      <c r="L44" t="n">
        <v>83.378657610595</v>
      </c>
      <c r="M44" t="n">
        <v>84.6699071474383</v>
      </c>
      <c r="N44" t="n">
        <v>85.3487186513686</v>
      </c>
      <c r="O44" t="n">
        <v>86.3686597842404</v>
      </c>
      <c r="P44" t="n">
        <v>86.2130823775852</v>
      </c>
      <c r="Q44" t="n">
        <v>88.2272146009938</v>
      </c>
      <c r="R44" t="n">
        <v>89.7061403489254</v>
      </c>
      <c r="S44" t="n">
        <v>91.820644446073</v>
      </c>
      <c r="T44" t="n">
        <v>92.4078217107334</v>
      </c>
      <c r="U44" t="n">
        <v>92.7785014810389</v>
      </c>
      <c r="V44" t="n">
        <v>94.7586759818461</v>
      </c>
      <c r="W44" t="n">
        <v>97.4082183193694</v>
      </c>
      <c r="X44" t="n">
        <v>96.381647826424</v>
      </c>
      <c r="Y44" t="n">
        <v>97.2460604786219</v>
      </c>
      <c r="Z44" t="n">
        <v>99.2630997503092</v>
      </c>
      <c r="AA44" t="n">
        <v>98.046801600432</v>
      </c>
      <c r="AB44" t="n">
        <v>99.3962272161489</v>
      </c>
      <c r="AC44" t="n">
        <v>99.1800647662841</v>
      </c>
      <c r="AD44" t="n">
        <v>101.180337328133</v>
      </c>
      <c r="AE44" t="n">
        <v>100</v>
      </c>
      <c r="AF44" t="n">
        <v>102.940099815519</v>
      </c>
    </row>
    <row r="45">
      <c r="A45" t="s">
        <v>80</v>
      </c>
      <c r="B45" t="s">
        <v>360</v>
      </c>
      <c r="C45" t="s">
        <v>246</v>
      </c>
      <c r="D45" t="s">
        <v>361</v>
      </c>
      <c r="E45" t="s">
        <v>247</v>
      </c>
      <c r="F45" t="n">
        <v>79.5323309541542</v>
      </c>
      <c r="G45" t="n">
        <v>81.3296900120635</v>
      </c>
      <c r="H45" t="n">
        <v>81.5082805490815</v>
      </c>
      <c r="I45" t="n">
        <v>81.7132592986528</v>
      </c>
      <c r="J45" t="n">
        <v>80.3591720425946</v>
      </c>
      <c r="K45" t="n">
        <v>82.077702706294</v>
      </c>
      <c r="L45" t="n">
        <v>83.7050802794144</v>
      </c>
      <c r="M45" t="n">
        <v>84.9776374462251</v>
      </c>
      <c r="N45" t="n">
        <v>85.6537340130224</v>
      </c>
      <c r="O45" t="n">
        <v>86.6061776750232</v>
      </c>
      <c r="P45" t="n">
        <v>86.3741463347886</v>
      </c>
      <c r="Q45" t="n">
        <v>88.3930746512661</v>
      </c>
      <c r="R45" t="n">
        <v>89.8336780111966</v>
      </c>
      <c r="S45" t="n">
        <v>91.9624890534507</v>
      </c>
      <c r="T45" t="n">
        <v>92.425272095522</v>
      </c>
      <c r="U45" t="n">
        <v>92.8382303240917</v>
      </c>
      <c r="V45" t="n">
        <v>94.8149051490494</v>
      </c>
      <c r="W45" t="n">
        <v>97.4739872808779</v>
      </c>
      <c r="X45" t="n">
        <v>96.4860320856181</v>
      </c>
      <c r="Y45" t="n">
        <v>97.4221000426783</v>
      </c>
      <c r="Z45" t="n">
        <v>99.499408284835</v>
      </c>
      <c r="AA45" t="n">
        <v>98.2229209911682</v>
      </c>
      <c r="AB45" t="n">
        <v>99.5897100513863</v>
      </c>
      <c r="AC45" t="n">
        <v>99.2359100790454</v>
      </c>
      <c r="AD45" t="n">
        <v>101.189343555284</v>
      </c>
      <c r="AE45" t="n">
        <v>100</v>
      </c>
      <c r="AF45" t="n">
        <v>102.917487423829</v>
      </c>
    </row>
    <row r="46">
      <c r="A46" t="s">
        <v>80</v>
      </c>
      <c r="B46" t="s">
        <v>362</v>
      </c>
      <c r="C46" t="s">
        <v>246</v>
      </c>
      <c r="D46" t="s">
        <v>363</v>
      </c>
      <c r="E46" t="s">
        <v>247</v>
      </c>
      <c r="F46" t="n">
        <v>83.2879673743463</v>
      </c>
      <c r="G46" t="n">
        <v>84.7021300818872</v>
      </c>
      <c r="H46" t="n">
        <v>84.8511879438879</v>
      </c>
      <c r="I46" t="n">
        <v>84.9727512503978</v>
      </c>
      <c r="J46" t="n">
        <v>83.4839487233025</v>
      </c>
      <c r="K46" t="n">
        <v>85.1437861836233</v>
      </c>
      <c r="L46" t="n">
        <v>87.0311833748126</v>
      </c>
      <c r="M46" t="n">
        <v>88.3372677317836</v>
      </c>
      <c r="N46" t="n">
        <v>88.8222709174635</v>
      </c>
      <c r="O46" t="n">
        <v>89.7332424693014</v>
      </c>
      <c r="P46" t="n">
        <v>89.342247948738</v>
      </c>
      <c r="Q46" t="n">
        <v>91.514560287366</v>
      </c>
      <c r="R46" t="n">
        <v>93.1196560724547</v>
      </c>
      <c r="S46" t="n">
        <v>95.1336433348511</v>
      </c>
      <c r="T46" t="n">
        <v>95.7677563758482</v>
      </c>
      <c r="U46" t="n">
        <v>95.5151618859467</v>
      </c>
      <c r="V46" t="n">
        <v>96.0616860309304</v>
      </c>
      <c r="W46" t="n">
        <v>99.9000735078565</v>
      </c>
      <c r="X46" t="n">
        <v>98.4608069591507</v>
      </c>
      <c r="Y46" t="n">
        <v>99.6218843722045</v>
      </c>
      <c r="Z46" t="n">
        <v>102.040100897928</v>
      </c>
      <c r="AA46" t="n">
        <v>99.7561034258687</v>
      </c>
      <c r="AB46" t="n">
        <v>101.193880735872</v>
      </c>
      <c r="AC46" t="n">
        <v>99.5355505578168</v>
      </c>
      <c r="AD46" t="n">
        <v>101.299019607843</v>
      </c>
      <c r="AE46" t="n">
        <v>100</v>
      </c>
      <c r="AF46" t="n">
        <v>101.960908744765</v>
      </c>
    </row>
    <row r="47">
      <c r="A47" t="s">
        <v>80</v>
      </c>
      <c r="B47" t="s">
        <v>364</v>
      </c>
      <c r="C47" t="s">
        <v>246</v>
      </c>
      <c r="D47" t="s">
        <v>365</v>
      </c>
      <c r="E47" t="s">
        <v>247</v>
      </c>
      <c r="F47" t="n">
        <v>76.3276043766551</v>
      </c>
      <c r="G47" t="n">
        <v>77.707764055487</v>
      </c>
      <c r="H47" t="n">
        <v>79.1688504212899</v>
      </c>
      <c r="I47" t="n">
        <v>79.8370071166732</v>
      </c>
      <c r="J47" t="n">
        <v>78.3256481913894</v>
      </c>
      <c r="K47" t="n">
        <v>80.2570824358273</v>
      </c>
      <c r="L47" t="n">
        <v>82.2864050120907</v>
      </c>
      <c r="M47" t="n">
        <v>83.370877097611</v>
      </c>
      <c r="N47" t="n">
        <v>81.9931034638178</v>
      </c>
      <c r="O47" t="n">
        <v>83.0887201640948</v>
      </c>
      <c r="P47" t="n">
        <v>84.0821473342716</v>
      </c>
      <c r="Q47" t="n">
        <v>87.4217830376245</v>
      </c>
      <c r="R47" t="n">
        <v>87.3028948698551</v>
      </c>
      <c r="S47" t="n">
        <v>89.1385549594653</v>
      </c>
      <c r="T47" t="n">
        <v>85.3014723169843</v>
      </c>
      <c r="U47" t="n">
        <v>86.7785801883248</v>
      </c>
      <c r="V47" t="n">
        <v>83.4628242947888</v>
      </c>
      <c r="W47" t="n">
        <v>83.9967366635676</v>
      </c>
      <c r="X47" t="n">
        <v>89.653499087155</v>
      </c>
      <c r="Y47" t="n">
        <v>89.3149626977735</v>
      </c>
      <c r="Z47" t="n">
        <v>91.408577177502</v>
      </c>
      <c r="AA47" t="n">
        <v>91.9222882619042</v>
      </c>
      <c r="AB47" t="n">
        <v>95.0370533539221</v>
      </c>
      <c r="AC47" t="n">
        <v>97.3742828147706</v>
      </c>
      <c r="AD47" t="n">
        <v>99.7976723366159</v>
      </c>
      <c r="AE47" t="n">
        <v>100</v>
      </c>
      <c r="AF47" t="n">
        <v>104.640449610737</v>
      </c>
    </row>
    <row r="48">
      <c r="A48" t="s">
        <v>80</v>
      </c>
      <c r="B48" t="s">
        <v>366</v>
      </c>
      <c r="C48" t="s">
        <v>246</v>
      </c>
      <c r="D48" t="s">
        <v>367</v>
      </c>
      <c r="E48" t="s">
        <v>247</v>
      </c>
      <c r="F48" t="n">
        <v>77.1959716497608</v>
      </c>
      <c r="G48" t="n">
        <v>78.3244921593154</v>
      </c>
      <c r="H48" t="n">
        <v>79.2317097375458</v>
      </c>
      <c r="I48" t="n">
        <v>79.6872735359858</v>
      </c>
      <c r="J48" t="n">
        <v>78.258345795843</v>
      </c>
      <c r="K48" t="n">
        <v>80.0661122037526</v>
      </c>
      <c r="L48" t="n">
        <v>81.5954310445538</v>
      </c>
      <c r="M48" t="n">
        <v>82.8618416826815</v>
      </c>
      <c r="N48" t="n">
        <v>82.2502648662851</v>
      </c>
      <c r="O48" t="n">
        <v>83.2422189318375</v>
      </c>
      <c r="P48" t="n">
        <v>83.187562189269</v>
      </c>
      <c r="Q48" t="n">
        <v>85.7632491427012</v>
      </c>
      <c r="R48" t="n">
        <v>86.2890198892174</v>
      </c>
      <c r="S48" t="n">
        <v>88.030499338192</v>
      </c>
      <c r="T48" t="n">
        <v>87.2206992488688</v>
      </c>
      <c r="U48" t="n">
        <v>88.4881272801308</v>
      </c>
      <c r="V48" t="n">
        <v>86.6482640884786</v>
      </c>
      <c r="W48" t="n">
        <v>88.143288501958</v>
      </c>
      <c r="X48" t="n">
        <v>89.2700001747212</v>
      </c>
      <c r="Y48" t="n">
        <v>89.2616197200242</v>
      </c>
      <c r="Z48" t="n">
        <v>91.3890068831628</v>
      </c>
      <c r="AA48" t="n">
        <v>93.1078438875762</v>
      </c>
      <c r="AB48" t="n">
        <v>95.7089796801263</v>
      </c>
      <c r="AC48" t="n">
        <v>97.1759849932363</v>
      </c>
      <c r="AD48" t="n">
        <v>99.6617441539598</v>
      </c>
      <c r="AE48" t="n">
        <v>100</v>
      </c>
      <c r="AF48" t="n">
        <v>105.266104723848</v>
      </c>
    </row>
    <row r="49">
      <c r="A49" t="s">
        <v>80</v>
      </c>
      <c r="B49" t="s">
        <v>368</v>
      </c>
      <c r="C49" t="s">
        <v>246</v>
      </c>
      <c r="D49" t="s">
        <v>369</v>
      </c>
      <c r="E49" t="s">
        <v>247</v>
      </c>
      <c r="F49" t="n">
        <v>89.0835881621605</v>
      </c>
      <c r="G49" t="n">
        <v>91.2219170446761</v>
      </c>
      <c r="H49" t="n">
        <v>91.3353301201564</v>
      </c>
      <c r="I49" t="n">
        <v>91.2634973792047</v>
      </c>
      <c r="J49" t="n">
        <v>89.6597037014111</v>
      </c>
      <c r="K49" t="n">
        <v>90.8132203572187</v>
      </c>
      <c r="L49" t="n">
        <v>92.3558678197017</v>
      </c>
      <c r="M49" t="n">
        <v>94.705629943433</v>
      </c>
      <c r="N49" t="n">
        <v>95.4112364994726</v>
      </c>
      <c r="O49" t="n">
        <v>96.2879421687864</v>
      </c>
      <c r="P49" t="n">
        <v>95.2867967442033</v>
      </c>
      <c r="Q49" t="n">
        <v>97.127546219356</v>
      </c>
      <c r="R49" t="n">
        <v>98.3234304911412</v>
      </c>
      <c r="S49" t="n">
        <v>100.28416037934</v>
      </c>
      <c r="T49" t="n">
        <v>102.066432065681</v>
      </c>
      <c r="U49" t="n">
        <v>102.669888530461</v>
      </c>
      <c r="V49" t="n">
        <v>101.815243237108</v>
      </c>
      <c r="W49" t="n">
        <v>105.832673799827</v>
      </c>
      <c r="X49" t="n">
        <v>105.952078847363</v>
      </c>
      <c r="Y49" t="n">
        <v>105.795945515729</v>
      </c>
      <c r="Z49" t="n">
        <v>106.90554397616</v>
      </c>
      <c r="AA49" t="n">
        <v>97.9401489286037</v>
      </c>
      <c r="AB49" t="n">
        <v>100.893361526055</v>
      </c>
      <c r="AC49" t="n">
        <v>101.679747820101</v>
      </c>
      <c r="AD49" t="n">
        <v>100.517503805175</v>
      </c>
      <c r="AE49" t="n">
        <v>100</v>
      </c>
      <c r="AF49" t="n">
        <v>105.49575788274</v>
      </c>
    </row>
    <row r="50">
      <c r="A50" t="s">
        <v>80</v>
      </c>
      <c r="B50" t="s">
        <v>370</v>
      </c>
      <c r="C50" t="s">
        <v>246</v>
      </c>
      <c r="D50" t="s">
        <v>371</v>
      </c>
      <c r="E50" t="s">
        <v>247</v>
      </c>
      <c r="F50" t="n">
        <v>72.6254265057697</v>
      </c>
      <c r="G50" t="n">
        <v>73.0553725766308</v>
      </c>
      <c r="H50" t="n">
        <v>72.8640056888056</v>
      </c>
      <c r="I50" t="n">
        <v>72.9929621906884</v>
      </c>
      <c r="J50" t="n">
        <v>71.8223433516797</v>
      </c>
      <c r="K50" t="n">
        <v>73.3560297549895</v>
      </c>
      <c r="L50" t="n">
        <v>73.8712459559469</v>
      </c>
      <c r="M50" t="n">
        <v>75.2739829244749</v>
      </c>
      <c r="N50" t="n">
        <v>76.097871169854</v>
      </c>
      <c r="O50" t="n">
        <v>76.831841076649</v>
      </c>
      <c r="P50" t="n">
        <v>75.3271327331103</v>
      </c>
      <c r="Q50" t="n">
        <v>76.9062580767608</v>
      </c>
      <c r="R50" t="n">
        <v>78.1626208942316</v>
      </c>
      <c r="S50" t="n">
        <v>79.6147288468797</v>
      </c>
      <c r="T50" t="n">
        <v>86.158133449551</v>
      </c>
      <c r="U50" t="n">
        <v>87.0581256668405</v>
      </c>
      <c r="V50" t="n">
        <v>88.5212610013453</v>
      </c>
      <c r="W50" t="n">
        <v>91.4164651054061</v>
      </c>
      <c r="X50" t="n">
        <v>86.9245773094346</v>
      </c>
      <c r="Y50" t="n">
        <v>87.3286972247721</v>
      </c>
      <c r="Z50" t="n">
        <v>89.5536131126439</v>
      </c>
      <c r="AA50" t="n">
        <v>94.2900611004272</v>
      </c>
      <c r="AB50" t="n">
        <v>96.1568487445787</v>
      </c>
      <c r="AC50" t="n">
        <v>96.7032846555278</v>
      </c>
      <c r="AD50" t="n">
        <v>99.4662356456857</v>
      </c>
      <c r="AE50" t="n">
        <v>100</v>
      </c>
      <c r="AF50" t="n">
        <v>105.946652719665</v>
      </c>
    </row>
    <row r="51">
      <c r="A51" t="s">
        <v>80</v>
      </c>
      <c r="B51" t="s">
        <v>372</v>
      </c>
      <c r="C51" t="s">
        <v>246</v>
      </c>
      <c r="D51" t="s">
        <v>373</v>
      </c>
      <c r="E51" t="s">
        <v>247</v>
      </c>
      <c r="F51" t="n">
        <v>71.4250371779196</v>
      </c>
      <c r="G51" t="n">
        <v>71.8132424572057</v>
      </c>
      <c r="H51" t="n">
        <v>71.6540718229202</v>
      </c>
      <c r="I51" t="n">
        <v>71.7997335534755</v>
      </c>
      <c r="J51" t="n">
        <v>70.6459631181194</v>
      </c>
      <c r="K51" t="n">
        <v>72.2168578218361</v>
      </c>
      <c r="L51" t="n">
        <v>72.6890993428502</v>
      </c>
      <c r="M51" t="n">
        <v>74.138172670382</v>
      </c>
      <c r="N51" t="n">
        <v>75.0782891178879</v>
      </c>
      <c r="O51" t="n">
        <v>76.0223622392473</v>
      </c>
      <c r="P51" t="n">
        <v>74.5873347719947</v>
      </c>
      <c r="Q51" t="n">
        <v>76.159776550336</v>
      </c>
      <c r="R51" t="n">
        <v>77.4892833518738</v>
      </c>
      <c r="S51" t="n">
        <v>79.0126248653654</v>
      </c>
      <c r="T51" t="n">
        <v>85.7577506899766</v>
      </c>
      <c r="U51" t="n">
        <v>86.7201455501227</v>
      </c>
      <c r="V51" t="n">
        <v>88.2301809535428</v>
      </c>
      <c r="W51" t="n">
        <v>91.0302432796122</v>
      </c>
      <c r="X51" t="n">
        <v>86.3779568326602</v>
      </c>
      <c r="Y51" t="n">
        <v>86.7241882782896</v>
      </c>
      <c r="Z51" t="n">
        <v>88.9148207661503</v>
      </c>
      <c r="AA51" t="n">
        <v>94.0959475401177</v>
      </c>
      <c r="AB51" t="n">
        <v>95.9749050904332</v>
      </c>
      <c r="AC51" t="n">
        <v>96.6067532422519</v>
      </c>
      <c r="AD51" t="n">
        <v>99.4233054727532</v>
      </c>
      <c r="AE51" t="n">
        <v>100</v>
      </c>
      <c r="AF51" t="n">
        <v>106.032727272727</v>
      </c>
    </row>
    <row r="52">
      <c r="A52" t="s">
        <v>80</v>
      </c>
      <c r="B52" t="s">
        <v>374</v>
      </c>
      <c r="C52" t="s">
        <v>246</v>
      </c>
      <c r="D52" t="s">
        <v>375</v>
      </c>
      <c r="E52" t="s">
        <v>247</v>
      </c>
      <c r="F52" t="n">
        <v>93.387604568543</v>
      </c>
      <c r="G52" t="n">
        <v>94.4668141744968</v>
      </c>
      <c r="H52" t="n">
        <v>93.7862175305884</v>
      </c>
      <c r="I52" t="n">
        <v>93.6723993054299</v>
      </c>
      <c r="J52" t="n">
        <v>92.2022046974971</v>
      </c>
      <c r="K52" t="n">
        <v>93.2545124685012</v>
      </c>
      <c r="L52" t="n">
        <v>94.4789677267536</v>
      </c>
      <c r="M52" t="n">
        <v>95.1701475694366</v>
      </c>
      <c r="N52" t="n">
        <v>94.2889424993492</v>
      </c>
      <c r="O52" t="n">
        <v>92.4614687637827</v>
      </c>
      <c r="P52" t="n">
        <v>89.9460624174227</v>
      </c>
      <c r="Q52" t="n">
        <v>91.6869539480825</v>
      </c>
      <c r="R52" t="n">
        <v>92.0528236765265</v>
      </c>
      <c r="S52" t="n">
        <v>92.6015737431526</v>
      </c>
      <c r="T52" t="n">
        <v>95.4386317622443</v>
      </c>
      <c r="U52" t="n">
        <v>95.3917792184238</v>
      </c>
      <c r="V52" t="n">
        <v>96.2951104610226</v>
      </c>
      <c r="W52" t="n">
        <v>100.367874005072</v>
      </c>
      <c r="X52" t="n">
        <v>98.0791738748114</v>
      </c>
      <c r="Y52" t="n">
        <v>99.6457162353119</v>
      </c>
      <c r="Z52" t="n">
        <v>102.667693263996</v>
      </c>
      <c r="AA52" t="n">
        <v>99.2016128162015</v>
      </c>
      <c r="AB52" t="n">
        <v>100.696738857139</v>
      </c>
      <c r="AC52" t="n">
        <v>99.0983779228987</v>
      </c>
      <c r="AD52" t="n">
        <v>100.63829787234</v>
      </c>
      <c r="AE52" t="n">
        <v>100</v>
      </c>
      <c r="AF52" t="n">
        <v>103.940677966102</v>
      </c>
    </row>
    <row r="53">
      <c r="A53" t="s">
        <v>80</v>
      </c>
      <c r="B53" t="s">
        <v>376</v>
      </c>
      <c r="C53" t="s">
        <v>246</v>
      </c>
      <c r="D53" t="s">
        <v>377</v>
      </c>
      <c r="E53" t="s">
        <v>247</v>
      </c>
      <c r="F53" t="n">
        <v>96.1084016597293</v>
      </c>
      <c r="G53" t="n">
        <v>98.8262072916764</v>
      </c>
      <c r="H53" t="n">
        <v>99.3189013039324</v>
      </c>
      <c r="I53" t="n">
        <v>99.2389906924035</v>
      </c>
      <c r="J53" t="n">
        <v>98.1954362216207</v>
      </c>
      <c r="K53" t="n">
        <v>99.3793189723724</v>
      </c>
      <c r="L53" t="n">
        <v>100.455052826788</v>
      </c>
      <c r="M53" t="n">
        <v>101.725630570052</v>
      </c>
      <c r="N53" t="n">
        <v>102.648967640413</v>
      </c>
      <c r="O53" t="n">
        <v>103.068216813916</v>
      </c>
      <c r="P53" t="n">
        <v>101.544227593053</v>
      </c>
      <c r="Q53" t="n">
        <v>103.139506347923</v>
      </c>
      <c r="R53" t="n">
        <v>103.894894281738</v>
      </c>
      <c r="S53" t="n">
        <v>105.761026705385</v>
      </c>
      <c r="T53" t="n">
        <v>115.277984115739</v>
      </c>
      <c r="U53" t="n">
        <v>107.700257736321</v>
      </c>
      <c r="V53" t="n">
        <v>96.7203910694075</v>
      </c>
      <c r="W53" t="n">
        <v>104.726751799722</v>
      </c>
      <c r="X53" t="n">
        <v>101.9738456991</v>
      </c>
      <c r="Y53" t="n">
        <v>102.863578493642</v>
      </c>
      <c r="Z53" t="n">
        <v>104.793227757691</v>
      </c>
      <c r="AA53" t="n">
        <v>101.455812345606</v>
      </c>
      <c r="AB53" t="n">
        <v>104.67122462779</v>
      </c>
      <c r="AC53" t="n">
        <v>98.5613835588864</v>
      </c>
      <c r="AD53" t="n">
        <v>100.940975192472</v>
      </c>
      <c r="AE53" t="n">
        <v>100</v>
      </c>
      <c r="AF53" t="n">
        <v>95.0988947062245</v>
      </c>
    </row>
    <row r="54">
      <c r="A54" t="s">
        <v>80</v>
      </c>
      <c r="B54" t="s">
        <v>378</v>
      </c>
      <c r="C54" t="s">
        <v>246</v>
      </c>
      <c r="D54" t="s">
        <v>379</v>
      </c>
      <c r="E54" t="s">
        <v>247</v>
      </c>
      <c r="F54" t="n">
        <v>93.3965395732115</v>
      </c>
      <c r="G54" t="n">
        <v>96.0400853976253</v>
      </c>
      <c r="H54" t="n">
        <v>96.5407543494069</v>
      </c>
      <c r="I54" t="n">
        <v>96.4647840221343</v>
      </c>
      <c r="J54" t="n">
        <v>95.4546200737747</v>
      </c>
      <c r="K54" t="n">
        <v>97.1537771473447</v>
      </c>
      <c r="L54" t="n">
        <v>98.4557311283368</v>
      </c>
      <c r="M54" t="n">
        <v>99.5797301605638</v>
      </c>
      <c r="N54" t="n">
        <v>99.7560625867979</v>
      </c>
      <c r="O54" t="n">
        <v>99.3417227381914</v>
      </c>
      <c r="P54" t="n">
        <v>97.6318532772921</v>
      </c>
      <c r="Q54" t="n">
        <v>98.9702175378232</v>
      </c>
      <c r="R54" t="n">
        <v>99.411613078967</v>
      </c>
      <c r="S54" t="n">
        <v>100.777269394825</v>
      </c>
      <c r="T54" t="n">
        <v>106.784924589693</v>
      </c>
      <c r="U54" t="n">
        <v>102.455536726091</v>
      </c>
      <c r="V54" t="n">
        <v>96.9984563973807</v>
      </c>
      <c r="W54" t="n">
        <v>103.027143212057</v>
      </c>
      <c r="X54" t="n">
        <v>101.319351623841</v>
      </c>
      <c r="Y54" t="n">
        <v>102.801341769792</v>
      </c>
      <c r="Z54" t="n">
        <v>105.380934983004</v>
      </c>
      <c r="AA54" t="n">
        <v>100.760389867413</v>
      </c>
      <c r="AB54" t="n">
        <v>103.210476818199</v>
      </c>
      <c r="AC54" t="n">
        <v>99.069110024</v>
      </c>
      <c r="AD54" t="n">
        <v>100.783510125362</v>
      </c>
      <c r="AE54" t="n">
        <v>100</v>
      </c>
      <c r="AF54" t="n">
        <v>98.3384306386087</v>
      </c>
    </row>
    <row r="55">
      <c r="A55" t="s">
        <v>80</v>
      </c>
      <c r="B55" t="s">
        <v>380</v>
      </c>
      <c r="C55" t="s">
        <v>246</v>
      </c>
      <c r="D55" t="s">
        <v>381</v>
      </c>
      <c r="E55" t="s">
        <v>247</v>
      </c>
      <c r="F55" t="n">
        <v>88.4602325325364</v>
      </c>
      <c r="G55" t="n">
        <v>90.9674517818501</v>
      </c>
      <c r="H55" t="n">
        <v>91.4715398028069</v>
      </c>
      <c r="I55" t="n">
        <v>91.4020008490265</v>
      </c>
      <c r="J55" t="n">
        <v>90.4507583062538</v>
      </c>
      <c r="K55" t="n">
        <v>92.8475103296787</v>
      </c>
      <c r="L55" t="n">
        <v>94.5014196375064</v>
      </c>
      <c r="M55" t="n">
        <v>95.4025194747259</v>
      </c>
      <c r="N55" t="n">
        <v>94.5878518223346</v>
      </c>
      <c r="O55" t="n">
        <v>92.9627149805351</v>
      </c>
      <c r="P55" t="n">
        <v>91.0448759462451</v>
      </c>
      <c r="Q55" t="n">
        <v>92.043996669935</v>
      </c>
      <c r="R55" t="n">
        <v>92.043996669935</v>
      </c>
      <c r="S55" t="n">
        <v>92.9670400924414</v>
      </c>
      <c r="T55" t="n">
        <v>93.7611453769406</v>
      </c>
      <c r="U55" t="n">
        <v>93.3658893237394</v>
      </c>
      <c r="V55" t="n">
        <v>95.890189426409</v>
      </c>
      <c r="W55" t="n">
        <v>99.8769193269687</v>
      </c>
      <c r="X55" t="n">
        <v>99.7069883710742</v>
      </c>
      <c r="Y55" t="n">
        <v>102.052672047348</v>
      </c>
      <c r="Z55" t="n">
        <v>105.56249871642</v>
      </c>
      <c r="AA55" t="n">
        <v>99.245030926913</v>
      </c>
      <c r="AB55" t="n">
        <v>100.774895040016</v>
      </c>
      <c r="AC55" t="n">
        <v>99.8691663615882</v>
      </c>
      <c r="AD55" t="n">
        <v>100.510624279361</v>
      </c>
      <c r="AE55" t="n">
        <v>100</v>
      </c>
      <c r="AF55" t="n">
        <v>103.801348865727</v>
      </c>
    </row>
    <row r="56">
      <c r="A56" t="s">
        <v>80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80</v>
      </c>
      <c r="B57" t="s">
        <v>384</v>
      </c>
      <c r="C57" t="s">
        <v>246</v>
      </c>
      <c r="D57" t="s">
        <v>385</v>
      </c>
      <c r="E57" t="s">
        <v>247</v>
      </c>
      <c r="F57" t="n">
        <v>78.9424235832045</v>
      </c>
      <c r="G57" t="n">
        <v>80.7397342561393</v>
      </c>
      <c r="H57" t="n">
        <v>81.0344871749111</v>
      </c>
      <c r="I57" t="n">
        <v>81.241894587141</v>
      </c>
      <c r="J57" t="n">
        <v>79.8857000691617</v>
      </c>
      <c r="K57" t="n">
        <v>81.584073004975</v>
      </c>
      <c r="L57" t="n">
        <v>83.2550966928376</v>
      </c>
      <c r="M57" t="n">
        <v>84.5481560795538</v>
      </c>
      <c r="N57" t="n">
        <v>85.0815424038885</v>
      </c>
      <c r="O57" t="n">
        <v>86.1107656220981</v>
      </c>
      <c r="P57" t="n">
        <v>85.976160235872</v>
      </c>
      <c r="Q57" t="n">
        <v>88.060898697313</v>
      </c>
      <c r="R57" t="n">
        <v>89.4707834536688</v>
      </c>
      <c r="S57" t="n">
        <v>91.551919208796</v>
      </c>
      <c r="T57" t="n">
        <v>91.9380472786823</v>
      </c>
      <c r="U57" t="n">
        <v>92.4217589427363</v>
      </c>
      <c r="V57" t="n">
        <v>93.9463649798913</v>
      </c>
      <c r="W57" t="n">
        <v>96.4724821819135</v>
      </c>
      <c r="X57" t="n">
        <v>95.6321431010188</v>
      </c>
      <c r="Y57" t="n">
        <v>96.4136398143186</v>
      </c>
      <c r="Z57" t="n">
        <v>98.4374506217885</v>
      </c>
      <c r="AA57" t="n">
        <v>97.484006185309</v>
      </c>
      <c r="AB57" t="n">
        <v>98.9792887483126</v>
      </c>
      <c r="AC57" t="n">
        <v>98.9277098898409</v>
      </c>
      <c r="AD57" t="n">
        <v>100.988547988489</v>
      </c>
      <c r="AE57" t="n">
        <v>100</v>
      </c>
      <c r="AF57" t="n">
        <v>103.299142563637</v>
      </c>
    </row>
    <row r="58">
      <c r="A58" t="s">
        <v>80</v>
      </c>
      <c r="B58" t="s">
        <v>386</v>
      </c>
      <c r="C58" t="s">
        <v>246</v>
      </c>
      <c r="D58" t="s">
        <v>387</v>
      </c>
      <c r="E58" t="s">
        <v>247</v>
      </c>
      <c r="F58" t="n">
        <v>78.9424235832045</v>
      </c>
      <c r="G58" t="n">
        <v>80.7397342561393</v>
      </c>
      <c r="H58" t="n">
        <v>81.0344871749111</v>
      </c>
      <c r="I58" t="n">
        <v>81.241894587141</v>
      </c>
      <c r="J58" t="n">
        <v>79.8857000691617</v>
      </c>
      <c r="K58" t="n">
        <v>81.584073004975</v>
      </c>
      <c r="L58" t="n">
        <v>83.2550966928376</v>
      </c>
      <c r="M58" t="n">
        <v>84.5481560795538</v>
      </c>
      <c r="N58" t="n">
        <v>85.0815424038885</v>
      </c>
      <c r="O58" t="n">
        <v>86.1107656220981</v>
      </c>
      <c r="P58" t="n">
        <v>85.976160235872</v>
      </c>
      <c r="Q58" t="n">
        <v>88.060898697313</v>
      </c>
      <c r="R58" t="n">
        <v>89.4707834536688</v>
      </c>
      <c r="S58" t="n">
        <v>91.551919208796</v>
      </c>
      <c r="T58" t="n">
        <v>91.9380472786823</v>
      </c>
      <c r="U58" t="n">
        <v>92.4217589427363</v>
      </c>
      <c r="V58" t="n">
        <v>93.9463649798913</v>
      </c>
      <c r="W58" t="n">
        <v>96.4724821819135</v>
      </c>
      <c r="X58" t="n">
        <v>95.6321431010188</v>
      </c>
      <c r="Y58" t="n">
        <v>96.4136398143186</v>
      </c>
      <c r="Z58" t="n">
        <v>98.4374506217885</v>
      </c>
      <c r="AA58" t="n">
        <v>97.484006185309</v>
      </c>
      <c r="AB58" t="n">
        <v>98.9792887483126</v>
      </c>
      <c r="AC58" t="n">
        <v>98.9277098898409</v>
      </c>
      <c r="AD58" t="n">
        <v>100.988547988489</v>
      </c>
      <c r="AE58" t="n">
        <v>100</v>
      </c>
      <c r="AF58" t="n">
        <v>103.299142563637</v>
      </c>
    </row>
    <row r="59">
      <c r="A59" t="s">
        <v>80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82</v>
      </c>
      <c r="B2" t="s">
        <v>197</v>
      </c>
      <c r="C2" t="s">
        <v>246</v>
      </c>
      <c r="D2" t="s">
        <v>199</v>
      </c>
      <c r="E2" t="s">
        <v>247</v>
      </c>
      <c r="F2" t="n">
        <v>58.0676470163029</v>
      </c>
      <c r="G2" t="n">
        <v>59.6797286305803</v>
      </c>
      <c r="H2" t="n">
        <v>61.6972071741527</v>
      </c>
      <c r="I2" t="n">
        <v>63.3428778174564</v>
      </c>
      <c r="J2" t="n">
        <v>64.0706502947864</v>
      </c>
      <c r="K2" t="n">
        <v>66.4538500137133</v>
      </c>
      <c r="L2" t="n">
        <v>68.587166688612</v>
      </c>
      <c r="M2" t="n">
        <v>71.0238870948451</v>
      </c>
      <c r="N2" t="n">
        <v>73.0715705980293</v>
      </c>
      <c r="O2" t="n">
        <v>76.3281771406576</v>
      </c>
      <c r="P2" t="n">
        <v>79.8094071981881</v>
      </c>
      <c r="Q2" t="n">
        <v>82.4295268216813</v>
      </c>
      <c r="R2" t="n">
        <v>85.4061310873183</v>
      </c>
      <c r="S2" t="n">
        <v>88.567556587582</v>
      </c>
      <c r="T2" t="n">
        <v>90.387636214808</v>
      </c>
      <c r="U2" t="n">
        <v>93.1577082052396</v>
      </c>
      <c r="V2" t="n">
        <v>97.022981463469</v>
      </c>
      <c r="W2" t="n">
        <v>97.6766755034074</v>
      </c>
      <c r="X2" t="n">
        <v>97.5362682075233</v>
      </c>
      <c r="Y2" t="n">
        <v>97.4695234984397</v>
      </c>
      <c r="Z2" t="n">
        <v>97.3641586344676</v>
      </c>
      <c r="AA2" t="n">
        <v>97.1650880909686</v>
      </c>
      <c r="AB2" t="n">
        <v>97.6641580811632</v>
      </c>
      <c r="AC2" t="n">
        <v>99.3561302119649</v>
      </c>
      <c r="AD2" t="n">
        <v>99.3678040611262</v>
      </c>
      <c r="AE2" t="n">
        <v>100</v>
      </c>
      <c r="AF2" t="n">
        <v>105.41059575001</v>
      </c>
    </row>
    <row r="3">
      <c r="A3" t="s">
        <v>82</v>
      </c>
      <c r="B3" t="s">
        <v>276</v>
      </c>
      <c r="C3" t="s">
        <v>246</v>
      </c>
      <c r="D3" t="s">
        <v>277</v>
      </c>
      <c r="E3" t="s">
        <v>247</v>
      </c>
      <c r="F3" t="n">
        <v>58.2389652884551</v>
      </c>
      <c r="G3" t="n">
        <v>59.5802684269601</v>
      </c>
      <c r="H3" t="n">
        <v>61.4747993387307</v>
      </c>
      <c r="I3" t="n">
        <v>63.1543157494974</v>
      </c>
      <c r="J3" t="n">
        <v>63.7904258513131</v>
      </c>
      <c r="K3" t="n">
        <v>66.3213712891196</v>
      </c>
      <c r="L3" t="n">
        <v>68.5386620148718</v>
      </c>
      <c r="M3" t="n">
        <v>71.056379082198</v>
      </c>
      <c r="N3" t="n">
        <v>73.1513292316776</v>
      </c>
      <c r="O3" t="n">
        <v>76.3500693221308</v>
      </c>
      <c r="P3" t="n">
        <v>79.6552419822261</v>
      </c>
      <c r="Q3" t="n">
        <v>82.3880223716572</v>
      </c>
      <c r="R3" t="n">
        <v>85.4432103190152</v>
      </c>
      <c r="S3" t="n">
        <v>88.6578738475011</v>
      </c>
      <c r="T3" t="n">
        <v>90.4700630928117</v>
      </c>
      <c r="U3" t="n">
        <v>93.4439443045615</v>
      </c>
      <c r="V3" t="n">
        <v>97.4599283769698</v>
      </c>
      <c r="W3" t="n">
        <v>97.908589052092</v>
      </c>
      <c r="X3" t="n">
        <v>97.6770424525509</v>
      </c>
      <c r="Y3" t="n">
        <v>97.5246865804412</v>
      </c>
      <c r="Z3" t="n">
        <v>97.4196094770549</v>
      </c>
      <c r="AA3" t="n">
        <v>97.1619904934906</v>
      </c>
      <c r="AB3" t="n">
        <v>97.6568312905036</v>
      </c>
      <c r="AC3" t="n">
        <v>99.4057845621408</v>
      </c>
      <c r="AD3" t="n">
        <v>99.3609789259007</v>
      </c>
      <c r="AE3" t="n">
        <v>100</v>
      </c>
      <c r="AF3" t="n">
        <v>105.589489454881</v>
      </c>
    </row>
    <row r="4">
      <c r="A4" t="s">
        <v>82</v>
      </c>
      <c r="B4" t="s">
        <v>278</v>
      </c>
      <c r="C4" t="s">
        <v>246</v>
      </c>
      <c r="D4" t="s">
        <v>279</v>
      </c>
      <c r="E4" t="s">
        <v>247</v>
      </c>
      <c r="F4" t="n">
        <v>58.0781196922778</v>
      </c>
      <c r="G4" t="n">
        <v>59.6233975856481</v>
      </c>
      <c r="H4" t="n">
        <v>61.6086696583168</v>
      </c>
      <c r="I4" t="n">
        <v>63.2682013368728</v>
      </c>
      <c r="J4" t="n">
        <v>63.9903899210706</v>
      </c>
      <c r="K4" t="n">
        <v>66.3973020840004</v>
      </c>
      <c r="L4" t="n">
        <v>68.5408262061351</v>
      </c>
      <c r="M4" t="n">
        <v>70.98178868574</v>
      </c>
      <c r="N4" t="n">
        <v>73.0304181681024</v>
      </c>
      <c r="O4" t="n">
        <v>76.2725977061349</v>
      </c>
      <c r="P4" t="n">
        <v>79.7257231211459</v>
      </c>
      <c r="Q4" t="n">
        <v>82.3525140211123</v>
      </c>
      <c r="R4" t="n">
        <v>85.3364332118673</v>
      </c>
      <c r="S4" t="n">
        <v>88.4988147411879</v>
      </c>
      <c r="T4" t="n">
        <v>90.3213589281493</v>
      </c>
      <c r="U4" t="n">
        <v>93.0765665919724</v>
      </c>
      <c r="V4" t="n">
        <v>96.945237220241</v>
      </c>
      <c r="W4" t="n">
        <v>97.6454524173957</v>
      </c>
      <c r="X4" t="n">
        <v>97.5198043630119</v>
      </c>
      <c r="Y4" t="n">
        <v>97.4551994630708</v>
      </c>
      <c r="Z4" t="n">
        <v>97.3547526968754</v>
      </c>
      <c r="AA4" t="n">
        <v>97.1633289887245</v>
      </c>
      <c r="AB4" t="n">
        <v>97.6678423035713</v>
      </c>
      <c r="AC4" t="n">
        <v>99.3504487141647</v>
      </c>
      <c r="AD4" t="n">
        <v>99.3752015478878</v>
      </c>
      <c r="AE4" t="n">
        <v>100</v>
      </c>
      <c r="AF4" t="n">
        <v>104.466207017698</v>
      </c>
    </row>
    <row r="5">
      <c r="A5" t="s">
        <v>82</v>
      </c>
      <c r="B5" t="s">
        <v>280</v>
      </c>
      <c r="C5" t="s">
        <v>246</v>
      </c>
      <c r="D5" t="s">
        <v>281</v>
      </c>
      <c r="E5" t="s">
        <v>247</v>
      </c>
      <c r="F5" t="n">
        <v>58.037695020959</v>
      </c>
      <c r="G5" t="n">
        <v>59.7068044565708</v>
      </c>
      <c r="H5" t="n">
        <v>61.7296210954157</v>
      </c>
      <c r="I5" t="n">
        <v>63.3732295139317</v>
      </c>
      <c r="J5" t="n">
        <v>64.1354734646163</v>
      </c>
      <c r="K5" t="n">
        <v>66.4985468250049</v>
      </c>
      <c r="L5" t="n">
        <v>68.6068366640284</v>
      </c>
      <c r="M5" t="n">
        <v>71.0265993242224</v>
      </c>
      <c r="N5" t="n">
        <v>73.0627926303417</v>
      </c>
      <c r="O5" t="n">
        <v>76.318222035212</v>
      </c>
      <c r="P5" t="n">
        <v>79.825732808885</v>
      </c>
      <c r="Q5" t="n">
        <v>82.4242398806878</v>
      </c>
      <c r="R5" t="n">
        <v>85.3830587481997</v>
      </c>
      <c r="S5" t="n">
        <v>88.5348965296363</v>
      </c>
      <c r="T5" t="n">
        <v>90.3641939890125</v>
      </c>
      <c r="U5" t="n">
        <v>93.0425616694482</v>
      </c>
      <c r="V5" t="n">
        <v>96.8605436826459</v>
      </c>
      <c r="W5" t="n">
        <v>97.6252321854036</v>
      </c>
      <c r="X5" t="n">
        <v>97.4962177382179</v>
      </c>
      <c r="Y5" t="n">
        <v>97.4424415563435</v>
      </c>
      <c r="Z5" t="n">
        <v>97.3405971742733</v>
      </c>
      <c r="AA5" t="n">
        <v>97.1561429423397</v>
      </c>
      <c r="AB5" t="n">
        <v>97.6646980829118</v>
      </c>
      <c r="AC5" t="n">
        <v>99.3300195350076</v>
      </c>
      <c r="AD5" t="n">
        <v>99.3804664723032</v>
      </c>
      <c r="AE5" t="n">
        <v>100</v>
      </c>
      <c r="AF5" t="n">
        <v>104.277198211624</v>
      </c>
    </row>
    <row r="6">
      <c r="A6" t="s">
        <v>82</v>
      </c>
      <c r="B6" t="s">
        <v>282</v>
      </c>
      <c r="C6" t="s">
        <v>246</v>
      </c>
      <c r="D6" t="s">
        <v>283</v>
      </c>
      <c r="E6" t="s">
        <v>247</v>
      </c>
      <c r="F6" t="n">
        <v>58.1052592065397</v>
      </c>
      <c r="G6" t="n">
        <v>59.7135297738635</v>
      </c>
      <c r="H6" t="n">
        <v>61.709374942457</v>
      </c>
      <c r="I6" t="n">
        <v>63.3447372597726</v>
      </c>
      <c r="J6" t="n">
        <v>64.0937881536604</v>
      </c>
      <c r="K6" t="n">
        <v>66.4751206262464</v>
      </c>
      <c r="L6" t="n">
        <v>68.6048620505365</v>
      </c>
      <c r="M6" t="n">
        <v>71.0251149858336</v>
      </c>
      <c r="N6" t="n">
        <v>73.0720969871206</v>
      </c>
      <c r="O6" t="n">
        <v>76.3151633746968</v>
      </c>
      <c r="P6" t="n">
        <v>79.8224836703709</v>
      </c>
      <c r="Q6" t="n">
        <v>82.4302626162125</v>
      </c>
      <c r="R6" t="n">
        <v>85.39829171205</v>
      </c>
      <c r="S6" t="n">
        <v>88.5509161845858</v>
      </c>
      <c r="T6" t="n">
        <v>90.3826716636354</v>
      </c>
      <c r="U6" t="n">
        <v>93.0858549144578</v>
      </c>
      <c r="V6" t="n">
        <v>96.9095314416129</v>
      </c>
      <c r="W6" t="n">
        <v>97.6623597225859</v>
      </c>
      <c r="X6" t="n">
        <v>97.5393592695348</v>
      </c>
      <c r="Y6" t="n">
        <v>97.4829292092111</v>
      </c>
      <c r="Z6" t="n">
        <v>97.3633182531262</v>
      </c>
      <c r="AA6" t="n">
        <v>97.1848337100406</v>
      </c>
      <c r="AB6" t="n">
        <v>97.6940992141981</v>
      </c>
      <c r="AC6" t="n">
        <v>99.3621572072416</v>
      </c>
      <c r="AD6" t="n">
        <v>99.4041708043694</v>
      </c>
      <c r="AE6" t="n">
        <v>100</v>
      </c>
      <c r="AF6" t="n">
        <v>104.290684190182</v>
      </c>
    </row>
    <row r="7">
      <c r="A7" t="s">
        <v>82</v>
      </c>
      <c r="B7" t="s">
        <v>284</v>
      </c>
      <c r="C7" t="s">
        <v>246</v>
      </c>
      <c r="D7" t="s">
        <v>285</v>
      </c>
      <c r="E7" t="s">
        <v>247</v>
      </c>
      <c r="F7" t="n">
        <v>58.0405196455449</v>
      </c>
      <c r="G7" t="n">
        <v>59.6656541956202</v>
      </c>
      <c r="H7" t="n">
        <v>61.6768560224388</v>
      </c>
      <c r="I7" t="n">
        <v>63.328914665897</v>
      </c>
      <c r="J7" t="n">
        <v>64.0785621374954</v>
      </c>
      <c r="K7" t="n">
        <v>66.461540950128</v>
      </c>
      <c r="L7" t="n">
        <v>68.5915206647396</v>
      </c>
      <c r="M7" t="n">
        <v>71.0121072780434</v>
      </c>
      <c r="N7" t="n">
        <v>73.0546669569412</v>
      </c>
      <c r="O7" t="n">
        <v>76.3075095624585</v>
      </c>
      <c r="P7" t="n">
        <v>79.8267535355303</v>
      </c>
      <c r="Q7" t="n">
        <v>82.4207370159885</v>
      </c>
      <c r="R7" t="n">
        <v>85.3765580867771</v>
      </c>
      <c r="S7" t="n">
        <v>88.5199422109451</v>
      </c>
      <c r="T7" t="n">
        <v>90.3592159880956</v>
      </c>
      <c r="U7" t="n">
        <v>93.0474782711182</v>
      </c>
      <c r="V7" t="n">
        <v>96.875791533319</v>
      </c>
      <c r="W7" t="n">
        <v>97.6317012003141</v>
      </c>
      <c r="X7" t="n">
        <v>97.5065323526214</v>
      </c>
      <c r="Y7" t="n">
        <v>97.4534820085775</v>
      </c>
      <c r="Z7" t="n">
        <v>97.3595056517708</v>
      </c>
      <c r="AA7" t="n">
        <v>97.1805725190638</v>
      </c>
      <c r="AB7" t="n">
        <v>97.6977800478768</v>
      </c>
      <c r="AC7" t="n">
        <v>99.3695823483058</v>
      </c>
      <c r="AD7" t="n">
        <v>99.3695823483058</v>
      </c>
      <c r="AE7" t="n">
        <v>100</v>
      </c>
      <c r="AF7" t="n">
        <v>104.287369640788</v>
      </c>
    </row>
    <row r="8">
      <c r="A8" t="s">
        <v>82</v>
      </c>
      <c r="B8" t="s">
        <v>286</v>
      </c>
      <c r="C8" t="s">
        <v>246</v>
      </c>
      <c r="D8" t="s">
        <v>287</v>
      </c>
      <c r="E8" t="s">
        <v>247</v>
      </c>
      <c r="F8" t="n">
        <v>58.2119507516563</v>
      </c>
      <c r="G8" t="n">
        <v>59.5816437105188</v>
      </c>
      <c r="H8" t="n">
        <v>61.5170103275658</v>
      </c>
      <c r="I8" t="n">
        <v>63.198721927554</v>
      </c>
      <c r="J8" t="n">
        <v>63.8451900323776</v>
      </c>
      <c r="K8" t="n">
        <v>66.3453852011868</v>
      </c>
      <c r="L8" t="n">
        <v>68.5568980412264</v>
      </c>
      <c r="M8" t="n">
        <v>71.0637480490932</v>
      </c>
      <c r="N8" t="n">
        <v>73.1469738647616</v>
      </c>
      <c r="O8" t="n">
        <v>76.3501950040721</v>
      </c>
      <c r="P8" t="n">
        <v>79.699996606072</v>
      </c>
      <c r="Q8" t="n">
        <v>82.4053434419044</v>
      </c>
      <c r="R8" t="n">
        <v>85.4365066309565</v>
      </c>
      <c r="S8" t="n">
        <v>88.6242216682796</v>
      </c>
      <c r="T8" t="n">
        <v>90.4088568089861</v>
      </c>
      <c r="U8" t="n">
        <v>93.3169123942433</v>
      </c>
      <c r="V8" t="n">
        <v>97.2931693883961</v>
      </c>
      <c r="W8" t="n">
        <v>97.7890209979475</v>
      </c>
      <c r="X8" t="n">
        <v>97.5866988855379</v>
      </c>
      <c r="Y8" t="n">
        <v>97.4221344692048</v>
      </c>
      <c r="Z8" t="n">
        <v>97.321178889444</v>
      </c>
      <c r="AA8" t="n">
        <v>97.1236392841204</v>
      </c>
      <c r="AB8" t="n">
        <v>97.6329018122019</v>
      </c>
      <c r="AC8" t="n">
        <v>99.3730407523511</v>
      </c>
      <c r="AD8" t="n">
        <v>99.3730407523511</v>
      </c>
      <c r="AE8" t="n">
        <v>100</v>
      </c>
      <c r="AF8" t="n">
        <v>104.700352526439</v>
      </c>
    </row>
    <row r="9">
      <c r="A9" t="s">
        <v>82</v>
      </c>
      <c r="B9" t="s">
        <v>288</v>
      </c>
      <c r="C9" t="s">
        <v>246</v>
      </c>
      <c r="D9" t="s">
        <v>289</v>
      </c>
      <c r="E9" t="s">
        <v>247</v>
      </c>
      <c r="F9" t="n">
        <v>58.0552113419516</v>
      </c>
      <c r="G9" t="n">
        <v>59.6097569231625</v>
      </c>
      <c r="H9" t="n">
        <v>61.6158545119228</v>
      </c>
      <c r="I9" t="n">
        <v>63.2727514399745</v>
      </c>
      <c r="J9" t="n">
        <v>63.9797095566223</v>
      </c>
      <c r="K9" t="n">
        <v>66.3570219968575</v>
      </c>
      <c r="L9" t="n">
        <v>68.4850230471016</v>
      </c>
      <c r="M9" t="n">
        <v>70.9114930145615</v>
      </c>
      <c r="N9" t="n">
        <v>72.9474929433293</v>
      </c>
      <c r="O9" t="n">
        <v>76.2009650720538</v>
      </c>
      <c r="P9" t="n">
        <v>79.6544078240877</v>
      </c>
      <c r="Q9" t="n">
        <v>82.2836434439988</v>
      </c>
      <c r="R9" t="n">
        <v>85.2724824463675</v>
      </c>
      <c r="S9" t="n">
        <v>88.4426340028327</v>
      </c>
      <c r="T9" t="n">
        <v>90.2527005047798</v>
      </c>
      <c r="U9" t="n">
        <v>93.0213469938886</v>
      </c>
      <c r="V9" t="n">
        <v>96.8930733053958</v>
      </c>
      <c r="W9" t="n">
        <v>97.5747331175946</v>
      </c>
      <c r="X9" t="n">
        <v>97.4988585195249</v>
      </c>
      <c r="Y9" t="n">
        <v>97.4988585195249</v>
      </c>
      <c r="Z9" t="n">
        <v>97.3886903178079</v>
      </c>
      <c r="AA9" t="n">
        <v>97.1681543342984</v>
      </c>
      <c r="AB9" t="n">
        <v>97.7150670228592</v>
      </c>
      <c r="AC9" t="n">
        <v>99.3771234428086</v>
      </c>
      <c r="AD9" t="n">
        <v>99.3771234428086</v>
      </c>
      <c r="AE9" t="n">
        <v>100</v>
      </c>
      <c r="AF9" t="n">
        <v>104.279686558168</v>
      </c>
    </row>
    <row r="10">
      <c r="A10" t="s">
        <v>82</v>
      </c>
      <c r="B10" t="s">
        <v>290</v>
      </c>
      <c r="C10" t="s">
        <v>246</v>
      </c>
      <c r="D10" t="s">
        <v>291</v>
      </c>
      <c r="E10" t="s">
        <v>247</v>
      </c>
      <c r="F10" t="n">
        <v>58.056037105526</v>
      </c>
      <c r="G10" t="n">
        <v>59.6257003309717</v>
      </c>
      <c r="H10" t="n">
        <v>61.6343288298547</v>
      </c>
      <c r="I10" t="n">
        <v>63.2943694544157</v>
      </c>
      <c r="J10" t="n">
        <v>64.0105442769886</v>
      </c>
      <c r="K10" t="n">
        <v>66.3698825748395</v>
      </c>
      <c r="L10" t="n">
        <v>68.4960438281013</v>
      </c>
      <c r="M10" t="n">
        <v>70.9133896700395</v>
      </c>
      <c r="N10" t="n">
        <v>72.94238508263</v>
      </c>
      <c r="O10" t="n">
        <v>76.1921528226927</v>
      </c>
      <c r="P10" t="n">
        <v>79.6569182449172</v>
      </c>
      <c r="Q10" t="n">
        <v>82.2743919228344</v>
      </c>
      <c r="R10" t="n">
        <v>85.2555599427737</v>
      </c>
      <c r="S10" t="n">
        <v>88.4126084057709</v>
      </c>
      <c r="T10" t="n">
        <v>90.2299973870848</v>
      </c>
      <c r="U10" t="n">
        <v>92.9693012692547</v>
      </c>
      <c r="V10" t="n">
        <v>96.8228675202696</v>
      </c>
      <c r="W10" t="n">
        <v>97.5510069711334</v>
      </c>
      <c r="X10" t="n">
        <v>97.4558661971043</v>
      </c>
      <c r="Y10" t="n">
        <v>97.4250452400528</v>
      </c>
      <c r="Z10" t="n">
        <v>97.3114432749874</v>
      </c>
      <c r="AA10" t="n">
        <v>97.1196155918207</v>
      </c>
      <c r="AB10" t="n">
        <v>97.6479463006402</v>
      </c>
      <c r="AC10" t="n">
        <v>99.3221190661375</v>
      </c>
      <c r="AD10" t="n">
        <v>99.3694829760404</v>
      </c>
      <c r="AE10" t="n">
        <v>100</v>
      </c>
      <c r="AF10" t="n">
        <v>104.26128399215</v>
      </c>
    </row>
    <row r="11">
      <c r="A11" t="s">
        <v>82</v>
      </c>
      <c r="B11" t="s">
        <v>292</v>
      </c>
      <c r="C11" t="s">
        <v>246</v>
      </c>
      <c r="D11" t="s">
        <v>293</v>
      </c>
      <c r="E11" t="s">
        <v>247</v>
      </c>
      <c r="F11" t="n">
        <v>58.0452766176404</v>
      </c>
      <c r="G11" t="n">
        <v>59.6626372664291</v>
      </c>
      <c r="H11" t="n">
        <v>61.6768590134913</v>
      </c>
      <c r="I11" t="n">
        <v>63.3423007510293</v>
      </c>
      <c r="J11" t="n">
        <v>64.076213326576</v>
      </c>
      <c r="K11" t="n">
        <v>66.3994987988957</v>
      </c>
      <c r="L11" t="n">
        <v>68.5220679057402</v>
      </c>
      <c r="M11" t="n">
        <v>70.9221403367643</v>
      </c>
      <c r="N11" t="n">
        <v>72.9355730577965</v>
      </c>
      <c r="O11" t="n">
        <v>76.1795840533706</v>
      </c>
      <c r="P11" t="n">
        <v>79.6658482586578</v>
      </c>
      <c r="Q11" t="n">
        <v>82.2596200624281</v>
      </c>
      <c r="R11" t="n">
        <v>85.2269009464435</v>
      </c>
      <c r="S11" t="n">
        <v>88.3582407575749</v>
      </c>
      <c r="T11" t="n">
        <v>90.1866355374477</v>
      </c>
      <c r="U11" t="n">
        <v>92.8724444327635</v>
      </c>
      <c r="V11" t="n">
        <v>96.6928584055119</v>
      </c>
      <c r="W11" t="n">
        <v>97.4923859168753</v>
      </c>
      <c r="X11" t="n">
        <v>97.3834558767447</v>
      </c>
      <c r="Y11" t="n">
        <v>97.3317112136858</v>
      </c>
      <c r="Z11" t="n">
        <v>97.2125051987272</v>
      </c>
      <c r="AA11" t="n">
        <v>97.0677360174931</v>
      </c>
      <c r="AB11" t="n">
        <v>97.5766101250553</v>
      </c>
      <c r="AC11" t="n">
        <v>99.2642558976584</v>
      </c>
      <c r="AD11" t="n">
        <v>99.3598862019915</v>
      </c>
      <c r="AE11" t="n">
        <v>100</v>
      </c>
      <c r="AF11" t="n">
        <v>104.245283018868</v>
      </c>
    </row>
    <row r="12">
      <c r="A12" t="s">
        <v>82</v>
      </c>
      <c r="B12" t="s">
        <v>294</v>
      </c>
      <c r="C12" t="s">
        <v>246</v>
      </c>
      <c r="D12" t="s">
        <v>295</v>
      </c>
      <c r="E12" t="s">
        <v>247</v>
      </c>
      <c r="F12" t="n">
        <v>58.0256524416865</v>
      </c>
      <c r="G12" t="n">
        <v>59.5423563723908</v>
      </c>
      <c r="H12" t="n">
        <v>61.5161361416413</v>
      </c>
      <c r="I12" t="n">
        <v>63.1670099225237</v>
      </c>
      <c r="J12" t="n">
        <v>63.8774907673095</v>
      </c>
      <c r="K12" t="n">
        <v>66.3019906699148</v>
      </c>
      <c r="L12" t="n">
        <v>68.4492029273492</v>
      </c>
      <c r="M12" t="n">
        <v>70.8997561583501</v>
      </c>
      <c r="N12" t="n">
        <v>72.9486000820123</v>
      </c>
      <c r="O12" t="n">
        <v>76.1853275119247</v>
      </c>
      <c r="P12" t="n">
        <v>79.6237626554699</v>
      </c>
      <c r="Q12" t="n">
        <v>82.2541738130278</v>
      </c>
      <c r="R12" t="n">
        <v>85.238258895646</v>
      </c>
      <c r="S12" t="n">
        <v>88.398329555827</v>
      </c>
      <c r="T12" t="n">
        <v>90.2180403028802</v>
      </c>
      <c r="U12" t="n">
        <v>92.9954284468248</v>
      </c>
      <c r="V12" t="n">
        <v>96.8697645617139</v>
      </c>
      <c r="W12" t="n">
        <v>97.5888571722842</v>
      </c>
      <c r="X12" t="n">
        <v>97.4757200407496</v>
      </c>
      <c r="Y12" t="n">
        <v>97.4084025545336</v>
      </c>
      <c r="Z12" t="n">
        <v>97.3238955540525</v>
      </c>
      <c r="AA12" t="n">
        <v>97.146261187801</v>
      </c>
      <c r="AB12" t="n">
        <v>97.6406945203936</v>
      </c>
      <c r="AC12" t="n">
        <v>99.338275605543</v>
      </c>
      <c r="AD12" t="n">
        <v>99.3653211474994</v>
      </c>
      <c r="AE12" t="n">
        <v>100</v>
      </c>
      <c r="AF12" t="n">
        <v>104.306418219462</v>
      </c>
    </row>
    <row r="13">
      <c r="A13" t="s">
        <v>82</v>
      </c>
      <c r="B13" t="s">
        <v>296</v>
      </c>
      <c r="C13" t="s">
        <v>246</v>
      </c>
      <c r="D13" t="s">
        <v>297</v>
      </c>
      <c r="E13" t="s">
        <v>247</v>
      </c>
      <c r="F13" t="n">
        <v>58.1213783598701</v>
      </c>
      <c r="G13" t="n">
        <v>59.5983747280312</v>
      </c>
      <c r="H13" t="n">
        <v>61.5757735327786</v>
      </c>
      <c r="I13" t="n">
        <v>63.2378779216853</v>
      </c>
      <c r="J13" t="n">
        <v>63.9341599149507</v>
      </c>
      <c r="K13" t="n">
        <v>66.3497795731168</v>
      </c>
      <c r="L13" t="n">
        <v>68.4968853841757</v>
      </c>
      <c r="M13" t="n">
        <v>70.951485960866</v>
      </c>
      <c r="N13" t="n">
        <v>73.0127367634887</v>
      </c>
      <c r="O13" t="n">
        <v>76.2457368166768</v>
      </c>
      <c r="P13" t="n">
        <v>79.66851406074</v>
      </c>
      <c r="Q13" t="n">
        <v>82.3145441306274</v>
      </c>
      <c r="R13" t="n">
        <v>85.3039725875453</v>
      </c>
      <c r="S13" t="n">
        <v>88.4760247638156</v>
      </c>
      <c r="T13" t="n">
        <v>90.3045517115146</v>
      </c>
      <c r="U13" t="n">
        <v>93.0943498167729</v>
      </c>
      <c r="V13" t="n">
        <v>96.9820635449702</v>
      </c>
      <c r="W13" t="n">
        <v>97.6570344082921</v>
      </c>
      <c r="X13" t="n">
        <v>97.523318706227</v>
      </c>
      <c r="Y13" t="n">
        <v>97.4544827657249</v>
      </c>
      <c r="Z13" t="n">
        <v>97.3513017357983</v>
      </c>
      <c r="AA13" t="n">
        <v>97.1843183708998</v>
      </c>
      <c r="AB13" t="n">
        <v>97.6839806761486</v>
      </c>
      <c r="AC13" t="n">
        <v>99.3442461079126</v>
      </c>
      <c r="AD13" t="n">
        <v>99.3689524610854</v>
      </c>
      <c r="AE13" t="n">
        <v>100</v>
      </c>
      <c r="AF13" t="n">
        <v>104.339378238342</v>
      </c>
    </row>
    <row r="14">
      <c r="A14" t="s">
        <v>82</v>
      </c>
      <c r="B14" t="s">
        <v>298</v>
      </c>
      <c r="C14" t="s">
        <v>246</v>
      </c>
      <c r="D14" t="s">
        <v>299</v>
      </c>
      <c r="E14" t="s">
        <v>247</v>
      </c>
      <c r="F14" t="n">
        <v>58.2051027643017</v>
      </c>
      <c r="G14" t="n">
        <v>59.7343769611345</v>
      </c>
      <c r="H14" t="n">
        <v>61.7104280253209</v>
      </c>
      <c r="I14" t="n">
        <v>63.4167071412284</v>
      </c>
      <c r="J14" t="n">
        <v>64.1402534643162</v>
      </c>
      <c r="K14" t="n">
        <v>66.5686087395084</v>
      </c>
      <c r="L14" t="n">
        <v>68.7192099234294</v>
      </c>
      <c r="M14" t="n">
        <v>71.1705491596992</v>
      </c>
      <c r="N14" t="n">
        <v>73.2210364325036</v>
      </c>
      <c r="O14" t="n">
        <v>76.5078923497085</v>
      </c>
      <c r="P14" t="n">
        <v>79.9418192953866</v>
      </c>
      <c r="Q14" t="n">
        <v>82.5962239205793</v>
      </c>
      <c r="R14" t="n">
        <v>85.6134375797785</v>
      </c>
      <c r="S14" t="n">
        <v>88.7858315613199</v>
      </c>
      <c r="T14" t="n">
        <v>90.5858484201404</v>
      </c>
      <c r="U14" t="n">
        <v>93.4025100034429</v>
      </c>
      <c r="V14" t="n">
        <v>97.3367810956316</v>
      </c>
      <c r="W14" t="n">
        <v>97.861601985795</v>
      </c>
      <c r="X14" t="n">
        <v>97.6728621555427</v>
      </c>
      <c r="Y14" t="n">
        <v>97.5490165991325</v>
      </c>
      <c r="Z14" t="n">
        <v>97.448242821654</v>
      </c>
      <c r="AA14" t="n">
        <v>97.2122906598583</v>
      </c>
      <c r="AB14" t="n">
        <v>97.685524972576</v>
      </c>
      <c r="AC14" t="n">
        <v>99.3829276654097</v>
      </c>
      <c r="AD14" t="n">
        <v>99.3829276654097</v>
      </c>
      <c r="AE14" t="n">
        <v>100</v>
      </c>
      <c r="AF14" t="n">
        <v>105.105105105105</v>
      </c>
    </row>
    <row r="15">
      <c r="A15" t="s">
        <v>82</v>
      </c>
      <c r="B15" t="s">
        <v>300</v>
      </c>
      <c r="C15" t="s">
        <v>246</v>
      </c>
      <c r="D15" t="s">
        <v>301</v>
      </c>
      <c r="E15" t="s">
        <v>247</v>
      </c>
      <c r="F15" t="n">
        <v>58.1713249117402</v>
      </c>
      <c r="G15" t="n">
        <v>59.699056677099</v>
      </c>
      <c r="H15" t="n">
        <v>61.6723727764675</v>
      </c>
      <c r="I15" t="n">
        <v>63.3633894493707</v>
      </c>
      <c r="J15" t="n">
        <v>64.0825523616457</v>
      </c>
      <c r="K15" t="n">
        <v>66.5147284413781</v>
      </c>
      <c r="L15" t="n">
        <v>68.661904036688</v>
      </c>
      <c r="M15" t="n">
        <v>71.1087955657302</v>
      </c>
      <c r="N15" t="n">
        <v>73.143381991073</v>
      </c>
      <c r="O15" t="n">
        <v>76.4209223188483</v>
      </c>
      <c r="P15" t="n">
        <v>79.8659432719373</v>
      </c>
      <c r="Q15" t="n">
        <v>82.4963945551697</v>
      </c>
      <c r="R15" t="n">
        <v>85.4879260676256</v>
      </c>
      <c r="S15" t="n">
        <v>88.6649944850044</v>
      </c>
      <c r="T15" t="n">
        <v>90.4824321464833</v>
      </c>
      <c r="U15" t="n">
        <v>93.2685099132958</v>
      </c>
      <c r="V15" t="n">
        <v>97.165172726385</v>
      </c>
      <c r="W15" t="n">
        <v>97.7503640822413</v>
      </c>
      <c r="X15" t="n">
        <v>97.6225858285391</v>
      </c>
      <c r="Y15" t="n">
        <v>97.5153082616945</v>
      </c>
      <c r="Z15" t="n">
        <v>97.4068615220797</v>
      </c>
      <c r="AA15" t="n">
        <v>97.1750324188935</v>
      </c>
      <c r="AB15" t="n">
        <v>97.6557443784593</v>
      </c>
      <c r="AC15" t="n">
        <v>99.3768801031371</v>
      </c>
      <c r="AD15" t="n">
        <v>99.3768801031371</v>
      </c>
      <c r="AE15" t="n">
        <v>100</v>
      </c>
      <c r="AF15" t="n">
        <v>104.811990533789</v>
      </c>
    </row>
    <row r="16">
      <c r="A16" t="s">
        <v>82</v>
      </c>
      <c r="B16" t="s">
        <v>302</v>
      </c>
      <c r="C16" t="s">
        <v>246</v>
      </c>
      <c r="D16" t="s">
        <v>303</v>
      </c>
      <c r="E16" t="s">
        <v>247</v>
      </c>
      <c r="F16" t="n">
        <v>58.0894655667712</v>
      </c>
      <c r="G16" t="n">
        <v>59.6139128675566</v>
      </c>
      <c r="H16" t="n">
        <v>61.5819973179232</v>
      </c>
      <c r="I16" t="n">
        <v>63.2581202287941</v>
      </c>
      <c r="J16" t="n">
        <v>63.9703406203159</v>
      </c>
      <c r="K16" t="n">
        <v>66.4042824470607</v>
      </c>
      <c r="L16" t="n">
        <v>68.5463560743852</v>
      </c>
      <c r="M16" t="n">
        <v>70.9865176174863</v>
      </c>
      <c r="N16" t="n">
        <v>73.000636969811</v>
      </c>
      <c r="O16" t="n">
        <v>76.2666872332729</v>
      </c>
      <c r="P16" t="n">
        <v>79.7192708689057</v>
      </c>
      <c r="Q16" t="n">
        <v>82.3223491013597</v>
      </c>
      <c r="R16" t="n">
        <v>85.2835846805453</v>
      </c>
      <c r="S16" t="n">
        <v>88.4643244355307</v>
      </c>
      <c r="T16" t="n">
        <v>90.3047750132463</v>
      </c>
      <c r="U16" t="n">
        <v>93.0559957573775</v>
      </c>
      <c r="V16" t="n">
        <v>96.9094617260657</v>
      </c>
      <c r="W16" t="n">
        <v>97.6173467642401</v>
      </c>
      <c r="X16" t="n">
        <v>97.5397495092606</v>
      </c>
      <c r="Y16" t="n">
        <v>97.4631876964589</v>
      </c>
      <c r="Z16" t="n">
        <v>97.3407465058855</v>
      </c>
      <c r="AA16" t="n">
        <v>97.1272799565305</v>
      </c>
      <c r="AB16" t="n">
        <v>97.626970142802</v>
      </c>
      <c r="AC16" t="n">
        <v>99.3667242371906</v>
      </c>
      <c r="AD16" t="n">
        <v>99.3667242371906</v>
      </c>
      <c r="AE16" t="n">
        <v>100</v>
      </c>
      <c r="AF16" t="n">
        <v>104.583723105706</v>
      </c>
    </row>
    <row r="17">
      <c r="A17" t="s">
        <v>82</v>
      </c>
      <c r="B17" t="s">
        <v>304</v>
      </c>
      <c r="C17" t="s">
        <v>246</v>
      </c>
      <c r="D17" t="s">
        <v>305</v>
      </c>
      <c r="E17" t="s">
        <v>247</v>
      </c>
      <c r="F17" t="n">
        <v>58.0440869669435</v>
      </c>
      <c r="G17" t="n">
        <v>59.541665723208</v>
      </c>
      <c r="H17" t="n">
        <v>61.5151803003338</v>
      </c>
      <c r="I17" t="n">
        <v>63.1883039712404</v>
      </c>
      <c r="J17" t="n">
        <v>63.9225394345362</v>
      </c>
      <c r="K17" t="n">
        <v>66.3436909767314</v>
      </c>
      <c r="L17" t="n">
        <v>68.5012093824787</v>
      </c>
      <c r="M17" t="n">
        <v>70.9470616293588</v>
      </c>
      <c r="N17" t="n">
        <v>73.0077646642365</v>
      </c>
      <c r="O17" t="n">
        <v>76.2468285868242</v>
      </c>
      <c r="P17" t="n">
        <v>79.6897709877344</v>
      </c>
      <c r="Q17" t="n">
        <v>82.312423128969</v>
      </c>
      <c r="R17" t="n">
        <v>85.3067132056724</v>
      </c>
      <c r="S17" t="n">
        <v>88.4802977691269</v>
      </c>
      <c r="T17" t="n">
        <v>90.3015890166695</v>
      </c>
      <c r="U17" t="n">
        <v>93.0757983482128</v>
      </c>
      <c r="V17" t="n">
        <v>96.9582820178795</v>
      </c>
      <c r="W17" t="n">
        <v>97.6310194473184</v>
      </c>
      <c r="X17" t="n">
        <v>97.5086748114195</v>
      </c>
      <c r="Y17" t="n">
        <v>97.4423198098465</v>
      </c>
      <c r="Z17" t="n">
        <v>97.3539968369847</v>
      </c>
      <c r="AA17" t="n">
        <v>97.1471174387123</v>
      </c>
      <c r="AB17" t="n">
        <v>97.6761501791352</v>
      </c>
      <c r="AC17" t="n">
        <v>99.3609216805626</v>
      </c>
      <c r="AD17" t="n">
        <v>99.3799090533278</v>
      </c>
      <c r="AE17" t="n">
        <v>100</v>
      </c>
      <c r="AF17" t="n">
        <v>104.563579973416</v>
      </c>
    </row>
    <row r="18">
      <c r="A18" t="s">
        <v>82</v>
      </c>
      <c r="B18" t="s">
        <v>306</v>
      </c>
      <c r="C18" t="s">
        <v>246</v>
      </c>
      <c r="D18" t="s">
        <v>307</v>
      </c>
      <c r="E18" t="s">
        <v>247</v>
      </c>
      <c r="F18" t="n">
        <v>58.038767488678</v>
      </c>
      <c r="G18" t="n">
        <v>59.6092834102213</v>
      </c>
      <c r="H18" t="n">
        <v>61.6295036544974</v>
      </c>
      <c r="I18" t="n">
        <v>63.3137882264216</v>
      </c>
      <c r="J18" t="n">
        <v>64.0727257532911</v>
      </c>
      <c r="K18" t="n">
        <v>66.4590470103969</v>
      </c>
      <c r="L18" t="n">
        <v>68.5827383622329</v>
      </c>
      <c r="M18" t="n">
        <v>71.003005875016</v>
      </c>
      <c r="N18" t="n">
        <v>73.0556172012075</v>
      </c>
      <c r="O18" t="n">
        <v>76.314094879972</v>
      </c>
      <c r="P18" t="n">
        <v>79.8104002947278</v>
      </c>
      <c r="Q18" t="n">
        <v>82.4176366019966</v>
      </c>
      <c r="R18" t="n">
        <v>85.3878825964192</v>
      </c>
      <c r="S18" t="n">
        <v>88.5239214927501</v>
      </c>
      <c r="T18" t="n">
        <v>90.334050364559</v>
      </c>
      <c r="U18" t="n">
        <v>92.9990779040498</v>
      </c>
      <c r="V18" t="n">
        <v>96.840634642184</v>
      </c>
      <c r="W18" t="n">
        <v>97.6092111075982</v>
      </c>
      <c r="X18" t="n">
        <v>97.4983545362097</v>
      </c>
      <c r="Y18" t="n">
        <v>97.4633335755286</v>
      </c>
      <c r="Z18" t="n">
        <v>97.3585793476959</v>
      </c>
      <c r="AA18" t="n">
        <v>97.1787666626704</v>
      </c>
      <c r="AB18" t="n">
        <v>97.6826099117315</v>
      </c>
      <c r="AC18" t="n">
        <v>99.3695441319108</v>
      </c>
      <c r="AD18" t="n">
        <v>99.3695441319108</v>
      </c>
      <c r="AE18" t="n">
        <v>100</v>
      </c>
      <c r="AF18" t="n">
        <v>104.911622086657</v>
      </c>
    </row>
    <row r="19">
      <c r="A19" t="s">
        <v>82</v>
      </c>
      <c r="B19" t="s">
        <v>308</v>
      </c>
      <c r="C19" t="s">
        <v>246</v>
      </c>
      <c r="D19" t="s">
        <v>309</v>
      </c>
      <c r="E19" t="s">
        <v>247</v>
      </c>
      <c r="F19" t="n">
        <v>58.1099891702045</v>
      </c>
      <c r="G19" t="n">
        <v>59.5933162560539</v>
      </c>
      <c r="H19" t="n">
        <v>61.5453976497929</v>
      </c>
      <c r="I19" t="n">
        <v>63.2060829569882</v>
      </c>
      <c r="J19" t="n">
        <v>63.9014814313886</v>
      </c>
      <c r="K19" t="n">
        <v>66.3401994727413</v>
      </c>
      <c r="L19" t="n">
        <v>68.5164973703737</v>
      </c>
      <c r="M19" t="n">
        <v>70.9741082840914</v>
      </c>
      <c r="N19" t="n">
        <v>73.0258574828684</v>
      </c>
      <c r="O19" t="n">
        <v>76.2550147184003</v>
      </c>
      <c r="P19" t="n">
        <v>79.6625455693434</v>
      </c>
      <c r="Q19" t="n">
        <v>82.3032929362829</v>
      </c>
      <c r="R19" t="n">
        <v>85.3095593230632</v>
      </c>
      <c r="S19" t="n">
        <v>88.4872792978477</v>
      </c>
      <c r="T19" t="n">
        <v>90.316871352895</v>
      </c>
      <c r="U19" t="n">
        <v>93.1109152313426</v>
      </c>
      <c r="V19" t="n">
        <v>97.0078307028872</v>
      </c>
      <c r="W19" t="n">
        <v>97.617041313138</v>
      </c>
      <c r="X19" t="n">
        <v>97.4691367050878</v>
      </c>
      <c r="Y19" t="n">
        <v>97.4027408353977</v>
      </c>
      <c r="Z19" t="n">
        <v>97.3457468384197</v>
      </c>
      <c r="AA19" t="n">
        <v>97.1578932165779</v>
      </c>
      <c r="AB19" t="n">
        <v>97.6412658196454</v>
      </c>
      <c r="AC19" t="n">
        <v>99.3341513008585</v>
      </c>
      <c r="AD19" t="n">
        <v>99.3823249920811</v>
      </c>
      <c r="AE19" t="n">
        <v>100</v>
      </c>
      <c r="AF19" t="n">
        <v>104.372515616127</v>
      </c>
    </row>
    <row r="20">
      <c r="A20" t="s">
        <v>82</v>
      </c>
      <c r="B20" t="s">
        <v>310</v>
      </c>
      <c r="C20" t="s">
        <v>246</v>
      </c>
      <c r="D20" t="s">
        <v>311</v>
      </c>
      <c r="E20" t="s">
        <v>247</v>
      </c>
      <c r="F20" t="n">
        <v>58.1885932362954</v>
      </c>
      <c r="G20" t="n">
        <v>59.5541050098154</v>
      </c>
      <c r="H20" t="n">
        <v>61.4585295683404</v>
      </c>
      <c r="I20" t="n">
        <v>63.1336601563074</v>
      </c>
      <c r="J20" t="n">
        <v>63.7775418710928</v>
      </c>
      <c r="K20" t="n">
        <v>66.3004417867129</v>
      </c>
      <c r="L20" t="n">
        <v>68.5127389123294</v>
      </c>
      <c r="M20" t="n">
        <v>71.0289253221849</v>
      </c>
      <c r="N20" t="n">
        <v>73.1182701034605</v>
      </c>
      <c r="O20" t="n">
        <v>76.3205921096181</v>
      </c>
      <c r="P20" t="n">
        <v>79.6331542074017</v>
      </c>
      <c r="Q20" t="n">
        <v>82.3543788341692</v>
      </c>
      <c r="R20" t="n">
        <v>85.4032131827004</v>
      </c>
      <c r="S20" t="n">
        <v>88.6102556183489</v>
      </c>
      <c r="T20" t="n">
        <v>90.4196647213961</v>
      </c>
      <c r="U20" t="n">
        <v>93.3807888734516</v>
      </c>
      <c r="V20" t="n">
        <v>97.3793088859981</v>
      </c>
      <c r="W20" t="n">
        <v>97.8716780471176</v>
      </c>
      <c r="X20" t="n">
        <v>97.6549204426757</v>
      </c>
      <c r="Y20" t="n">
        <v>97.5208050488113</v>
      </c>
      <c r="Z20" t="n">
        <v>97.4230801072178</v>
      </c>
      <c r="AA20" t="n">
        <v>97.1781764488272</v>
      </c>
      <c r="AB20" t="n">
        <v>97.6672253962298</v>
      </c>
      <c r="AC20" t="n">
        <v>99.4053737656483</v>
      </c>
      <c r="AD20" t="n">
        <v>99.3706040171126</v>
      </c>
      <c r="AE20" t="n">
        <v>100</v>
      </c>
      <c r="AF20" t="n">
        <v>105.421111082414</v>
      </c>
    </row>
    <row r="21">
      <c r="A21" t="s">
        <v>82</v>
      </c>
      <c r="B21" t="s">
        <v>312</v>
      </c>
      <c r="C21" t="s">
        <v>246</v>
      </c>
      <c r="D21" t="s">
        <v>313</v>
      </c>
      <c r="E21" t="s">
        <v>247</v>
      </c>
      <c r="F21" t="n">
        <v>58.1848362472213</v>
      </c>
      <c r="G21" t="n">
        <v>59.5666889507163</v>
      </c>
      <c r="H21" t="n">
        <v>61.4794907312345</v>
      </c>
      <c r="I21" t="n">
        <v>63.1530833956393</v>
      </c>
      <c r="J21" t="n">
        <v>63.806394174738</v>
      </c>
      <c r="K21" t="n">
        <v>66.3154148108147</v>
      </c>
      <c r="L21" t="n">
        <v>68.5197898129207</v>
      </c>
      <c r="M21" t="n">
        <v>71.0284328871427</v>
      </c>
      <c r="N21" t="n">
        <v>73.1140298887035</v>
      </c>
      <c r="O21" t="n">
        <v>76.3206123907845</v>
      </c>
      <c r="P21" t="n">
        <v>79.6483013851194</v>
      </c>
      <c r="Q21" t="n">
        <v>82.3586214999877</v>
      </c>
      <c r="R21" t="n">
        <v>85.4012019603981</v>
      </c>
      <c r="S21" t="n">
        <v>88.6057098677039</v>
      </c>
      <c r="T21" t="n">
        <v>90.4161394528034</v>
      </c>
      <c r="U21" t="n">
        <v>93.3417957729174</v>
      </c>
      <c r="V21" t="n">
        <v>97.3243532764683</v>
      </c>
      <c r="W21" t="n">
        <v>97.8469144544814</v>
      </c>
      <c r="X21" t="n">
        <v>97.6368557408715</v>
      </c>
      <c r="Y21" t="n">
        <v>97.5091553831333</v>
      </c>
      <c r="Z21" t="n">
        <v>97.4114192812084</v>
      </c>
      <c r="AA21" t="n">
        <v>97.1739780737649</v>
      </c>
      <c r="AB21" t="n">
        <v>97.6665384642608</v>
      </c>
      <c r="AC21" t="n">
        <v>99.3961928501981</v>
      </c>
      <c r="AD21" t="n">
        <v>99.3703908092109</v>
      </c>
      <c r="AE21" t="n">
        <v>100</v>
      </c>
      <c r="AF21" t="n">
        <v>105.323473895999</v>
      </c>
    </row>
    <row r="22">
      <c r="A22" t="s">
        <v>82</v>
      </c>
      <c r="B22" t="s">
        <v>314</v>
      </c>
      <c r="C22" t="s">
        <v>246</v>
      </c>
      <c r="D22" t="s">
        <v>315</v>
      </c>
      <c r="E22" t="s">
        <v>247</v>
      </c>
      <c r="F22" t="n">
        <v>58.0904520622319</v>
      </c>
      <c r="G22" t="n">
        <v>59.6230723747694</v>
      </c>
      <c r="H22" t="n">
        <v>61.6029038296845</v>
      </c>
      <c r="I22" t="n">
        <v>63.2636204101994</v>
      </c>
      <c r="J22" t="n">
        <v>63.9793327578302</v>
      </c>
      <c r="K22" t="n">
        <v>66.4050645121981</v>
      </c>
      <c r="L22" t="n">
        <v>68.5611053589321</v>
      </c>
      <c r="M22" t="n">
        <v>71.0202133105029</v>
      </c>
      <c r="N22" t="n">
        <v>73.081367766202</v>
      </c>
      <c r="O22" t="n">
        <v>76.316715780059</v>
      </c>
      <c r="P22" t="n">
        <v>79.7413563809281</v>
      </c>
      <c r="Q22" t="n">
        <v>82.3846034920384</v>
      </c>
      <c r="R22" t="n">
        <v>85.3828509680616</v>
      </c>
      <c r="S22" t="n">
        <v>88.5668563784418</v>
      </c>
      <c r="T22" t="n">
        <v>90.3837334108488</v>
      </c>
      <c r="U22" t="n">
        <v>93.19601897938</v>
      </c>
      <c r="V22" t="n">
        <v>97.0993203849572</v>
      </c>
      <c r="W22" t="n">
        <v>97.7436958002037</v>
      </c>
      <c r="X22" t="n">
        <v>97.5626760629856</v>
      </c>
      <c r="Y22" t="n">
        <v>97.4652514051878</v>
      </c>
      <c r="Z22" t="n">
        <v>97.3674858739366</v>
      </c>
      <c r="AA22" t="n">
        <v>97.1545880571983</v>
      </c>
      <c r="AB22" t="n">
        <v>97.6573013894621</v>
      </c>
      <c r="AC22" t="n">
        <v>99.3481390831496</v>
      </c>
      <c r="AD22" t="n">
        <v>99.3690266307878</v>
      </c>
      <c r="AE22" t="n">
        <v>100</v>
      </c>
      <c r="AF22" t="n">
        <v>104.925200168563</v>
      </c>
    </row>
    <row r="23">
      <c r="A23" t="s">
        <v>82</v>
      </c>
      <c r="B23" t="s">
        <v>316</v>
      </c>
      <c r="C23" t="s">
        <v>246</v>
      </c>
      <c r="D23" t="s">
        <v>317</v>
      </c>
      <c r="E23" t="s">
        <v>247</v>
      </c>
      <c r="F23" t="n">
        <v>58.0605075285409</v>
      </c>
      <c r="G23" t="n">
        <v>59.5723262196918</v>
      </c>
      <c r="H23" t="n">
        <v>61.5671002683876</v>
      </c>
      <c r="I23" t="n">
        <v>63.2193482831803</v>
      </c>
      <c r="J23" t="n">
        <v>63.9407149666738</v>
      </c>
      <c r="K23" t="n">
        <v>66.3515391855331</v>
      </c>
      <c r="L23" t="n">
        <v>68.5030337007987</v>
      </c>
      <c r="M23" t="n">
        <v>70.950762694493</v>
      </c>
      <c r="N23" t="n">
        <v>73.0006808018583</v>
      </c>
      <c r="O23" t="n">
        <v>76.2329475576984</v>
      </c>
      <c r="P23" t="n">
        <v>79.6650058506005</v>
      </c>
      <c r="Q23" t="n">
        <v>82.3087281261748</v>
      </c>
      <c r="R23" t="n">
        <v>85.2990543069623</v>
      </c>
      <c r="S23" t="n">
        <v>88.4650730425128</v>
      </c>
      <c r="T23" t="n">
        <v>90.2829481255826</v>
      </c>
      <c r="U23" t="n">
        <v>93.0647005550219</v>
      </c>
      <c r="V23" t="n">
        <v>96.9454213497423</v>
      </c>
      <c r="W23" t="n">
        <v>97.6478274525386</v>
      </c>
      <c r="X23" t="n">
        <v>97.5170119487049</v>
      </c>
      <c r="Y23" t="n">
        <v>97.4473142681208</v>
      </c>
      <c r="Z23" t="n">
        <v>97.350518127887</v>
      </c>
      <c r="AA23" t="n">
        <v>97.1697582009929</v>
      </c>
      <c r="AB23" t="n">
        <v>97.6732726690992</v>
      </c>
      <c r="AC23" t="n">
        <v>99.3383930523822</v>
      </c>
      <c r="AD23" t="n">
        <v>99.372224774154</v>
      </c>
      <c r="AE23" t="n">
        <v>100</v>
      </c>
      <c r="AF23" t="n">
        <v>104.54585890935</v>
      </c>
    </row>
    <row r="24">
      <c r="A24" t="s">
        <v>82</v>
      </c>
      <c r="B24" t="s">
        <v>318</v>
      </c>
      <c r="C24" t="s">
        <v>246</v>
      </c>
      <c r="D24" t="s">
        <v>319</v>
      </c>
      <c r="E24" t="s">
        <v>247</v>
      </c>
      <c r="F24" t="n">
        <v>58.0416372691689</v>
      </c>
      <c r="G24" t="n">
        <v>59.7421944824965</v>
      </c>
      <c r="H24" t="n">
        <v>61.8016294174848</v>
      </c>
      <c r="I24" t="n">
        <v>63.4429992694468</v>
      </c>
      <c r="J24" t="n">
        <v>64.2200215882249</v>
      </c>
      <c r="K24" t="n">
        <v>66.5704060901556</v>
      </c>
      <c r="L24" t="n">
        <v>68.6764180604221</v>
      </c>
      <c r="M24" t="n">
        <v>71.0777728711958</v>
      </c>
      <c r="N24" t="n">
        <v>73.1097782039027</v>
      </c>
      <c r="O24" t="n">
        <v>76.3786843437128</v>
      </c>
      <c r="P24" t="n">
        <v>79.9236865706362</v>
      </c>
      <c r="Q24" t="n">
        <v>82.4947026993977</v>
      </c>
      <c r="R24" t="n">
        <v>85.4444407164892</v>
      </c>
      <c r="S24" t="n">
        <v>88.5850202019241</v>
      </c>
      <c r="T24" t="n">
        <v>90.4200724082914</v>
      </c>
      <c r="U24" t="n">
        <v>93.0698975031314</v>
      </c>
      <c r="V24" t="n">
        <v>96.8625076193259</v>
      </c>
      <c r="W24" t="n">
        <v>97.6246412540526</v>
      </c>
      <c r="X24" t="n">
        <v>97.489954423106</v>
      </c>
      <c r="Y24" t="n">
        <v>97.4324601739839</v>
      </c>
      <c r="Z24" t="n">
        <v>97.3336004262013</v>
      </c>
      <c r="AA24" t="n">
        <v>97.1605804909608</v>
      </c>
      <c r="AB24" t="n">
        <v>97.6671780156182</v>
      </c>
      <c r="AC24" t="n">
        <v>99.338036350801</v>
      </c>
      <c r="AD24" t="n">
        <v>99.3698267023431</v>
      </c>
      <c r="AE24" t="n">
        <v>100</v>
      </c>
      <c r="AF24" t="n">
        <v>104.584125922365</v>
      </c>
    </row>
    <row r="25">
      <c r="A25" t="s">
        <v>82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82</v>
      </c>
      <c r="B28" t="s">
        <v>326</v>
      </c>
      <c r="C28" t="s">
        <v>246</v>
      </c>
      <c r="D28" t="s">
        <v>327</v>
      </c>
      <c r="E28" t="s">
        <v>247</v>
      </c>
      <c r="F28" t="n">
        <v>58.1022708435871</v>
      </c>
      <c r="G28" t="n">
        <v>59.503065603673</v>
      </c>
      <c r="H28" t="n">
        <v>61.420921309976</v>
      </c>
      <c r="I28" t="n">
        <v>63.0915733232463</v>
      </c>
      <c r="J28" t="n">
        <v>63.7490773674287</v>
      </c>
      <c r="K28" t="n">
        <v>66.2498154080629</v>
      </c>
      <c r="L28" t="n">
        <v>68.4486618976238</v>
      </c>
      <c r="M28" t="n">
        <v>70.9523292526427</v>
      </c>
      <c r="N28" t="n">
        <v>73.0322787835552</v>
      </c>
      <c r="O28" t="n">
        <v>76.2371256778828</v>
      </c>
      <c r="P28" t="n">
        <v>79.5623829627445</v>
      </c>
      <c r="Q28" t="n">
        <v>82.2661296461138</v>
      </c>
      <c r="R28" t="n">
        <v>85.3015244035017</v>
      </c>
      <c r="S28" t="n">
        <v>88.5005521597614</v>
      </c>
      <c r="T28" t="n">
        <v>90.3094375624542</v>
      </c>
      <c r="U28" t="n">
        <v>93.2329873227729</v>
      </c>
      <c r="V28" t="n">
        <v>97.2110062905279</v>
      </c>
      <c r="W28" t="n">
        <v>97.7744965407848</v>
      </c>
      <c r="X28" t="n">
        <v>97.5867283649217</v>
      </c>
      <c r="Y28" t="n">
        <v>97.4996037636737</v>
      </c>
      <c r="Z28" t="n">
        <v>97.4009277030842</v>
      </c>
      <c r="AA28" t="n">
        <v>97.1714342111359</v>
      </c>
      <c r="AB28" t="n">
        <v>97.6609442853258</v>
      </c>
      <c r="AC28" t="n">
        <v>99.4041135826057</v>
      </c>
      <c r="AD28" t="n">
        <v>99.371497005988</v>
      </c>
      <c r="AE28" t="n">
        <v>100</v>
      </c>
      <c r="AF28" t="n">
        <v>105.537837697846</v>
      </c>
    </row>
    <row r="29">
      <c r="A29" t="s">
        <v>82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82</v>
      </c>
      <c r="B34" t="s">
        <v>338</v>
      </c>
      <c r="C34" t="s">
        <v>246</v>
      </c>
      <c r="D34" t="s">
        <v>339</v>
      </c>
      <c r="E34" t="s">
        <v>247</v>
      </c>
      <c r="F34" t="n">
        <v>58.1133713602265</v>
      </c>
      <c r="G34" t="n">
        <v>59.7207429404445</v>
      </c>
      <c r="H34" t="n">
        <v>61.7377625293704</v>
      </c>
      <c r="I34" t="n">
        <v>63.3900570780769</v>
      </c>
      <c r="J34" t="n">
        <v>64.1254753934538</v>
      </c>
      <c r="K34" t="n">
        <v>66.5041674670239</v>
      </c>
      <c r="L34" t="n">
        <v>68.6235663336697</v>
      </c>
      <c r="M34" t="n">
        <v>71.054257096087</v>
      </c>
      <c r="N34" t="n">
        <v>73.0993384446696</v>
      </c>
      <c r="O34" t="n">
        <v>76.3516136740259</v>
      </c>
      <c r="P34" t="n">
        <v>79.8431934999899</v>
      </c>
      <c r="Q34" t="n">
        <v>82.4306536850319</v>
      </c>
      <c r="R34" t="n">
        <v>85.3916103787722</v>
      </c>
      <c r="S34" t="n">
        <v>88.5220021534595</v>
      </c>
      <c r="T34" t="n">
        <v>90.3542325884394</v>
      </c>
      <c r="U34" t="n">
        <v>93.0338682526598</v>
      </c>
      <c r="V34" t="n">
        <v>96.8465283348428</v>
      </c>
      <c r="W34" t="n">
        <v>97.6141540113635</v>
      </c>
      <c r="X34" t="n">
        <v>97.4917597210329</v>
      </c>
      <c r="Y34" t="n">
        <v>97.4426772758339</v>
      </c>
      <c r="Z34" t="n">
        <v>97.34276066323</v>
      </c>
      <c r="AA34" t="n">
        <v>97.1599637138693</v>
      </c>
      <c r="AB34" t="n">
        <v>97.6672331766007</v>
      </c>
      <c r="AC34" t="n">
        <v>99.3270724652326</v>
      </c>
      <c r="AD34" t="n">
        <v>99.3697478991597</v>
      </c>
      <c r="AE34" t="n">
        <v>100</v>
      </c>
      <c r="AF34" t="n">
        <v>104.27507584812</v>
      </c>
    </row>
    <row r="35">
      <c r="A35" t="s">
        <v>82</v>
      </c>
      <c r="B35" t="s">
        <v>340</v>
      </c>
      <c r="C35" t="s">
        <v>246</v>
      </c>
      <c r="D35" t="s">
        <v>341</v>
      </c>
      <c r="E35" t="s">
        <v>247</v>
      </c>
      <c r="F35" t="n">
        <v>58.2420764823665</v>
      </c>
      <c r="G35" t="n">
        <v>59.6372989512086</v>
      </c>
      <c r="H35" t="n">
        <v>61.5587227745979</v>
      </c>
      <c r="I35" t="n">
        <v>63.2301903461827</v>
      </c>
      <c r="J35" t="n">
        <v>63.886919365611</v>
      </c>
      <c r="K35" t="n">
        <v>66.3831939524001</v>
      </c>
      <c r="L35" t="n">
        <v>68.5777283266131</v>
      </c>
      <c r="M35" t="n">
        <v>71.0646813030995</v>
      </c>
      <c r="N35" t="n">
        <v>73.1461422176506</v>
      </c>
      <c r="O35" t="n">
        <v>76.3676758597138</v>
      </c>
      <c r="P35" t="n">
        <v>79.7329640939596</v>
      </c>
      <c r="Q35" t="n">
        <v>82.427654226659</v>
      </c>
      <c r="R35" t="n">
        <v>85.4616399525504</v>
      </c>
      <c r="S35" t="n">
        <v>88.6554263885827</v>
      </c>
      <c r="T35" t="n">
        <v>90.4644771122503</v>
      </c>
      <c r="U35" t="n">
        <v>93.3520908260633</v>
      </c>
      <c r="V35" t="n">
        <v>97.3148290070184</v>
      </c>
      <c r="W35" t="n">
        <v>97.8227144224255</v>
      </c>
      <c r="X35" t="n">
        <v>97.6369228291921</v>
      </c>
      <c r="Y35" t="n">
        <v>97.5072876141057</v>
      </c>
      <c r="Z35" t="n">
        <v>97.4094646250269</v>
      </c>
      <c r="AA35" t="n">
        <v>97.1714511386958</v>
      </c>
      <c r="AB35" t="n">
        <v>97.6650938450727</v>
      </c>
      <c r="AC35" t="n">
        <v>99.4028135194216</v>
      </c>
      <c r="AD35" t="n">
        <v>99.3687856105463</v>
      </c>
      <c r="AE35" t="n">
        <v>100</v>
      </c>
      <c r="AF35" t="n">
        <v>105.206835968695</v>
      </c>
    </row>
    <row r="36">
      <c r="A36" t="s">
        <v>82</v>
      </c>
      <c r="B36" t="s">
        <v>342</v>
      </c>
      <c r="C36" t="s">
        <v>246</v>
      </c>
      <c r="D36" t="s">
        <v>343</v>
      </c>
      <c r="E36" t="s">
        <v>247</v>
      </c>
      <c r="F36" t="n">
        <v>58.0336089760723</v>
      </c>
      <c r="G36" t="n">
        <v>59.6308642689917</v>
      </c>
      <c r="H36" t="n">
        <v>61.6352630679494</v>
      </c>
      <c r="I36" t="n">
        <v>63.2667847373951</v>
      </c>
      <c r="J36" t="n">
        <v>63.9827668691969</v>
      </c>
      <c r="K36" t="n">
        <v>66.3400267012199</v>
      </c>
      <c r="L36" t="n">
        <v>68.458285899227</v>
      </c>
      <c r="M36" t="n">
        <v>70.8510814371739</v>
      </c>
      <c r="N36" t="n">
        <v>72.9191223431042</v>
      </c>
      <c r="O36" t="n">
        <v>76.2016551817005</v>
      </c>
      <c r="P36" t="n">
        <v>79.7316886212481</v>
      </c>
      <c r="Q36" t="n">
        <v>82.3220618708013</v>
      </c>
      <c r="R36" t="n">
        <v>85.2931523880707</v>
      </c>
      <c r="S36" t="n">
        <v>88.4402034222568</v>
      </c>
      <c r="T36" t="n">
        <v>90.299092095643</v>
      </c>
      <c r="U36" t="n">
        <v>93.0255139584341</v>
      </c>
      <c r="V36" t="n">
        <v>96.8730281334855</v>
      </c>
      <c r="W36" t="n">
        <v>97.5853298109376</v>
      </c>
      <c r="X36" t="n">
        <v>97.5025602351862</v>
      </c>
      <c r="Y36" t="n">
        <v>97.3760977705491</v>
      </c>
      <c r="Z36" t="n">
        <v>97.2937152851256</v>
      </c>
      <c r="AA36" t="n">
        <v>97.087365941997</v>
      </c>
      <c r="AB36" t="n">
        <v>97.641698373966</v>
      </c>
      <c r="AC36" t="n">
        <v>99.3618960802188</v>
      </c>
      <c r="AD36" t="n">
        <v>99.3618960802188</v>
      </c>
      <c r="AE36" t="n">
        <v>100</v>
      </c>
      <c r="AF36" t="n">
        <v>104.626708727655</v>
      </c>
    </row>
    <row r="37">
      <c r="A37" t="s">
        <v>82</v>
      </c>
      <c r="B37" t="s">
        <v>344</v>
      </c>
      <c r="C37" t="s">
        <v>246</v>
      </c>
      <c r="D37" t="s">
        <v>345</v>
      </c>
      <c r="E37" t="s">
        <v>247</v>
      </c>
      <c r="F37" t="n">
        <v>58.233375132946</v>
      </c>
      <c r="G37" t="n">
        <v>59.6050484809282</v>
      </c>
      <c r="H37" t="n">
        <v>61.5139114881125</v>
      </c>
      <c r="I37" t="n">
        <v>63.1869962268662</v>
      </c>
      <c r="J37" t="n">
        <v>63.8321053692967</v>
      </c>
      <c r="K37" t="n">
        <v>66.3534459071349</v>
      </c>
      <c r="L37" t="n">
        <v>68.5580012097042</v>
      </c>
      <c r="M37" t="n">
        <v>71.068819229648</v>
      </c>
      <c r="N37" t="n">
        <v>73.1586332193543</v>
      </c>
      <c r="O37" t="n">
        <v>76.3605235315137</v>
      </c>
      <c r="P37" t="n">
        <v>79.6845842274834</v>
      </c>
      <c r="Q37" t="n">
        <v>82.399466041867</v>
      </c>
      <c r="R37" t="n">
        <v>85.445772665188</v>
      </c>
      <c r="S37" t="n">
        <v>88.6512011571335</v>
      </c>
      <c r="T37" t="n">
        <v>90.4585952983719</v>
      </c>
      <c r="U37" t="n">
        <v>93.3916501666614</v>
      </c>
      <c r="V37" t="n">
        <v>97.3834961813003</v>
      </c>
      <c r="W37" t="n">
        <v>97.8641976943654</v>
      </c>
      <c r="X37" t="n">
        <v>97.6547505082887</v>
      </c>
      <c r="Y37" t="n">
        <v>97.518236275233</v>
      </c>
      <c r="Z37" t="n">
        <v>97.4197031477446</v>
      </c>
      <c r="AA37" t="n">
        <v>97.1762901285054</v>
      </c>
      <c r="AB37" t="n">
        <v>97.6655624219411</v>
      </c>
      <c r="AC37" t="n">
        <v>99.4091961917339</v>
      </c>
      <c r="AD37" t="n">
        <v>99.3705956754803</v>
      </c>
      <c r="AE37" t="n">
        <v>100</v>
      </c>
      <c r="AF37" t="n">
        <v>105.351029404868</v>
      </c>
    </row>
    <row r="38">
      <c r="A38" t="s">
        <v>82</v>
      </c>
      <c r="B38" t="s">
        <v>346</v>
      </c>
      <c r="C38" t="s">
        <v>246</v>
      </c>
      <c r="D38" t="s">
        <v>347</v>
      </c>
      <c r="E38" t="s">
        <v>247</v>
      </c>
      <c r="F38" t="n">
        <v>58.1718883863756</v>
      </c>
      <c r="G38" t="n">
        <v>59.6882172305703</v>
      </c>
      <c r="H38" t="n">
        <v>61.6607776531228</v>
      </c>
      <c r="I38" t="n">
        <v>63.3418894099752</v>
      </c>
      <c r="J38" t="n">
        <v>64.0527552686813</v>
      </c>
      <c r="K38" t="n">
        <v>66.4141471679876</v>
      </c>
      <c r="L38" t="n">
        <v>68.52008686937</v>
      </c>
      <c r="M38" t="n">
        <v>70.9288514158865</v>
      </c>
      <c r="N38" t="n">
        <v>72.9397209147905</v>
      </c>
      <c r="O38" t="n">
        <v>76.2626215863867</v>
      </c>
      <c r="P38" t="n">
        <v>79.9099643579096</v>
      </c>
      <c r="Q38" t="n">
        <v>82.4301209211025</v>
      </c>
      <c r="R38" t="n">
        <v>85.4241469100562</v>
      </c>
      <c r="S38" t="n">
        <v>88.5422906755943</v>
      </c>
      <c r="T38" t="n">
        <v>90.3195994300314</v>
      </c>
      <c r="U38" t="n">
        <v>92.9275312933618</v>
      </c>
      <c r="V38" t="n">
        <v>96.7037383953888</v>
      </c>
      <c r="W38" t="n">
        <v>97.5037693231687</v>
      </c>
      <c r="X38" t="n">
        <v>97.3967986491992</v>
      </c>
      <c r="Y38" t="n">
        <v>97.3967986491992</v>
      </c>
      <c r="Z38" t="n">
        <v>97.294598440753</v>
      </c>
      <c r="AA38" t="n">
        <v>97.1108503794863</v>
      </c>
      <c r="AB38" t="n">
        <v>97.6383400610696</v>
      </c>
      <c r="AC38" t="n">
        <v>99.253410347794</v>
      </c>
      <c r="AD38" t="n">
        <v>99.3337774816789</v>
      </c>
      <c r="AE38" t="n">
        <v>100</v>
      </c>
      <c r="AF38" t="n">
        <v>104.296028880866</v>
      </c>
    </row>
    <row r="39">
      <c r="A39" t="s">
        <v>82</v>
      </c>
      <c r="B39" t="s">
        <v>348</v>
      </c>
      <c r="C39" t="s">
        <v>246</v>
      </c>
      <c r="D39" t="s">
        <v>349</v>
      </c>
      <c r="E39" t="s">
        <v>247</v>
      </c>
      <c r="F39" t="n">
        <v>58.3241269057099</v>
      </c>
      <c r="G39" t="n">
        <v>59.8339790427262</v>
      </c>
      <c r="H39" t="n">
        <v>61.7915496229308</v>
      </c>
      <c r="I39" t="n">
        <v>63.4396730887414</v>
      </c>
      <c r="J39" t="n">
        <v>64.1098104805239</v>
      </c>
      <c r="K39" t="n">
        <v>66.4775990682515</v>
      </c>
      <c r="L39" t="n">
        <v>68.6057389863768</v>
      </c>
      <c r="M39" t="n">
        <v>71.0125599669068</v>
      </c>
      <c r="N39" t="n">
        <v>73.0328635237719</v>
      </c>
      <c r="O39" t="n">
        <v>76.4030505409577</v>
      </c>
      <c r="P39" t="n">
        <v>80.0329407089582</v>
      </c>
      <c r="Q39" t="n">
        <v>82.6238969956752</v>
      </c>
      <c r="R39" t="n">
        <v>85.5570690756743</v>
      </c>
      <c r="S39" t="n">
        <v>88.7226670646257</v>
      </c>
      <c r="T39" t="n">
        <v>90.5024539692807</v>
      </c>
      <c r="U39" t="n">
        <v>93.2917891082939</v>
      </c>
      <c r="V39" t="n">
        <v>97.1077739537497</v>
      </c>
      <c r="W39" t="n">
        <v>97.6598286864318</v>
      </c>
      <c r="X39" t="n">
        <v>97.4805876168558</v>
      </c>
      <c r="Y39" t="n">
        <v>97.4378048265916</v>
      </c>
      <c r="Z39" t="n">
        <v>97.3297267335002</v>
      </c>
      <c r="AA39" t="n">
        <v>97.1399282305802</v>
      </c>
      <c r="AB39" t="n">
        <v>97.6390921619881</v>
      </c>
      <c r="AC39" t="n">
        <v>99.3417990305973</v>
      </c>
      <c r="AD39" t="n">
        <v>99.3686207799005</v>
      </c>
      <c r="AE39" t="n">
        <v>100</v>
      </c>
      <c r="AF39" t="n">
        <v>105.292493222872</v>
      </c>
    </row>
    <row r="40">
      <c r="A40" t="s">
        <v>82</v>
      </c>
      <c r="B40" t="s">
        <v>350</v>
      </c>
      <c r="C40" t="s">
        <v>246</v>
      </c>
      <c r="D40" t="s">
        <v>351</v>
      </c>
      <c r="E40" t="s">
        <v>247</v>
      </c>
      <c r="F40" t="n">
        <v>57.9919199783358</v>
      </c>
      <c r="G40" t="n">
        <v>59.6262997012978</v>
      </c>
      <c r="H40" t="n">
        <v>61.6497678926975</v>
      </c>
      <c r="I40" t="n">
        <v>63.3043974508085</v>
      </c>
      <c r="J40" t="n">
        <v>64.0482220338056</v>
      </c>
      <c r="K40" t="n">
        <v>66.4445342311803</v>
      </c>
      <c r="L40" t="n">
        <v>68.5840357672828</v>
      </c>
      <c r="M40" t="n">
        <v>71.0072730237329</v>
      </c>
      <c r="N40" t="n">
        <v>73.0600236499408</v>
      </c>
      <c r="O40" t="n">
        <v>76.3071358121604</v>
      </c>
      <c r="P40" t="n">
        <v>79.8038233557127</v>
      </c>
      <c r="Q40" t="n">
        <v>82.3994615924901</v>
      </c>
      <c r="R40" t="n">
        <v>85.3732204590915</v>
      </c>
      <c r="S40" t="n">
        <v>88.544036734461</v>
      </c>
      <c r="T40" t="n">
        <v>90.3646447685541</v>
      </c>
      <c r="U40" t="n">
        <v>93.0901770290259</v>
      </c>
      <c r="V40" t="n">
        <v>96.9285838438498</v>
      </c>
      <c r="W40" t="n">
        <v>97.6458624791688</v>
      </c>
      <c r="X40" t="n">
        <v>97.512915062328</v>
      </c>
      <c r="Y40" t="n">
        <v>97.4515867693432</v>
      </c>
      <c r="Z40" t="n">
        <v>97.3519190413274</v>
      </c>
      <c r="AA40" t="n">
        <v>97.1622690058657</v>
      </c>
      <c r="AB40" t="n">
        <v>97.6657985662817</v>
      </c>
      <c r="AC40" t="n">
        <v>99.3332086269118</v>
      </c>
      <c r="AD40" t="n">
        <v>99.3705907920693</v>
      </c>
      <c r="AE40" t="n">
        <v>100</v>
      </c>
      <c r="AF40" t="n">
        <v>106.411030524319</v>
      </c>
    </row>
    <row r="41">
      <c r="A41" t="s">
        <v>82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82</v>
      </c>
      <c r="B42" t="s">
        <v>354</v>
      </c>
      <c r="C42" t="s">
        <v>246</v>
      </c>
      <c r="D42" t="s">
        <v>355</v>
      </c>
      <c r="E42" t="s">
        <v>247</v>
      </c>
      <c r="F42" t="n">
        <v>58.2193661583359</v>
      </c>
      <c r="G42" t="n">
        <v>59.6169559670217</v>
      </c>
      <c r="H42" t="n">
        <v>61.5375021995164</v>
      </c>
      <c r="I42" t="n">
        <v>63.2062865081446</v>
      </c>
      <c r="J42" t="n">
        <v>63.8577606433779</v>
      </c>
      <c r="K42" t="n">
        <v>66.3578065077165</v>
      </c>
      <c r="L42" t="n">
        <v>68.5533183494993</v>
      </c>
      <c r="M42" t="n">
        <v>71.058104369364</v>
      </c>
      <c r="N42" t="n">
        <v>73.1386895816946</v>
      </c>
      <c r="O42" t="n">
        <v>76.3570254533298</v>
      </c>
      <c r="P42" t="n">
        <v>79.7032696067624</v>
      </c>
      <c r="Q42" t="n">
        <v>82.402837321009</v>
      </c>
      <c r="R42" t="n">
        <v>85.4403839253702</v>
      </c>
      <c r="S42" t="n">
        <v>88.6451935606945</v>
      </c>
      <c r="T42" t="n">
        <v>90.4524759593132</v>
      </c>
      <c r="U42" t="n">
        <v>93.365809239418</v>
      </c>
      <c r="V42" t="n">
        <v>97.3371583479823</v>
      </c>
      <c r="W42" t="n">
        <v>97.8306829810663</v>
      </c>
      <c r="X42" t="n">
        <v>97.6087417564638</v>
      </c>
      <c r="Y42" t="n">
        <v>97.4944725668636</v>
      </c>
      <c r="Z42" t="n">
        <v>97.3948980942011</v>
      </c>
      <c r="AA42" t="n">
        <v>97.1704858866108</v>
      </c>
      <c r="AB42" t="n">
        <v>97.6673290899356</v>
      </c>
      <c r="AC42" t="n">
        <v>99.393952196256</v>
      </c>
      <c r="AD42" t="n">
        <v>99.3680514921006</v>
      </c>
      <c r="AE42" t="n">
        <v>100</v>
      </c>
      <c r="AF42" t="n">
        <v>105.257856567284</v>
      </c>
    </row>
    <row r="43">
      <c r="A43" t="s">
        <v>82</v>
      </c>
      <c r="B43" t="s">
        <v>356</v>
      </c>
      <c r="C43" t="s">
        <v>246</v>
      </c>
      <c r="D43" t="s">
        <v>357</v>
      </c>
      <c r="E43" t="s">
        <v>247</v>
      </c>
      <c r="F43" t="n">
        <v>58.2400142824208</v>
      </c>
      <c r="G43" t="n">
        <v>59.6706593109245</v>
      </c>
      <c r="H43" t="n">
        <v>61.6102070518802</v>
      </c>
      <c r="I43" t="n">
        <v>63.2737632551366</v>
      </c>
      <c r="J43" t="n">
        <v>63.9430366309929</v>
      </c>
      <c r="K43" t="n">
        <v>66.4252043932924</v>
      </c>
      <c r="L43" t="n">
        <v>68.6056130151452</v>
      </c>
      <c r="M43" t="n">
        <v>71.0957614182032</v>
      </c>
      <c r="N43" t="n">
        <v>73.1678237361994</v>
      </c>
      <c r="O43" t="n">
        <v>76.4065565656286</v>
      </c>
      <c r="P43" t="n">
        <v>79.7907864747292</v>
      </c>
      <c r="Q43" t="n">
        <v>82.472729551636</v>
      </c>
      <c r="R43" t="n">
        <v>85.4982768960067</v>
      </c>
      <c r="S43" t="n">
        <v>88.6930854178649</v>
      </c>
      <c r="T43" t="n">
        <v>90.4994482265721</v>
      </c>
      <c r="U43" t="n">
        <v>93.3741038270624</v>
      </c>
      <c r="V43" t="n">
        <v>97.3168076869703</v>
      </c>
      <c r="W43" t="n">
        <v>97.8290240660561</v>
      </c>
      <c r="X43" t="n">
        <v>97.6101671889508</v>
      </c>
      <c r="Y43" t="n">
        <v>97.4944841809156</v>
      </c>
      <c r="Z43" t="n">
        <v>97.3957510446617</v>
      </c>
      <c r="AA43" t="n">
        <v>97.1785184734799</v>
      </c>
      <c r="AB43" t="n">
        <v>97.6700362133143</v>
      </c>
      <c r="AC43" t="n">
        <v>99.3749772945904</v>
      </c>
      <c r="AD43" t="n">
        <v>99.3647482696501</v>
      </c>
      <c r="AE43" t="n">
        <v>100</v>
      </c>
      <c r="AF43" t="n">
        <v>105.046192065833</v>
      </c>
    </row>
    <row r="44">
      <c r="A44" t="s">
        <v>82</v>
      </c>
      <c r="B44" t="s">
        <v>358</v>
      </c>
      <c r="C44" t="s">
        <v>246</v>
      </c>
      <c r="D44" t="s">
        <v>359</v>
      </c>
      <c r="E44" t="s">
        <v>247</v>
      </c>
      <c r="F44" t="n">
        <v>58.1514749514426</v>
      </c>
      <c r="G44" t="n">
        <v>59.6207142376053</v>
      </c>
      <c r="H44" t="n">
        <v>61.5739822678171</v>
      </c>
      <c r="I44" t="n">
        <v>63.2366557483827</v>
      </c>
      <c r="J44" t="n">
        <v>63.9247891139012</v>
      </c>
      <c r="K44" t="n">
        <v>66.3781282525669</v>
      </c>
      <c r="L44" t="n">
        <v>68.5485257414931</v>
      </c>
      <c r="M44" t="n">
        <v>71.0193614073722</v>
      </c>
      <c r="N44" t="n">
        <v>73.085732648198</v>
      </c>
      <c r="O44" t="n">
        <v>76.3165153695187</v>
      </c>
      <c r="P44" t="n">
        <v>79.7108195641902</v>
      </c>
      <c r="Q44" t="n">
        <v>82.3767294992468</v>
      </c>
      <c r="R44" t="n">
        <v>85.3871174821878</v>
      </c>
      <c r="S44" t="n">
        <v>88.5694791546402</v>
      </c>
      <c r="T44" t="n">
        <v>90.3837464365987</v>
      </c>
      <c r="U44" t="n">
        <v>93.2223110620541</v>
      </c>
      <c r="V44" t="n">
        <v>97.1444089067796</v>
      </c>
      <c r="W44" t="n">
        <v>97.7491328863895</v>
      </c>
      <c r="X44" t="n">
        <v>97.5721407067465</v>
      </c>
      <c r="Y44" t="n">
        <v>97.4798862766239</v>
      </c>
      <c r="Z44" t="n">
        <v>97.3801639431093</v>
      </c>
      <c r="AA44" t="n">
        <v>97.165981414141</v>
      </c>
      <c r="AB44" t="n">
        <v>97.6631255946316</v>
      </c>
      <c r="AC44" t="n">
        <v>99.3763609809605</v>
      </c>
      <c r="AD44" t="n">
        <v>99.3702476685299</v>
      </c>
      <c r="AE44" t="n">
        <v>100</v>
      </c>
      <c r="AF44" t="n">
        <v>105.138225082441</v>
      </c>
    </row>
    <row r="45">
      <c r="A45" t="s">
        <v>82</v>
      </c>
      <c r="B45" t="s">
        <v>360</v>
      </c>
      <c r="C45" t="s">
        <v>246</v>
      </c>
      <c r="D45" t="s">
        <v>361</v>
      </c>
      <c r="E45" t="s">
        <v>247</v>
      </c>
      <c r="F45" t="n">
        <v>58.154403605451</v>
      </c>
      <c r="G45" t="n">
        <v>59.6173140089612</v>
      </c>
      <c r="H45" t="n">
        <v>61.5674856003835</v>
      </c>
      <c r="I45" t="n">
        <v>63.2309651184698</v>
      </c>
      <c r="J45" t="n">
        <v>63.916904275559</v>
      </c>
      <c r="K45" t="n">
        <v>66.3742661333539</v>
      </c>
      <c r="L45" t="n">
        <v>68.5465364117238</v>
      </c>
      <c r="M45" t="n">
        <v>71.0191300622995</v>
      </c>
      <c r="N45" t="n">
        <v>73.0864816894206</v>
      </c>
      <c r="O45" t="n">
        <v>76.3160112881697</v>
      </c>
      <c r="P45" t="n">
        <v>79.7055555389274</v>
      </c>
      <c r="Q45" t="n">
        <v>82.3742592048491</v>
      </c>
      <c r="R45" t="n">
        <v>85.3864229713289</v>
      </c>
      <c r="S45" t="n">
        <v>88.5698537187876</v>
      </c>
      <c r="T45" t="n">
        <v>90.3838380246643</v>
      </c>
      <c r="U45" t="n">
        <v>93.2255518951388</v>
      </c>
      <c r="V45" t="n">
        <v>97.1507621152248</v>
      </c>
      <c r="W45" t="n">
        <v>97.7524339126916</v>
      </c>
      <c r="X45" t="n">
        <v>97.5736704810464</v>
      </c>
      <c r="Y45" t="n">
        <v>97.4804321088645</v>
      </c>
      <c r="Z45" t="n">
        <v>97.3809274206182</v>
      </c>
      <c r="AA45" t="n">
        <v>97.1661152175914</v>
      </c>
      <c r="AB45" t="n">
        <v>97.6631557826359</v>
      </c>
      <c r="AC45" t="n">
        <v>99.3776555992235</v>
      </c>
      <c r="AD45" t="n">
        <v>99.3703983947483</v>
      </c>
      <c r="AE45" t="n">
        <v>100</v>
      </c>
      <c r="AF45" t="n">
        <v>105.123977410211</v>
      </c>
    </row>
    <row r="46">
      <c r="A46" t="s">
        <v>82</v>
      </c>
      <c r="B46" t="s">
        <v>362</v>
      </c>
      <c r="C46" t="s">
        <v>246</v>
      </c>
      <c r="D46" t="s">
        <v>363</v>
      </c>
      <c r="E46" t="s">
        <v>247</v>
      </c>
      <c r="F46" t="n">
        <v>58.2238606628613</v>
      </c>
      <c r="G46" t="n">
        <v>59.808972407335</v>
      </c>
      <c r="H46" t="n">
        <v>61.8278406742492</v>
      </c>
      <c r="I46" t="n">
        <v>63.4574116687644</v>
      </c>
      <c r="J46" t="n">
        <v>64.2091282926786</v>
      </c>
      <c r="K46" t="n">
        <v>66.5885213389702</v>
      </c>
      <c r="L46" t="n">
        <v>68.6857976016149</v>
      </c>
      <c r="M46" t="n">
        <v>71.0968830812679</v>
      </c>
      <c r="N46" t="n">
        <v>73.1258724171776</v>
      </c>
      <c r="O46" t="n">
        <v>76.4497757088674</v>
      </c>
      <c r="P46" t="n">
        <v>80.004847583395</v>
      </c>
      <c r="Q46" t="n">
        <v>82.6050844053682</v>
      </c>
      <c r="R46" t="n">
        <v>85.569603322346</v>
      </c>
      <c r="S46" t="n">
        <v>88.7243717319463</v>
      </c>
      <c r="T46" t="n">
        <v>90.5217346952086</v>
      </c>
      <c r="U46" t="n">
        <v>93.2363426560799</v>
      </c>
      <c r="V46" t="n">
        <v>97.0692538013666</v>
      </c>
      <c r="W46" t="n">
        <v>97.7845009346398</v>
      </c>
      <c r="X46" t="n">
        <v>97.5859537246202</v>
      </c>
      <c r="Y46" t="n">
        <v>97.4671534331294</v>
      </c>
      <c r="Z46" t="n">
        <v>97.372063527341</v>
      </c>
      <c r="AA46" t="n">
        <v>97.1835406550712</v>
      </c>
      <c r="AB46" t="n">
        <v>97.6609055702823</v>
      </c>
      <c r="AC46" t="n">
        <v>99.3019719134369</v>
      </c>
      <c r="AD46" t="n">
        <v>99.3506493506494</v>
      </c>
      <c r="AE46" t="n">
        <v>100</v>
      </c>
      <c r="AF46" t="n">
        <v>104.334575008466</v>
      </c>
    </row>
    <row r="47">
      <c r="A47" t="s">
        <v>82</v>
      </c>
      <c r="B47" t="s">
        <v>364</v>
      </c>
      <c r="C47" t="s">
        <v>246</v>
      </c>
      <c r="D47" t="s">
        <v>365</v>
      </c>
      <c r="E47" t="s">
        <v>247</v>
      </c>
      <c r="F47" t="n">
        <v>58.2998147879504</v>
      </c>
      <c r="G47" t="n">
        <v>59.6780775400477</v>
      </c>
      <c r="H47" t="n">
        <v>61.5861424948082</v>
      </c>
      <c r="I47" t="n">
        <v>63.2622339931734</v>
      </c>
      <c r="J47" t="n">
        <v>63.9029712542543</v>
      </c>
      <c r="K47" t="n">
        <v>66.3900376385413</v>
      </c>
      <c r="L47" t="n">
        <v>68.5717183991834</v>
      </c>
      <c r="M47" t="n">
        <v>71.0587168191993</v>
      </c>
      <c r="N47" t="n">
        <v>73.1356969857947</v>
      </c>
      <c r="O47" t="n">
        <v>76.390000264765</v>
      </c>
      <c r="P47" t="n">
        <v>79.7564308694377</v>
      </c>
      <c r="Q47" t="n">
        <v>82.4552869831248</v>
      </c>
      <c r="R47" t="n">
        <v>85.483865056183</v>
      </c>
      <c r="S47" t="n">
        <v>88.688178279936</v>
      </c>
      <c r="T47" t="n">
        <v>90.4884245491614</v>
      </c>
      <c r="U47" t="n">
        <v>93.4266522627973</v>
      </c>
      <c r="V47" t="n">
        <v>97.4082631569812</v>
      </c>
      <c r="W47" t="n">
        <v>97.8736364372032</v>
      </c>
      <c r="X47" t="n">
        <v>97.6480713082398</v>
      </c>
      <c r="Y47" t="n">
        <v>97.5137810958952</v>
      </c>
      <c r="Z47" t="n">
        <v>97.4119090183537</v>
      </c>
      <c r="AA47" t="n">
        <v>97.1690463193397</v>
      </c>
      <c r="AB47" t="n">
        <v>97.6580215059399</v>
      </c>
      <c r="AC47" t="n">
        <v>99.3983710772753</v>
      </c>
      <c r="AD47" t="n">
        <v>99.3701018091262</v>
      </c>
      <c r="AE47" t="n">
        <v>100</v>
      </c>
      <c r="AF47" t="n">
        <v>105.569075582831</v>
      </c>
    </row>
    <row r="48">
      <c r="A48" t="s">
        <v>82</v>
      </c>
      <c r="B48" t="s">
        <v>366</v>
      </c>
      <c r="C48" t="s">
        <v>246</v>
      </c>
      <c r="D48" t="s">
        <v>367</v>
      </c>
      <c r="E48" t="s">
        <v>247</v>
      </c>
      <c r="F48" t="n">
        <v>58.2970203954195</v>
      </c>
      <c r="G48" t="n">
        <v>59.6889957987043</v>
      </c>
      <c r="H48" t="n">
        <v>61.6045516079986</v>
      </c>
      <c r="I48" t="n">
        <v>63.2795976768604</v>
      </c>
      <c r="J48" t="n">
        <v>63.9260817031064</v>
      </c>
      <c r="K48" t="n">
        <v>66.402065248596</v>
      </c>
      <c r="L48" t="n">
        <v>68.5793112289982</v>
      </c>
      <c r="M48" t="n">
        <v>71.0616963089325</v>
      </c>
      <c r="N48" t="n">
        <v>73.1359186922498</v>
      </c>
      <c r="O48" t="n">
        <v>76.3905094406866</v>
      </c>
      <c r="P48" t="n">
        <v>79.7659361809536</v>
      </c>
      <c r="Q48" t="n">
        <v>82.4573915117543</v>
      </c>
      <c r="R48" t="n">
        <v>85.4828226515119</v>
      </c>
      <c r="S48" t="n">
        <v>88.6851149967329</v>
      </c>
      <c r="T48" t="n">
        <v>90.4871477620325</v>
      </c>
      <c r="U48" t="n">
        <v>93.4072217024027</v>
      </c>
      <c r="V48" t="n">
        <v>97.3721264126976</v>
      </c>
      <c r="W48" t="n">
        <v>97.8605455331226</v>
      </c>
      <c r="X48" t="n">
        <v>97.6402748182756</v>
      </c>
      <c r="Y48" t="n">
        <v>97.510307641554</v>
      </c>
      <c r="Z48" t="n">
        <v>97.4089096687805</v>
      </c>
      <c r="AA48" t="n">
        <v>97.168610056778</v>
      </c>
      <c r="AB48" t="n">
        <v>97.6584245761377</v>
      </c>
      <c r="AC48" t="n">
        <v>99.3962566359147</v>
      </c>
      <c r="AD48" t="n">
        <v>99.3705544187859</v>
      </c>
      <c r="AE48" t="n">
        <v>100</v>
      </c>
      <c r="AF48" t="n">
        <v>105.522087753969</v>
      </c>
    </row>
    <row r="49">
      <c r="A49" t="s">
        <v>82</v>
      </c>
      <c r="B49" t="s">
        <v>368</v>
      </c>
      <c r="C49" t="s">
        <v>246</v>
      </c>
      <c r="D49" t="s">
        <v>369</v>
      </c>
      <c r="E49" t="s">
        <v>247</v>
      </c>
      <c r="F49" t="n">
        <v>58.3394137572116</v>
      </c>
      <c r="G49" t="n">
        <v>59.7242823996241</v>
      </c>
      <c r="H49" t="n">
        <v>61.6350616533705</v>
      </c>
      <c r="I49" t="n">
        <v>63.3103276660517</v>
      </c>
      <c r="J49" t="n">
        <v>63.9519670379273</v>
      </c>
      <c r="K49" t="n">
        <v>66.4124401735678</v>
      </c>
      <c r="L49" t="n">
        <v>68.5835659191241</v>
      </c>
      <c r="M49" t="n">
        <v>71.0608318452998</v>
      </c>
      <c r="N49" t="n">
        <v>73.1331430576052</v>
      </c>
      <c r="O49" t="n">
        <v>76.3991629590446</v>
      </c>
      <c r="P49" t="n">
        <v>79.7856856903644</v>
      </c>
      <c r="Q49" t="n">
        <v>82.4696400897032</v>
      </c>
      <c r="R49" t="n">
        <v>85.4926465875066</v>
      </c>
      <c r="S49" t="n">
        <v>88.6919017510721</v>
      </c>
      <c r="T49" t="n">
        <v>90.4863996885472</v>
      </c>
      <c r="U49" t="n">
        <v>93.397280408432</v>
      </c>
      <c r="V49" t="n">
        <v>97.2962603873145</v>
      </c>
      <c r="W49" t="n">
        <v>97.8019323549064</v>
      </c>
      <c r="X49" t="n">
        <v>97.5844447359898</v>
      </c>
      <c r="Y49" t="n">
        <v>97.4693269699673</v>
      </c>
      <c r="Z49" t="n">
        <v>97.3722635445943</v>
      </c>
      <c r="AA49" t="n">
        <v>97.142340844371</v>
      </c>
      <c r="AB49" t="n">
        <v>97.6367039021031</v>
      </c>
      <c r="AC49" t="n">
        <v>99.3592310772928</v>
      </c>
      <c r="AD49" t="n">
        <v>99.3592310772927</v>
      </c>
      <c r="AE49" t="n">
        <v>100</v>
      </c>
      <c r="AF49" t="n">
        <v>105.43893129771</v>
      </c>
    </row>
    <row r="50">
      <c r="A50" t="s">
        <v>82</v>
      </c>
      <c r="B50" t="s">
        <v>370</v>
      </c>
      <c r="C50" t="s">
        <v>246</v>
      </c>
      <c r="D50" t="s">
        <v>371</v>
      </c>
      <c r="E50" t="s">
        <v>247</v>
      </c>
      <c r="F50" t="n">
        <v>58.1886834422723</v>
      </c>
      <c r="G50" t="n">
        <v>59.7007012013415</v>
      </c>
      <c r="H50" t="n">
        <v>61.6697459669365</v>
      </c>
      <c r="I50" t="n">
        <v>63.3305870870936</v>
      </c>
      <c r="J50" t="n">
        <v>64.0252016622507</v>
      </c>
      <c r="K50" t="n">
        <v>66.4370630666396</v>
      </c>
      <c r="L50" t="n">
        <v>68.584303848906</v>
      </c>
      <c r="M50" t="n">
        <v>71.0335577506525</v>
      </c>
      <c r="N50" t="n">
        <v>73.0888421500778</v>
      </c>
      <c r="O50" t="n">
        <v>76.3361542866291</v>
      </c>
      <c r="P50" t="n">
        <v>79.7668769234396</v>
      </c>
      <c r="Q50" t="n">
        <v>82.4110029608124</v>
      </c>
      <c r="R50" t="n">
        <v>85.4139310734015</v>
      </c>
      <c r="S50" t="n">
        <v>88.6045293657226</v>
      </c>
      <c r="T50" t="n">
        <v>90.4193062369709</v>
      </c>
      <c r="U50" t="n">
        <v>93.2562490813268</v>
      </c>
      <c r="V50" t="n">
        <v>97.1608465523994</v>
      </c>
      <c r="W50" t="n">
        <v>97.7686587393347</v>
      </c>
      <c r="X50" t="n">
        <v>97.5872541082325</v>
      </c>
      <c r="Y50" t="n">
        <v>97.4792969713664</v>
      </c>
      <c r="Z50" t="n">
        <v>97.3794956298491</v>
      </c>
      <c r="AA50" t="n">
        <v>97.1648106962322</v>
      </c>
      <c r="AB50" t="n">
        <v>97.6599665327869</v>
      </c>
      <c r="AC50" t="n">
        <v>99.3640315569151</v>
      </c>
      <c r="AD50" t="n">
        <v>99.3640315569152</v>
      </c>
      <c r="AE50" t="n">
        <v>100</v>
      </c>
      <c r="AF50" t="n">
        <v>105.198477433388</v>
      </c>
    </row>
    <row r="51">
      <c r="A51" t="s">
        <v>82</v>
      </c>
      <c r="B51" t="s">
        <v>372</v>
      </c>
      <c r="C51" t="s">
        <v>246</v>
      </c>
      <c r="D51" t="s">
        <v>373</v>
      </c>
      <c r="E51" t="s">
        <v>247</v>
      </c>
      <c r="F51" t="n">
        <v>58.1958921647932</v>
      </c>
      <c r="G51" t="n">
        <v>59.7051519244431</v>
      </c>
      <c r="H51" t="n">
        <v>61.6753141947006</v>
      </c>
      <c r="I51" t="n">
        <v>63.3362948374108</v>
      </c>
      <c r="J51" t="n">
        <v>64.0303358362143</v>
      </c>
      <c r="K51" t="n">
        <v>66.4456688080648</v>
      </c>
      <c r="L51" t="n">
        <v>68.5951144999464</v>
      </c>
      <c r="M51" t="n">
        <v>71.0465631143293</v>
      </c>
      <c r="N51" t="n">
        <v>73.1037703444844</v>
      </c>
      <c r="O51" t="n">
        <v>76.3511761964056</v>
      </c>
      <c r="P51" t="n">
        <v>79.7803356261166</v>
      </c>
      <c r="Q51" t="n">
        <v>82.4272880476355</v>
      </c>
      <c r="R51" t="n">
        <v>85.4336861169835</v>
      </c>
      <c r="S51" t="n">
        <v>88.6251743914685</v>
      </c>
      <c r="T51" t="n">
        <v>90.4381833973071</v>
      </c>
      <c r="U51" t="n">
        <v>93.2795659340551</v>
      </c>
      <c r="V51" t="n">
        <v>97.1862815518556</v>
      </c>
      <c r="W51" t="n">
        <v>97.7867234669127</v>
      </c>
      <c r="X51" t="n">
        <v>97.6010496067662</v>
      </c>
      <c r="Y51" t="n">
        <v>97.4904645732208</v>
      </c>
      <c r="Z51" t="n">
        <v>97.3914392156045</v>
      </c>
      <c r="AA51" t="n">
        <v>97.1665790400975</v>
      </c>
      <c r="AB51" t="n">
        <v>97.6572308368735</v>
      </c>
      <c r="AC51" t="n">
        <v>99.3687205477016</v>
      </c>
      <c r="AD51" t="n">
        <v>99.3687205477016</v>
      </c>
      <c r="AE51" t="n">
        <v>100</v>
      </c>
      <c r="AF51" t="n">
        <v>105.312941465512</v>
      </c>
    </row>
    <row r="52">
      <c r="A52" t="s">
        <v>82</v>
      </c>
      <c r="B52" t="s">
        <v>374</v>
      </c>
      <c r="C52" t="s">
        <v>246</v>
      </c>
      <c r="D52" t="s">
        <v>375</v>
      </c>
      <c r="E52" t="s">
        <v>247</v>
      </c>
      <c r="F52" t="n">
        <v>58.2191430642453</v>
      </c>
      <c r="G52" t="n">
        <v>59.8069378750883</v>
      </c>
      <c r="H52" t="n">
        <v>61.7580862029281</v>
      </c>
      <c r="I52" t="n">
        <v>63.4216036764076</v>
      </c>
      <c r="J52" t="n">
        <v>64.1365009803285</v>
      </c>
      <c r="K52" t="n">
        <v>66.4493290323237</v>
      </c>
      <c r="L52" t="n">
        <v>68.5445781459555</v>
      </c>
      <c r="M52" t="n">
        <v>70.9303332085992</v>
      </c>
      <c r="N52" t="n">
        <v>72.9330720286067</v>
      </c>
      <c r="O52" t="n">
        <v>76.1883207270142</v>
      </c>
      <c r="P52" t="n">
        <v>79.6881375801986</v>
      </c>
      <c r="Q52" t="n">
        <v>82.2477137337382</v>
      </c>
      <c r="R52" t="n">
        <v>85.1542709526</v>
      </c>
      <c r="S52" t="n">
        <v>88.329130588649</v>
      </c>
      <c r="T52" t="n">
        <v>90.2309539745291</v>
      </c>
      <c r="U52" t="n">
        <v>92.9147464517202</v>
      </c>
      <c r="V52" t="n">
        <v>96.7715849836784</v>
      </c>
      <c r="W52" t="n">
        <v>97.6204585361668</v>
      </c>
      <c r="X52" t="n">
        <v>97.4970445557165</v>
      </c>
      <c r="Y52" t="n">
        <v>97.4200934550411</v>
      </c>
      <c r="Z52" t="n">
        <v>97.3078583243326</v>
      </c>
      <c r="AA52" t="n">
        <v>97.1707084183081</v>
      </c>
      <c r="AB52" t="n">
        <v>97.6959554908395</v>
      </c>
      <c r="AC52" t="n">
        <v>99.3191489361702</v>
      </c>
      <c r="AD52" t="n">
        <v>99.3191489361702</v>
      </c>
      <c r="AE52" t="n">
        <v>100</v>
      </c>
      <c r="AF52" t="n">
        <v>104.314841156946</v>
      </c>
    </row>
    <row r="53">
      <c r="A53" t="s">
        <v>82</v>
      </c>
      <c r="B53" t="s">
        <v>376</v>
      </c>
      <c r="C53" t="s">
        <v>246</v>
      </c>
      <c r="D53" t="s">
        <v>377</v>
      </c>
      <c r="E53" t="s">
        <v>247</v>
      </c>
      <c r="F53" t="n">
        <v>58.1796683109849</v>
      </c>
      <c r="G53" t="n">
        <v>59.7511265096855</v>
      </c>
      <c r="H53" t="n">
        <v>61.7431975905942</v>
      </c>
      <c r="I53" t="n">
        <v>63.3983295529694</v>
      </c>
      <c r="J53" t="n">
        <v>64.1180216325181</v>
      </c>
      <c r="K53" t="n">
        <v>66.4913280685306</v>
      </c>
      <c r="L53" t="n">
        <v>68.5981508843902</v>
      </c>
      <c r="M53" t="n">
        <v>71.0184993772134</v>
      </c>
      <c r="N53" t="n">
        <v>73.0603318749953</v>
      </c>
      <c r="O53" t="n">
        <v>76.3215585654364</v>
      </c>
      <c r="P53" t="n">
        <v>79.8059561426757</v>
      </c>
      <c r="Q53" t="n">
        <v>82.4169618201743</v>
      </c>
      <c r="R53" t="n">
        <v>85.3853867645107</v>
      </c>
      <c r="S53" t="n">
        <v>88.5449886822344</v>
      </c>
      <c r="T53" t="n">
        <v>90.3507458580795</v>
      </c>
      <c r="U53" t="n">
        <v>93.1034331427306</v>
      </c>
      <c r="V53" t="n">
        <v>96.9401420370988</v>
      </c>
      <c r="W53" t="n">
        <v>97.6489928780815</v>
      </c>
      <c r="X53" t="n">
        <v>97.4956174965976</v>
      </c>
      <c r="Y53" t="n">
        <v>97.4088930547753</v>
      </c>
      <c r="Z53" t="n">
        <v>97.3072313121542</v>
      </c>
      <c r="AA53" t="n">
        <v>97.1109682397215</v>
      </c>
      <c r="AB53" t="n">
        <v>97.6156155716445</v>
      </c>
      <c r="AC53" t="n">
        <v>99.318644010189</v>
      </c>
      <c r="AD53" t="n">
        <v>99.3612334801762</v>
      </c>
      <c r="AE53" t="n">
        <v>100</v>
      </c>
      <c r="AF53" t="n">
        <v>104.594500522102</v>
      </c>
    </row>
    <row r="54">
      <c r="A54" t="s">
        <v>82</v>
      </c>
      <c r="B54" t="s">
        <v>378</v>
      </c>
      <c r="C54" t="s">
        <v>246</v>
      </c>
      <c r="D54" t="s">
        <v>379</v>
      </c>
      <c r="E54" t="s">
        <v>247</v>
      </c>
      <c r="F54" t="n">
        <v>58.1476182832896</v>
      </c>
      <c r="G54" t="n">
        <v>59.7319167612367</v>
      </c>
      <c r="H54" t="n">
        <v>61.7278016312248</v>
      </c>
      <c r="I54" t="n">
        <v>63.3822320505795</v>
      </c>
      <c r="J54" t="n">
        <v>64.1056026643011</v>
      </c>
      <c r="K54" t="n">
        <v>66.4798842444604</v>
      </c>
      <c r="L54" t="n">
        <v>68.5946046920504</v>
      </c>
      <c r="M54" t="n">
        <v>71.0188663877244</v>
      </c>
      <c r="N54" t="n">
        <v>73.0601388039906</v>
      </c>
      <c r="O54" t="n">
        <v>76.3227462083429</v>
      </c>
      <c r="P54" t="n">
        <v>79.8124658505247</v>
      </c>
      <c r="Q54" t="n">
        <v>82.4216981441184</v>
      </c>
      <c r="R54" t="n">
        <v>85.3889607116139</v>
      </c>
      <c r="S54" t="n">
        <v>88.551514812044</v>
      </c>
      <c r="T54" t="n">
        <v>90.3609571608779</v>
      </c>
      <c r="U54" t="n">
        <v>93.1024116690164</v>
      </c>
      <c r="V54" t="n">
        <v>96.940299260355</v>
      </c>
      <c r="W54" t="n">
        <v>97.6481467890695</v>
      </c>
      <c r="X54" t="n">
        <v>97.4852188467073</v>
      </c>
      <c r="Y54" t="n">
        <v>97.4086246853664</v>
      </c>
      <c r="Z54" t="n">
        <v>97.3085359055778</v>
      </c>
      <c r="AA54" t="n">
        <v>97.1040202773609</v>
      </c>
      <c r="AB54" t="n">
        <v>97.6069130377428</v>
      </c>
      <c r="AC54" t="n">
        <v>99.3050290342281</v>
      </c>
      <c r="AD54" t="n">
        <v>99.3519005079699</v>
      </c>
      <c r="AE54" t="n">
        <v>100</v>
      </c>
      <c r="AF54" t="n">
        <v>104.678951914771</v>
      </c>
    </row>
    <row r="55">
      <c r="A55" t="s">
        <v>82</v>
      </c>
      <c r="B55" t="s">
        <v>380</v>
      </c>
      <c r="C55" t="s">
        <v>246</v>
      </c>
      <c r="D55" t="s">
        <v>381</v>
      </c>
      <c r="E55" t="s">
        <v>247</v>
      </c>
      <c r="F55" t="n">
        <v>58.0964520649877</v>
      </c>
      <c r="G55" t="n">
        <v>59.7047345832828</v>
      </c>
      <c r="H55" t="n">
        <v>61.7082491666144</v>
      </c>
      <c r="I55" t="n">
        <v>63.3616249005514</v>
      </c>
      <c r="J55" t="n">
        <v>64.0925043359614</v>
      </c>
      <c r="K55" t="n">
        <v>66.4686955433729</v>
      </c>
      <c r="L55" t="n">
        <v>68.5966952123697</v>
      </c>
      <c r="M55" t="n">
        <v>71.0291000572901</v>
      </c>
      <c r="N55" t="n">
        <v>73.069821201407</v>
      </c>
      <c r="O55" t="n">
        <v>76.3355115344307</v>
      </c>
      <c r="P55" t="n">
        <v>79.8350167902903</v>
      </c>
      <c r="Q55" t="n">
        <v>82.4414989977705</v>
      </c>
      <c r="R55" t="n">
        <v>85.4073088790709</v>
      </c>
      <c r="S55" t="n">
        <v>88.5754316195619</v>
      </c>
      <c r="T55" t="n">
        <v>90.3931741377417</v>
      </c>
      <c r="U55" t="n">
        <v>93.1145445540795</v>
      </c>
      <c r="V55" t="n">
        <v>96.9548249981316</v>
      </c>
      <c r="W55" t="n">
        <v>97.6612353806316</v>
      </c>
      <c r="X55" t="n">
        <v>97.4750957960434</v>
      </c>
      <c r="Y55" t="n">
        <v>97.4109815036978</v>
      </c>
      <c r="Z55" t="n">
        <v>97.3138941467174</v>
      </c>
      <c r="AA55" t="n">
        <v>97.0798539972544</v>
      </c>
      <c r="AB55" t="n">
        <v>97.5789792106079</v>
      </c>
      <c r="AC55" t="n">
        <v>99.2569918807225</v>
      </c>
      <c r="AD55" t="n">
        <v>99.3156544054747</v>
      </c>
      <c r="AE55" t="n">
        <v>100</v>
      </c>
      <c r="AF55" t="n">
        <v>105.083333333333</v>
      </c>
    </row>
    <row r="56">
      <c r="A56" t="s">
        <v>82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82</v>
      </c>
      <c r="B57" t="s">
        <v>384</v>
      </c>
      <c r="C57" t="s">
        <v>246</v>
      </c>
      <c r="D57" t="s">
        <v>385</v>
      </c>
      <c r="E57" t="s">
        <v>247</v>
      </c>
      <c r="F57" t="n">
        <v>58.169654943924</v>
      </c>
      <c r="G57" t="n">
        <v>59.636906214392</v>
      </c>
      <c r="H57" t="n">
        <v>61.5874911113334</v>
      </c>
      <c r="I57" t="n">
        <v>63.2529171395552</v>
      </c>
      <c r="J57" t="n">
        <v>63.9348786735557</v>
      </c>
      <c r="K57" t="n">
        <v>66.3875608370545</v>
      </c>
      <c r="L57" t="n">
        <v>68.5558567972179</v>
      </c>
      <c r="M57" t="n">
        <v>71.0234222213441</v>
      </c>
      <c r="N57" t="n">
        <v>73.0901469936389</v>
      </c>
      <c r="O57" t="n">
        <v>76.3300231228785</v>
      </c>
      <c r="P57" t="n">
        <v>79.7313328793921</v>
      </c>
      <c r="Q57" t="n">
        <v>82.3952037457963</v>
      </c>
      <c r="R57" t="n">
        <v>85.4046470864559</v>
      </c>
      <c r="S57" t="n">
        <v>88.591024310142</v>
      </c>
      <c r="T57" t="n">
        <v>90.4017970853132</v>
      </c>
      <c r="U57" t="n">
        <v>93.2497090920737</v>
      </c>
      <c r="V57" t="n">
        <v>97.1720406605412</v>
      </c>
      <c r="W57" t="n">
        <v>97.7619624169514</v>
      </c>
      <c r="X57" t="n">
        <v>97.5797334259193</v>
      </c>
      <c r="Y57" t="n">
        <v>97.4822759404363</v>
      </c>
      <c r="Z57" t="n">
        <v>97.3820990766513</v>
      </c>
      <c r="AA57" t="n">
        <v>97.1656926858947</v>
      </c>
      <c r="AB57" t="n">
        <v>97.6624499612016</v>
      </c>
      <c r="AC57" t="n">
        <v>99.3720370084118</v>
      </c>
      <c r="AD57" t="n">
        <v>99.3700854101675</v>
      </c>
      <c r="AE57" t="n">
        <v>100</v>
      </c>
      <c r="AF57" t="n">
        <v>105.446493773754</v>
      </c>
    </row>
    <row r="58">
      <c r="A58" t="s">
        <v>82</v>
      </c>
      <c r="B58" t="s">
        <v>386</v>
      </c>
      <c r="C58" t="s">
        <v>246</v>
      </c>
      <c r="D58" t="s">
        <v>387</v>
      </c>
      <c r="E58" t="s">
        <v>247</v>
      </c>
      <c r="F58" t="n">
        <v>58.169654943924</v>
      </c>
      <c r="G58" t="n">
        <v>59.636906214392</v>
      </c>
      <c r="H58" t="n">
        <v>61.5874911113334</v>
      </c>
      <c r="I58" t="n">
        <v>63.2529171395552</v>
      </c>
      <c r="J58" t="n">
        <v>63.9348786735557</v>
      </c>
      <c r="K58" t="n">
        <v>66.3875608370545</v>
      </c>
      <c r="L58" t="n">
        <v>68.5558567972179</v>
      </c>
      <c r="M58" t="n">
        <v>71.0234222213441</v>
      </c>
      <c r="N58" t="n">
        <v>73.0901469936389</v>
      </c>
      <c r="O58" t="n">
        <v>76.3300231228785</v>
      </c>
      <c r="P58" t="n">
        <v>79.7313328793921</v>
      </c>
      <c r="Q58" t="n">
        <v>82.3952037457963</v>
      </c>
      <c r="R58" t="n">
        <v>85.4046470864559</v>
      </c>
      <c r="S58" t="n">
        <v>88.591024310142</v>
      </c>
      <c r="T58" t="n">
        <v>90.4017970853132</v>
      </c>
      <c r="U58" t="n">
        <v>93.2497090920737</v>
      </c>
      <c r="V58" t="n">
        <v>97.1720406605412</v>
      </c>
      <c r="W58" t="n">
        <v>97.7619624169514</v>
      </c>
      <c r="X58" t="n">
        <v>97.5797334259193</v>
      </c>
      <c r="Y58" t="n">
        <v>97.4822759404363</v>
      </c>
      <c r="Z58" t="n">
        <v>97.3820990766513</v>
      </c>
      <c r="AA58" t="n">
        <v>97.1656926858947</v>
      </c>
      <c r="AB58" t="n">
        <v>97.6624499612016</v>
      </c>
      <c r="AC58" t="n">
        <v>99.3720370084118</v>
      </c>
      <c r="AD58" t="n">
        <v>99.3700854101675</v>
      </c>
      <c r="AE58" t="n">
        <v>100</v>
      </c>
      <c r="AF58" t="n">
        <v>105.446493773754</v>
      </c>
    </row>
    <row r="59">
      <c r="A59" t="s">
        <v>82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84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84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84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84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84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84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84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84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84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84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84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84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84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84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84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84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84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84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84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84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84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84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84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84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84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84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84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84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84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84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84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84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84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84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84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84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84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84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84</v>
      </c>
      <c r="B40" t="s">
        <v>350</v>
      </c>
      <c r="C40" t="s">
        <v>246</v>
      </c>
      <c r="D40" t="s">
        <v>351</v>
      </c>
      <c r="E40" t="s">
        <v>247</v>
      </c>
      <c r="F40" t="n">
        <v>57.4525187525795</v>
      </c>
      <c r="G40" t="n">
        <v>59.1313089901287</v>
      </c>
      <c r="H40" t="n">
        <v>60.9900404310622</v>
      </c>
      <c r="I40" t="n">
        <v>62.2807191079976</v>
      </c>
      <c r="J40" t="n">
        <v>63.2850505750784</v>
      </c>
      <c r="K40" t="n">
        <v>65.438248136386</v>
      </c>
      <c r="L40" t="n">
        <v>67.1885673509453</v>
      </c>
      <c r="M40" t="n">
        <v>69.7683830716708</v>
      </c>
      <c r="N40" t="n">
        <v>71.3860763124454</v>
      </c>
      <c r="O40" t="n">
        <v>74.1540885385172</v>
      </c>
      <c r="P40" t="n">
        <v>77.6651726347698</v>
      </c>
      <c r="Q40" t="n">
        <v>80.1579061874928</v>
      </c>
      <c r="R40" t="n">
        <v>83.332395413094</v>
      </c>
      <c r="S40" t="n">
        <v>86.1155762470201</v>
      </c>
      <c r="T40" t="n">
        <v>88.477126419826</v>
      </c>
      <c r="U40" t="n">
        <v>90.151553731544</v>
      </c>
      <c r="V40" t="n">
        <v>93.0354771860975</v>
      </c>
      <c r="W40" t="n">
        <v>94.7739678926567</v>
      </c>
      <c r="X40" t="n">
        <v>95.1422662836853</v>
      </c>
      <c r="Y40" t="n">
        <v>95.3173736452367</v>
      </c>
      <c r="Z40" t="n">
        <v>95.7853431646576</v>
      </c>
      <c r="AA40" t="n">
        <v>96.5128426516378</v>
      </c>
      <c r="AB40" t="n">
        <v>97.3066939876195</v>
      </c>
      <c r="AC40" t="n">
        <v>99.1274280903028</v>
      </c>
      <c r="AD40" t="n">
        <v>99.0162663892033</v>
      </c>
      <c r="AE40" t="n">
        <v>100</v>
      </c>
      <c r="AF40" t="n">
        <v>104.292424322318</v>
      </c>
    </row>
    <row r="41">
      <c r="A41" t="s">
        <v>84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84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84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84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84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84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84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84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84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84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84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84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84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84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84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84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84</v>
      </c>
      <c r="B57" t="s">
        <v>384</v>
      </c>
      <c r="C57" t="s">
        <v>246</v>
      </c>
      <c r="D57" t="s">
        <v>385</v>
      </c>
      <c r="E57" t="s">
        <v>247</v>
      </c>
      <c r="F57" t="n">
        <v>57.4525187525795</v>
      </c>
      <c r="G57" t="n">
        <v>59.1313089901287</v>
      </c>
      <c r="H57" t="n">
        <v>60.9900404310622</v>
      </c>
      <c r="I57" t="n">
        <v>62.2807191079976</v>
      </c>
      <c r="J57" t="n">
        <v>63.2850505750784</v>
      </c>
      <c r="K57" t="n">
        <v>65.438248136386</v>
      </c>
      <c r="L57" t="n">
        <v>67.1885673509453</v>
      </c>
      <c r="M57" t="n">
        <v>69.7683830716708</v>
      </c>
      <c r="N57" t="n">
        <v>71.3860763124454</v>
      </c>
      <c r="O57" t="n">
        <v>74.1540885385172</v>
      </c>
      <c r="P57" t="n">
        <v>77.6651726347698</v>
      </c>
      <c r="Q57" t="n">
        <v>80.1579061874928</v>
      </c>
      <c r="R57" t="n">
        <v>83.332395413094</v>
      </c>
      <c r="S57" t="n">
        <v>86.1155762470201</v>
      </c>
      <c r="T57" t="n">
        <v>88.477126419826</v>
      </c>
      <c r="U57" t="n">
        <v>90.151553731544</v>
      </c>
      <c r="V57" t="n">
        <v>93.0354771860975</v>
      </c>
      <c r="W57" t="n">
        <v>94.7739678926567</v>
      </c>
      <c r="X57" t="n">
        <v>95.1422662836853</v>
      </c>
      <c r="Y57" t="n">
        <v>95.3173736452367</v>
      </c>
      <c r="Z57" t="n">
        <v>95.7853431646576</v>
      </c>
      <c r="AA57" t="n">
        <v>96.5128426516378</v>
      </c>
      <c r="AB57" t="n">
        <v>97.3066939876195</v>
      </c>
      <c r="AC57" t="n">
        <v>99.1274280903028</v>
      </c>
      <c r="AD57" t="n">
        <v>99.0162663892033</v>
      </c>
      <c r="AE57" t="n">
        <v>100</v>
      </c>
      <c r="AF57" t="n">
        <v>104.292424322318</v>
      </c>
    </row>
    <row r="58">
      <c r="A58" t="s">
        <v>84</v>
      </c>
      <c r="B58" t="s">
        <v>386</v>
      </c>
      <c r="C58" t="s">
        <v>246</v>
      </c>
      <c r="D58" t="s">
        <v>387</v>
      </c>
      <c r="E58" t="s">
        <v>247</v>
      </c>
      <c r="F58" t="n">
        <v>57.4525187525795</v>
      </c>
      <c r="G58" t="n">
        <v>59.1313089901287</v>
      </c>
      <c r="H58" t="n">
        <v>60.9900404310622</v>
      </c>
      <c r="I58" t="n">
        <v>62.2807191079976</v>
      </c>
      <c r="J58" t="n">
        <v>63.2850505750784</v>
      </c>
      <c r="K58" t="n">
        <v>65.438248136386</v>
      </c>
      <c r="L58" t="n">
        <v>67.1885673509453</v>
      </c>
      <c r="M58" t="n">
        <v>69.7683830716708</v>
      </c>
      <c r="N58" t="n">
        <v>71.3860763124454</v>
      </c>
      <c r="O58" t="n">
        <v>74.1540885385172</v>
      </c>
      <c r="P58" t="n">
        <v>77.6651726347698</v>
      </c>
      <c r="Q58" t="n">
        <v>80.1579061874928</v>
      </c>
      <c r="R58" t="n">
        <v>83.332395413094</v>
      </c>
      <c r="S58" t="n">
        <v>86.1155762470201</v>
      </c>
      <c r="T58" t="n">
        <v>88.477126419826</v>
      </c>
      <c r="U58" t="n">
        <v>90.151553731544</v>
      </c>
      <c r="V58" t="n">
        <v>93.0354771860975</v>
      </c>
      <c r="W58" t="n">
        <v>94.7739678926567</v>
      </c>
      <c r="X58" t="n">
        <v>95.1422662836853</v>
      </c>
      <c r="Y58" t="n">
        <v>95.3173736452367</v>
      </c>
      <c r="Z58" t="n">
        <v>95.7853431646576</v>
      </c>
      <c r="AA58" t="n">
        <v>96.5128426516378</v>
      </c>
      <c r="AB58" t="n">
        <v>97.3066939876195</v>
      </c>
      <c r="AC58" t="n">
        <v>99.1274280903028</v>
      </c>
      <c r="AD58" t="n">
        <v>99.0162663892033</v>
      </c>
      <c r="AE58" t="n">
        <v>100</v>
      </c>
      <c r="AF58" t="n">
        <v>104.292424322318</v>
      </c>
    </row>
    <row r="59">
      <c r="A59" t="s">
        <v>84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86</v>
      </c>
      <c r="B2" t="s">
        <v>197</v>
      </c>
      <c r="C2" t="s">
        <v>246</v>
      </c>
      <c r="D2" t="s">
        <v>199</v>
      </c>
      <c r="E2" t="s">
        <v>247</v>
      </c>
      <c r="F2" t="n">
        <v>93.2688959842001</v>
      </c>
      <c r="G2" t="n">
        <v>89.5807839403393</v>
      </c>
      <c r="H2" t="n">
        <v>84.6405195143962</v>
      </c>
      <c r="I2" t="n">
        <v>84.8179057393981</v>
      </c>
      <c r="J2" t="n">
        <v>80.1963393240022</v>
      </c>
      <c r="K2" t="n">
        <v>80.7660697454515</v>
      </c>
      <c r="L2" t="n">
        <v>80.1263891677115</v>
      </c>
      <c r="M2" t="n">
        <v>79.0297471261421</v>
      </c>
      <c r="N2" t="n">
        <v>82.0967196162904</v>
      </c>
      <c r="O2" t="n">
        <v>79.658090890468</v>
      </c>
      <c r="P2" t="n">
        <v>76.8278911709707</v>
      </c>
      <c r="Q2" t="n">
        <v>80.7544621146042</v>
      </c>
      <c r="R2" t="n">
        <v>81.2572754130402</v>
      </c>
      <c r="S2" t="n">
        <v>85.9945289283075</v>
      </c>
      <c r="T2" t="n">
        <v>87.197782166943</v>
      </c>
      <c r="U2" t="n">
        <v>94.9045344540714</v>
      </c>
      <c r="V2" t="n">
        <v>95.3110448158187</v>
      </c>
      <c r="W2" t="n">
        <v>99.8831062225659</v>
      </c>
      <c r="X2" t="n">
        <v>100.044563117268</v>
      </c>
      <c r="Y2" t="n">
        <v>101.649139573369</v>
      </c>
      <c r="Z2" t="n">
        <v>98.7158856627349</v>
      </c>
      <c r="AA2" t="n">
        <v>101.334646182046</v>
      </c>
      <c r="AB2" t="n">
        <v>104.065994699553</v>
      </c>
      <c r="AC2" t="n">
        <v>104.575075626756</v>
      </c>
      <c r="AD2" t="n">
        <v>103.646589259797</v>
      </c>
      <c r="AE2" t="n">
        <v>100</v>
      </c>
      <c r="AF2" t="n">
        <v>104.832977967306</v>
      </c>
    </row>
    <row r="3">
      <c r="A3" t="s">
        <v>86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86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86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86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86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86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86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86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86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86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86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86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86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86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86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86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86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86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86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86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86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86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86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86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86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86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86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86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86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86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86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86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86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86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86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86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86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86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86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86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86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86</v>
      </c>
      <c r="B44" t="s">
        <v>358</v>
      </c>
      <c r="C44" t="s">
        <v>246</v>
      </c>
      <c r="D44" t="s">
        <v>359</v>
      </c>
      <c r="E44" t="s">
        <v>247</v>
      </c>
      <c r="F44" t="n">
        <v>94.4470517678861</v>
      </c>
      <c r="G44" t="n">
        <v>90.5825366101174</v>
      </c>
      <c r="H44" t="n">
        <v>85.5823384823073</v>
      </c>
      <c r="I44" t="n">
        <v>85.7563679520821</v>
      </c>
      <c r="J44" t="n">
        <v>81.0900891531788</v>
      </c>
      <c r="K44" t="n">
        <v>81.7672258484221</v>
      </c>
      <c r="L44" t="n">
        <v>80.8626717247233</v>
      </c>
      <c r="M44" t="n">
        <v>79.496849258161</v>
      </c>
      <c r="N44" t="n">
        <v>82.4951140469925</v>
      </c>
      <c r="O44" t="n">
        <v>79.8925243254568</v>
      </c>
      <c r="P44" t="n">
        <v>77.0848955941595</v>
      </c>
      <c r="Q44" t="n">
        <v>81.0953364930889</v>
      </c>
      <c r="R44" t="n">
        <v>81.1645994139371</v>
      </c>
      <c r="S44" t="n">
        <v>86.247774837984</v>
      </c>
      <c r="T44" t="n">
        <v>87.0504530589052</v>
      </c>
      <c r="U44" t="n">
        <v>93.850409385771</v>
      </c>
      <c r="V44" t="n">
        <v>95.0649922613466</v>
      </c>
      <c r="W44" t="n">
        <v>100.050391653816</v>
      </c>
      <c r="X44" t="n">
        <v>100.350270211906</v>
      </c>
      <c r="Y44" t="n">
        <v>101.846929587483</v>
      </c>
      <c r="Z44" t="n">
        <v>98.721154730325</v>
      </c>
      <c r="AA44" t="n">
        <v>101.389294047361</v>
      </c>
      <c r="AB44" t="n">
        <v>104.195811388292</v>
      </c>
      <c r="AC44" t="n">
        <v>104.707335008615</v>
      </c>
      <c r="AD44" t="n">
        <v>103.761969904241</v>
      </c>
      <c r="AE44" t="n">
        <v>100</v>
      </c>
      <c r="AF44" t="n">
        <v>104.881310598462</v>
      </c>
    </row>
    <row r="45">
      <c r="A45" t="s">
        <v>86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86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86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86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86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86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86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86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86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86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86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86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86</v>
      </c>
      <c r="B57" t="s">
        <v>384</v>
      </c>
      <c r="C57" t="s">
        <v>246</v>
      </c>
      <c r="D57" t="s">
        <v>385</v>
      </c>
      <c r="E57" t="s">
        <v>247</v>
      </c>
      <c r="F57" t="n">
        <v>94.4470517678861</v>
      </c>
      <c r="G57" t="n">
        <v>90.5825366101174</v>
      </c>
      <c r="H57" t="n">
        <v>85.5823384823073</v>
      </c>
      <c r="I57" t="n">
        <v>85.7563679520821</v>
      </c>
      <c r="J57" t="n">
        <v>81.0900891531788</v>
      </c>
      <c r="K57" t="n">
        <v>81.7672258484221</v>
      </c>
      <c r="L57" t="n">
        <v>80.8626717247233</v>
      </c>
      <c r="M57" t="n">
        <v>79.496849258161</v>
      </c>
      <c r="N57" t="n">
        <v>82.4951140469925</v>
      </c>
      <c r="O57" t="n">
        <v>79.8925243254568</v>
      </c>
      <c r="P57" t="n">
        <v>77.0848955941595</v>
      </c>
      <c r="Q57" t="n">
        <v>81.0953364930889</v>
      </c>
      <c r="R57" t="n">
        <v>81.1645994139371</v>
      </c>
      <c r="S57" t="n">
        <v>86.247774837984</v>
      </c>
      <c r="T57" t="n">
        <v>87.0504530589052</v>
      </c>
      <c r="U57" t="n">
        <v>93.850409385771</v>
      </c>
      <c r="V57" t="n">
        <v>95.0649922613466</v>
      </c>
      <c r="W57" t="n">
        <v>100.050391653816</v>
      </c>
      <c r="X57" t="n">
        <v>100.350270211906</v>
      </c>
      <c r="Y57" t="n">
        <v>101.846929587483</v>
      </c>
      <c r="Z57" t="n">
        <v>98.721154730325</v>
      </c>
      <c r="AA57" t="n">
        <v>101.389294047361</v>
      </c>
      <c r="AB57" t="n">
        <v>104.195811388292</v>
      </c>
      <c r="AC57" t="n">
        <v>104.707335008615</v>
      </c>
      <c r="AD57" t="n">
        <v>103.761969904241</v>
      </c>
      <c r="AE57" t="n">
        <v>100</v>
      </c>
      <c r="AF57" t="n">
        <v>104.881310598462</v>
      </c>
    </row>
    <row r="58">
      <c r="A58" t="s">
        <v>86</v>
      </c>
      <c r="B58" t="s">
        <v>386</v>
      </c>
      <c r="C58" t="s">
        <v>246</v>
      </c>
      <c r="D58" t="s">
        <v>387</v>
      </c>
      <c r="E58" t="s">
        <v>247</v>
      </c>
      <c r="F58" t="n">
        <v>94.4470517678861</v>
      </c>
      <c r="G58" t="n">
        <v>90.5825366101174</v>
      </c>
      <c r="H58" t="n">
        <v>85.5823384823073</v>
      </c>
      <c r="I58" t="n">
        <v>85.7563679520821</v>
      </c>
      <c r="J58" t="n">
        <v>81.0900891531788</v>
      </c>
      <c r="K58" t="n">
        <v>81.7672258484221</v>
      </c>
      <c r="L58" t="n">
        <v>80.8626717247233</v>
      </c>
      <c r="M58" t="n">
        <v>79.496849258161</v>
      </c>
      <c r="N58" t="n">
        <v>82.4951140469925</v>
      </c>
      <c r="O58" t="n">
        <v>79.8925243254568</v>
      </c>
      <c r="P58" t="n">
        <v>77.0848955941595</v>
      </c>
      <c r="Q58" t="n">
        <v>81.0953364930889</v>
      </c>
      <c r="R58" t="n">
        <v>81.1645994139371</v>
      </c>
      <c r="S58" t="n">
        <v>86.247774837984</v>
      </c>
      <c r="T58" t="n">
        <v>87.0504530589052</v>
      </c>
      <c r="U58" t="n">
        <v>93.850409385771</v>
      </c>
      <c r="V58" t="n">
        <v>95.0649922613466</v>
      </c>
      <c r="W58" t="n">
        <v>100.050391653816</v>
      </c>
      <c r="X58" t="n">
        <v>100.350270211906</v>
      </c>
      <c r="Y58" t="n">
        <v>101.846929587483</v>
      </c>
      <c r="Z58" t="n">
        <v>98.721154730325</v>
      </c>
      <c r="AA58" t="n">
        <v>101.389294047361</v>
      </c>
      <c r="AB58" t="n">
        <v>104.195811388292</v>
      </c>
      <c r="AC58" t="n">
        <v>104.707335008615</v>
      </c>
      <c r="AD58" t="n">
        <v>103.761969904241</v>
      </c>
      <c r="AE58" t="n">
        <v>100</v>
      </c>
      <c r="AF58" t="n">
        <v>104.881310598462</v>
      </c>
    </row>
    <row r="59">
      <c r="A59" t="s">
        <v>86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88</v>
      </c>
      <c r="B2" t="s">
        <v>197</v>
      </c>
      <c r="C2" t="s">
        <v>246</v>
      </c>
      <c r="D2" t="s">
        <v>199</v>
      </c>
      <c r="E2" t="s">
        <v>247</v>
      </c>
      <c r="F2" t="n">
        <v>87.1425048771373</v>
      </c>
      <c r="G2" t="n">
        <v>81.6960983223162</v>
      </c>
      <c r="H2" t="n">
        <v>87.1425048771373</v>
      </c>
      <c r="I2" t="n">
        <v>87.1425048771373</v>
      </c>
      <c r="J2" t="n">
        <v>87.1425048771373</v>
      </c>
      <c r="K2" t="n">
        <v>87.1425048771373</v>
      </c>
      <c r="L2" t="n">
        <v>87.1425048771373</v>
      </c>
      <c r="M2" t="n">
        <v>87.1425048771373</v>
      </c>
      <c r="N2" t="n">
        <v>87.1425048771373</v>
      </c>
      <c r="O2" t="n">
        <v>87.1425048771373</v>
      </c>
      <c r="P2" t="n">
        <v>87.1425048771373</v>
      </c>
      <c r="Q2" t="n">
        <v>91.2921479665248</v>
      </c>
      <c r="R2" t="n">
        <v>91.2921479665248</v>
      </c>
      <c r="S2" t="n">
        <v>95.09598746513</v>
      </c>
      <c r="T2" t="n">
        <v>92.5258256417481</v>
      </c>
      <c r="U2" t="n">
        <v>93.7595033169714</v>
      </c>
      <c r="V2" t="n">
        <v>92.5726741610603</v>
      </c>
      <c r="W2" t="n">
        <v>91.3216920778028</v>
      </c>
      <c r="X2" t="n">
        <v>92.4776628635978</v>
      </c>
      <c r="Y2" t="n">
        <v>94.9112855705345</v>
      </c>
      <c r="Z2" t="n">
        <v>97.1710780841187</v>
      </c>
      <c r="AA2" t="n">
        <v>96.6753072775671</v>
      </c>
      <c r="AB2" t="n">
        <v>97.5788148222172</v>
      </c>
      <c r="AC2" t="n">
        <v>99.1526666741885</v>
      </c>
      <c r="AD2" t="n">
        <v>100.296735905045</v>
      </c>
      <c r="AE2" t="n">
        <v>100</v>
      </c>
      <c r="AF2" t="n">
        <v>104.43864229765</v>
      </c>
    </row>
    <row r="3">
      <c r="A3" t="s">
        <v>88</v>
      </c>
      <c r="B3" t="s">
        <v>276</v>
      </c>
      <c r="C3" t="s">
        <v>246</v>
      </c>
      <c r="D3" t="s">
        <v>277</v>
      </c>
      <c r="E3" t="s">
        <v>247</v>
      </c>
      <c r="F3" t="n">
        <v>72.8136430958799</v>
      </c>
      <c r="G3" t="n">
        <v>70.4507003511819</v>
      </c>
      <c r="H3" t="n">
        <v>70.7114679033763</v>
      </c>
      <c r="I3" t="n">
        <v>71.9020398223748</v>
      </c>
      <c r="J3" t="n">
        <v>71.9020398223748</v>
      </c>
      <c r="K3" t="n">
        <v>73.3150501501587</v>
      </c>
      <c r="L3" t="n">
        <v>73.8872279609039</v>
      </c>
      <c r="M3" t="n">
        <v>76.3867446423082</v>
      </c>
      <c r="N3" t="n">
        <v>78.1606022827682</v>
      </c>
      <c r="O3" t="n">
        <v>81.439534866338</v>
      </c>
      <c r="P3" t="n">
        <v>85.1052587095096</v>
      </c>
      <c r="Q3" t="n">
        <v>88.3020664118365</v>
      </c>
      <c r="R3" t="n">
        <v>90.9507388935326</v>
      </c>
      <c r="S3" t="n">
        <v>92.7396991392747</v>
      </c>
      <c r="T3" t="n">
        <v>91.2134188242867</v>
      </c>
      <c r="U3" t="n">
        <v>92.7735982868631</v>
      </c>
      <c r="V3" t="n">
        <v>92.0835110843574</v>
      </c>
      <c r="W3" t="n">
        <v>90.618962200312</v>
      </c>
      <c r="X3" t="n">
        <v>92.3368572183274</v>
      </c>
      <c r="Y3" t="n">
        <v>94.868674271088</v>
      </c>
      <c r="Z3" t="n">
        <v>97.1020207482988</v>
      </c>
      <c r="AA3" t="n">
        <v>96.3746647876374</v>
      </c>
      <c r="AB3" t="n">
        <v>97.5254070537585</v>
      </c>
      <c r="AC3" t="n">
        <v>99.0677171284094</v>
      </c>
      <c r="AD3" t="n">
        <v>100.330396475771</v>
      </c>
      <c r="AE3" t="n">
        <v>100</v>
      </c>
      <c r="AF3" t="n">
        <v>104.474272930649</v>
      </c>
    </row>
    <row r="4">
      <c r="A4" t="s">
        <v>88</v>
      </c>
      <c r="B4" t="s">
        <v>278</v>
      </c>
      <c r="C4" t="s">
        <v>246</v>
      </c>
      <c r="D4" t="s">
        <v>279</v>
      </c>
      <c r="E4" t="s">
        <v>247</v>
      </c>
      <c r="F4" t="n">
        <v>72.8153750348333</v>
      </c>
      <c r="G4" t="n">
        <v>70.4215591545358</v>
      </c>
      <c r="H4" t="n">
        <v>70.6728034210193</v>
      </c>
      <c r="I4" t="n">
        <v>71.8435044387312</v>
      </c>
      <c r="J4" t="n">
        <v>71.8738087027122</v>
      </c>
      <c r="K4" t="n">
        <v>73.2818167306088</v>
      </c>
      <c r="L4" t="n">
        <v>73.8547472977754</v>
      </c>
      <c r="M4" t="n">
        <v>76.3873569428323</v>
      </c>
      <c r="N4" t="n">
        <v>78.1698421139884</v>
      </c>
      <c r="O4" t="n">
        <v>81.4528227860005</v>
      </c>
      <c r="P4" t="n">
        <v>85.0935480666437</v>
      </c>
      <c r="Q4" t="n">
        <v>88.289741729745</v>
      </c>
      <c r="R4" t="n">
        <v>90.9401043782646</v>
      </c>
      <c r="S4" t="n">
        <v>92.7395367078413</v>
      </c>
      <c r="T4" t="n">
        <v>91.2019158857453</v>
      </c>
      <c r="U4" t="n">
        <v>92.7657367999902</v>
      </c>
      <c r="V4" t="n">
        <v>92.0816513399128</v>
      </c>
      <c r="W4" t="n">
        <v>90.6395086435804</v>
      </c>
      <c r="X4" t="n">
        <v>92.3665657199572</v>
      </c>
      <c r="Y4" t="n">
        <v>94.933533529261</v>
      </c>
      <c r="Z4" t="n">
        <v>97.1220911705076</v>
      </c>
      <c r="AA4" t="n">
        <v>96.3773006457315</v>
      </c>
      <c r="AB4" t="n">
        <v>97.5166408430524</v>
      </c>
      <c r="AC4" t="n">
        <v>99.059849791832</v>
      </c>
      <c r="AD4" t="n">
        <v>100.329847866086</v>
      </c>
      <c r="AE4" t="n">
        <v>100</v>
      </c>
      <c r="AF4" t="n">
        <v>104.510577870073</v>
      </c>
    </row>
    <row r="5">
      <c r="A5" t="s">
        <v>88</v>
      </c>
      <c r="B5" t="s">
        <v>280</v>
      </c>
      <c r="C5" t="s">
        <v>246</v>
      </c>
      <c r="D5" t="s">
        <v>281</v>
      </c>
      <c r="E5" t="s">
        <v>247</v>
      </c>
      <c r="F5" t="n">
        <v>72.7922770045246</v>
      </c>
      <c r="G5" t="n">
        <v>70.4035839767423</v>
      </c>
      <c r="H5" t="n">
        <v>70.6532420759506</v>
      </c>
      <c r="I5" t="n">
        <v>71.7928104965304</v>
      </c>
      <c r="J5" t="n">
        <v>71.8325189094157</v>
      </c>
      <c r="K5" t="n">
        <v>73.2235736058863</v>
      </c>
      <c r="L5" t="n">
        <v>73.8076100852952</v>
      </c>
      <c r="M5" t="n">
        <v>76.3451998230018</v>
      </c>
      <c r="N5" t="n">
        <v>78.1503019050477</v>
      </c>
      <c r="O5" t="n">
        <v>81.4385334017538</v>
      </c>
      <c r="P5" t="n">
        <v>85.058023775165</v>
      </c>
      <c r="Q5" t="n">
        <v>88.2304380010927</v>
      </c>
      <c r="R5" t="n">
        <v>90.8780969605507</v>
      </c>
      <c r="S5" t="n">
        <v>92.693603609216</v>
      </c>
      <c r="T5" t="n">
        <v>91.1662115826996</v>
      </c>
      <c r="U5" t="n">
        <v>92.7430362800354</v>
      </c>
      <c r="V5" t="n">
        <v>92.037416090012</v>
      </c>
      <c r="W5" t="n">
        <v>90.5983538397943</v>
      </c>
      <c r="X5" t="n">
        <v>92.3291317005753</v>
      </c>
      <c r="Y5" t="n">
        <v>94.9157353218419</v>
      </c>
      <c r="Z5" t="n">
        <v>97.1289416649427</v>
      </c>
      <c r="AA5" t="n">
        <v>96.3843825176595</v>
      </c>
      <c r="AB5" t="n">
        <v>97.5489809255253</v>
      </c>
      <c r="AC5" t="n">
        <v>99.0700667732904</v>
      </c>
      <c r="AD5" t="n">
        <v>100.328099367237</v>
      </c>
      <c r="AE5" t="n">
        <v>100</v>
      </c>
      <c r="AF5" t="n">
        <v>104.512933406714</v>
      </c>
    </row>
    <row r="6">
      <c r="A6" t="s">
        <v>88</v>
      </c>
      <c r="B6" t="s">
        <v>282</v>
      </c>
      <c r="C6" t="s">
        <v>246</v>
      </c>
      <c r="D6" t="s">
        <v>283</v>
      </c>
      <c r="E6" t="s">
        <v>247</v>
      </c>
      <c r="F6" t="n">
        <v>72.8155700278974</v>
      </c>
      <c r="G6" t="n">
        <v>70.4127606869481</v>
      </c>
      <c r="H6" t="n">
        <v>70.6721078717987</v>
      </c>
      <c r="I6" t="n">
        <v>71.838984024743</v>
      </c>
      <c r="J6" t="n">
        <v>71.8637390157922</v>
      </c>
      <c r="K6" t="n">
        <v>73.285113672826</v>
      </c>
      <c r="L6" t="n">
        <v>73.8540974746336</v>
      </c>
      <c r="M6" t="n">
        <v>76.3859796041589</v>
      </c>
      <c r="N6" t="n">
        <v>78.1731732344122</v>
      </c>
      <c r="O6" t="n">
        <v>81.4522110863654</v>
      </c>
      <c r="P6" t="n">
        <v>85.1074072625402</v>
      </c>
      <c r="Q6" t="n">
        <v>88.3190075365983</v>
      </c>
      <c r="R6" t="n">
        <v>90.969973007681</v>
      </c>
      <c r="S6" t="n">
        <v>92.7645896663577</v>
      </c>
      <c r="T6" t="n">
        <v>91.220492783307</v>
      </c>
      <c r="U6" t="n">
        <v>92.7820639309534</v>
      </c>
      <c r="V6" t="n">
        <v>92.1007141638998</v>
      </c>
      <c r="W6" t="n">
        <v>90.6546524491218</v>
      </c>
      <c r="X6" t="n">
        <v>92.3772679369669</v>
      </c>
      <c r="Y6" t="n">
        <v>94.9462415259223</v>
      </c>
      <c r="Z6" t="n">
        <v>97.1377223201344</v>
      </c>
      <c r="AA6" t="n">
        <v>96.3909649673377</v>
      </c>
      <c r="AB6" t="n">
        <v>97.5253244609157</v>
      </c>
      <c r="AC6" t="n">
        <v>99.0658329641522</v>
      </c>
      <c r="AD6" t="n">
        <v>100.337161521441</v>
      </c>
      <c r="AE6" t="n">
        <v>100</v>
      </c>
      <c r="AF6" t="n">
        <v>104.507009616499</v>
      </c>
    </row>
    <row r="7">
      <c r="A7" t="s">
        <v>88</v>
      </c>
      <c r="B7" t="s">
        <v>284</v>
      </c>
      <c r="C7" t="s">
        <v>246</v>
      </c>
      <c r="D7" t="s">
        <v>285</v>
      </c>
      <c r="E7" t="s">
        <v>247</v>
      </c>
      <c r="F7" t="n">
        <v>72.919924448614</v>
      </c>
      <c r="G7" t="n">
        <v>70.5311683028836</v>
      </c>
      <c r="H7" t="n">
        <v>70.7808361552832</v>
      </c>
      <c r="I7" t="n">
        <v>72.0033031009703</v>
      </c>
      <c r="J7" t="n">
        <v>72.0033031009703</v>
      </c>
      <c r="K7" t="n">
        <v>73.3946712768344</v>
      </c>
      <c r="L7" t="n">
        <v>73.9423927042735</v>
      </c>
      <c r="M7" t="n">
        <v>76.4433853986828</v>
      </c>
      <c r="N7" t="n">
        <v>78.2482986650406</v>
      </c>
      <c r="O7" t="n">
        <v>81.5360423064288</v>
      </c>
      <c r="P7" t="n">
        <v>85.2274210526586</v>
      </c>
      <c r="Q7" t="n">
        <v>88.3632525762782</v>
      </c>
      <c r="R7" t="n">
        <v>91.0477058191018</v>
      </c>
      <c r="S7" t="n">
        <v>92.7946708291749</v>
      </c>
      <c r="T7" t="n">
        <v>91.2992520456682</v>
      </c>
      <c r="U7" t="n">
        <v>92.8830145811543</v>
      </c>
      <c r="V7" t="n">
        <v>92.1301633991389</v>
      </c>
      <c r="W7" t="n">
        <v>90.6743820361728</v>
      </c>
      <c r="X7" t="n">
        <v>92.4237270272244</v>
      </c>
      <c r="Y7" t="n">
        <v>94.9936022573756</v>
      </c>
      <c r="Z7" t="n">
        <v>97.1507319974506</v>
      </c>
      <c r="AA7" t="n">
        <v>96.4038974145105</v>
      </c>
      <c r="AB7" t="n">
        <v>97.5086465404911</v>
      </c>
      <c r="AC7" t="n">
        <v>99.0494152217178</v>
      </c>
      <c r="AD7" t="n">
        <v>100.353356890459</v>
      </c>
      <c r="AE7" t="n">
        <v>100</v>
      </c>
      <c r="AF7" t="n">
        <v>104.495825305074</v>
      </c>
    </row>
    <row r="8">
      <c r="A8" t="s">
        <v>88</v>
      </c>
      <c r="B8" t="s">
        <v>286</v>
      </c>
      <c r="C8" t="s">
        <v>246</v>
      </c>
      <c r="D8" t="s">
        <v>287</v>
      </c>
      <c r="E8" t="s">
        <v>247</v>
      </c>
      <c r="F8" t="n">
        <v>74.7436356251889</v>
      </c>
      <c r="G8" t="n">
        <v>72.6674235244892</v>
      </c>
      <c r="H8" t="n">
        <v>72.6674235244892</v>
      </c>
      <c r="I8" t="n">
        <v>74.6859630668361</v>
      </c>
      <c r="J8" t="n">
        <v>74.6859630668361</v>
      </c>
      <c r="K8" t="n">
        <v>74.6859630668361</v>
      </c>
      <c r="L8" t="n">
        <v>74.6859630668361</v>
      </c>
      <c r="M8" t="n">
        <v>78.2424374985902</v>
      </c>
      <c r="N8" t="n">
        <v>79.9811583318922</v>
      </c>
      <c r="O8" t="n">
        <v>81.7585174059342</v>
      </c>
      <c r="P8" t="n">
        <v>85.2376032529953</v>
      </c>
      <c r="Q8" t="n">
        <v>88.8647353063142</v>
      </c>
      <c r="R8" t="n">
        <v>92.4918673596331</v>
      </c>
      <c r="S8" t="n">
        <v>94.1735376752628</v>
      </c>
      <c r="T8" t="n">
        <v>92.3625081045847</v>
      </c>
      <c r="U8" t="n">
        <v>94.3703887155539</v>
      </c>
      <c r="V8" t="n">
        <v>93.8086602112947</v>
      </c>
      <c r="W8" t="n">
        <v>92.2708133225849</v>
      </c>
      <c r="X8" t="n">
        <v>93.7834496065618</v>
      </c>
      <c r="Y8" t="n">
        <v>96.3011261060668</v>
      </c>
      <c r="Z8" t="n">
        <v>98.0955570272978</v>
      </c>
      <c r="AA8" t="n">
        <v>96.9549110153525</v>
      </c>
      <c r="AB8" t="n">
        <v>98.1445418253568</v>
      </c>
      <c r="AC8" t="n">
        <v>99.7623089983022</v>
      </c>
      <c r="AD8" t="n">
        <v>100.645161290323</v>
      </c>
      <c r="AE8" t="n">
        <v>100</v>
      </c>
      <c r="AF8" t="n">
        <v>104.46735395189</v>
      </c>
    </row>
    <row r="9">
      <c r="A9" t="s">
        <v>88</v>
      </c>
      <c r="B9" t="s">
        <v>288</v>
      </c>
      <c r="C9" t="s">
        <v>246</v>
      </c>
      <c r="D9" t="s">
        <v>289</v>
      </c>
      <c r="E9" t="s">
        <v>247</v>
      </c>
      <c r="F9" t="n">
        <v>72.7951163575362</v>
      </c>
      <c r="G9" t="n">
        <v>70.3969244665535</v>
      </c>
      <c r="H9" t="n">
        <v>70.6449756450826</v>
      </c>
      <c r="I9" t="n">
        <v>71.8094532656059</v>
      </c>
      <c r="J9" t="n">
        <v>71.8331215099255</v>
      </c>
      <c r="K9" t="n">
        <v>73.2384519820568</v>
      </c>
      <c r="L9" t="n">
        <v>73.8041678916033</v>
      </c>
      <c r="M9" t="n">
        <v>76.3327440682703</v>
      </c>
      <c r="N9" t="n">
        <v>78.125582765646</v>
      </c>
      <c r="O9" t="n">
        <v>81.3907924103512</v>
      </c>
      <c r="P9" t="n">
        <v>85.0354781330193</v>
      </c>
      <c r="Q9" t="n">
        <v>88.2384885570723</v>
      </c>
      <c r="R9" t="n">
        <v>90.8834205818309</v>
      </c>
      <c r="S9" t="n">
        <v>92.6802619683061</v>
      </c>
      <c r="T9" t="n">
        <v>91.1451427881774</v>
      </c>
      <c r="U9" t="n">
        <v>92.7059792714421</v>
      </c>
      <c r="V9" t="n">
        <v>92.041420280249</v>
      </c>
      <c r="W9" t="n">
        <v>90.5911215820674</v>
      </c>
      <c r="X9" t="n">
        <v>92.3110629361112</v>
      </c>
      <c r="Y9" t="n">
        <v>94.8974656164403</v>
      </c>
      <c r="Z9" t="n">
        <v>97.0973082225921</v>
      </c>
      <c r="AA9" t="n">
        <v>96.3585990482164</v>
      </c>
      <c r="AB9" t="n">
        <v>97.5035203718716</v>
      </c>
      <c r="AC9" t="n">
        <v>99.0580636782607</v>
      </c>
      <c r="AD9" t="n">
        <v>100.329825663578</v>
      </c>
      <c r="AE9" t="n">
        <v>100</v>
      </c>
      <c r="AF9" t="n">
        <v>104.516520157624</v>
      </c>
    </row>
    <row r="10">
      <c r="A10" t="s">
        <v>88</v>
      </c>
      <c r="B10" t="s">
        <v>290</v>
      </c>
      <c r="C10" t="s">
        <v>246</v>
      </c>
      <c r="D10" t="s">
        <v>291</v>
      </c>
      <c r="E10" t="s">
        <v>247</v>
      </c>
      <c r="F10" t="n">
        <v>72.7822483254261</v>
      </c>
      <c r="G10" t="n">
        <v>70.3890414583891</v>
      </c>
      <c r="H10" t="n">
        <v>70.6440372613828</v>
      </c>
      <c r="I10" t="n">
        <v>71.8112950441228</v>
      </c>
      <c r="J10" t="n">
        <v>71.8404984987971</v>
      </c>
      <c r="K10" t="n">
        <v>73.252294103693</v>
      </c>
      <c r="L10" t="n">
        <v>73.8161175036359</v>
      </c>
      <c r="M10" t="n">
        <v>76.3495463919471</v>
      </c>
      <c r="N10" t="n">
        <v>78.136819864304</v>
      </c>
      <c r="O10" t="n">
        <v>81.4141606929008</v>
      </c>
      <c r="P10" t="n">
        <v>85.0514937956674</v>
      </c>
      <c r="Q10" t="n">
        <v>88.2537337729139</v>
      </c>
      <c r="R10" t="n">
        <v>90.9050942612746</v>
      </c>
      <c r="S10" t="n">
        <v>92.7025339888836</v>
      </c>
      <c r="T10" t="n">
        <v>91.1655209284393</v>
      </c>
      <c r="U10" t="n">
        <v>92.7253602972569</v>
      </c>
      <c r="V10" t="n">
        <v>92.048981674399</v>
      </c>
      <c r="W10" t="n">
        <v>90.6053871319827</v>
      </c>
      <c r="X10" t="n">
        <v>92.3343325977204</v>
      </c>
      <c r="Y10" t="n">
        <v>94.9152296560853</v>
      </c>
      <c r="Z10" t="n">
        <v>97.1070900228401</v>
      </c>
      <c r="AA10" t="n">
        <v>96.3632334836679</v>
      </c>
      <c r="AB10" t="n">
        <v>97.5067106649804</v>
      </c>
      <c r="AC10" t="n">
        <v>99.0577433370017</v>
      </c>
      <c r="AD10" t="n">
        <v>100.327510917031</v>
      </c>
      <c r="AE10" t="n">
        <v>100</v>
      </c>
      <c r="AF10" t="n">
        <v>104.509803921569</v>
      </c>
    </row>
    <row r="11">
      <c r="A11" t="s">
        <v>88</v>
      </c>
      <c r="B11" t="s">
        <v>292</v>
      </c>
      <c r="C11" t="s">
        <v>246</v>
      </c>
      <c r="D11" t="s">
        <v>293</v>
      </c>
      <c r="E11" t="s">
        <v>247</v>
      </c>
      <c r="F11" t="n">
        <v>72.7732396539796</v>
      </c>
      <c r="G11" t="n">
        <v>70.3835143825043</v>
      </c>
      <c r="H11" t="n">
        <v>70.6433599930722</v>
      </c>
      <c r="I11" t="n">
        <v>71.8125592829552</v>
      </c>
      <c r="J11" t="n">
        <v>71.8456297684642</v>
      </c>
      <c r="K11" t="n">
        <v>73.2619414664089</v>
      </c>
      <c r="L11" t="n">
        <v>73.8244423658189</v>
      </c>
      <c r="M11" t="n">
        <v>76.3612610030572</v>
      </c>
      <c r="N11" t="n">
        <v>78.1446450179905</v>
      </c>
      <c r="O11" t="n">
        <v>81.4304622895276</v>
      </c>
      <c r="P11" t="n">
        <v>85.062655776808</v>
      </c>
      <c r="Q11" t="n">
        <v>88.2643563231304</v>
      </c>
      <c r="R11" t="n">
        <v>90.920207973888</v>
      </c>
      <c r="S11" t="n">
        <v>92.7180651937107</v>
      </c>
      <c r="T11" t="n">
        <v>91.1798853103127</v>
      </c>
      <c r="U11" t="n">
        <v>92.7391869906933</v>
      </c>
      <c r="V11" t="n">
        <v>92.0558456128671</v>
      </c>
      <c r="W11" t="n">
        <v>90.6162786942048</v>
      </c>
      <c r="X11" t="n">
        <v>92.3508292588978</v>
      </c>
      <c r="Y11" t="n">
        <v>94.9276595135</v>
      </c>
      <c r="Z11" t="n">
        <v>97.1149946139666</v>
      </c>
      <c r="AA11" t="n">
        <v>96.3677846186593</v>
      </c>
      <c r="AB11" t="n">
        <v>97.5100284273426</v>
      </c>
      <c r="AC11" t="n">
        <v>99.0578066563481</v>
      </c>
      <c r="AD11" t="n">
        <v>100.325909831613</v>
      </c>
      <c r="AE11" t="n">
        <v>100</v>
      </c>
      <c r="AF11" t="n">
        <v>104.504711560561</v>
      </c>
    </row>
    <row r="12">
      <c r="A12" t="s">
        <v>88</v>
      </c>
      <c r="B12" t="s">
        <v>294</v>
      </c>
      <c r="C12" t="s">
        <v>246</v>
      </c>
      <c r="D12" t="s">
        <v>295</v>
      </c>
      <c r="E12" t="s">
        <v>247</v>
      </c>
      <c r="F12" t="n">
        <v>72.8522152436726</v>
      </c>
      <c r="G12" t="n">
        <v>70.4429860130082</v>
      </c>
      <c r="H12" t="n">
        <v>70.6929104438704</v>
      </c>
      <c r="I12" t="n">
        <v>71.8804395718801</v>
      </c>
      <c r="J12" t="n">
        <v>71.914522283863</v>
      </c>
      <c r="K12" t="n">
        <v>73.3077002985872</v>
      </c>
      <c r="L12" t="n">
        <v>73.8716056854994</v>
      </c>
      <c r="M12" t="n">
        <v>76.3920774885851</v>
      </c>
      <c r="N12" t="n">
        <v>78.1834656331903</v>
      </c>
      <c r="O12" t="n">
        <v>81.4424157036719</v>
      </c>
      <c r="P12" t="n">
        <v>85.1062376834787</v>
      </c>
      <c r="Q12" t="n">
        <v>88.3093328164663</v>
      </c>
      <c r="R12" t="n">
        <v>90.9330158928975</v>
      </c>
      <c r="S12" t="n">
        <v>92.7258129095319</v>
      </c>
      <c r="T12" t="n">
        <v>91.2043319319826</v>
      </c>
      <c r="U12" t="n">
        <v>92.7693766811113</v>
      </c>
      <c r="V12" t="n">
        <v>92.0725459614295</v>
      </c>
      <c r="W12" t="n">
        <v>90.6431830627899</v>
      </c>
      <c r="X12" t="n">
        <v>92.3752184079387</v>
      </c>
      <c r="Y12" t="n">
        <v>94.927326544134</v>
      </c>
      <c r="Z12" t="n">
        <v>97.11146263438</v>
      </c>
      <c r="AA12" t="n">
        <v>96.3693444701434</v>
      </c>
      <c r="AB12" t="n">
        <v>97.5082056034428</v>
      </c>
      <c r="AC12" t="n">
        <v>99.0543642005904</v>
      </c>
      <c r="AD12" t="n">
        <v>100.327171601505</v>
      </c>
      <c r="AE12" t="n">
        <v>100</v>
      </c>
      <c r="AF12" t="n">
        <v>104.511278195489</v>
      </c>
    </row>
    <row r="13">
      <c r="A13" t="s">
        <v>88</v>
      </c>
      <c r="B13" t="s">
        <v>296</v>
      </c>
      <c r="C13" t="s">
        <v>246</v>
      </c>
      <c r="D13" t="s">
        <v>297</v>
      </c>
      <c r="E13" t="s">
        <v>247</v>
      </c>
      <c r="F13" t="n">
        <v>72.8539705176536</v>
      </c>
      <c r="G13" t="n">
        <v>70.4472936775517</v>
      </c>
      <c r="H13" t="n">
        <v>70.6832980114798</v>
      </c>
      <c r="I13" t="n">
        <v>71.8373110402386</v>
      </c>
      <c r="J13" t="n">
        <v>71.8654604567905</v>
      </c>
      <c r="K13" t="n">
        <v>73.2901664971081</v>
      </c>
      <c r="L13" t="n">
        <v>73.8595110108568</v>
      </c>
      <c r="M13" t="n">
        <v>76.4046177251188</v>
      </c>
      <c r="N13" t="n">
        <v>78.1861375472809</v>
      </c>
      <c r="O13" t="n">
        <v>81.4751867253215</v>
      </c>
      <c r="P13" t="n">
        <v>85.1191163363438</v>
      </c>
      <c r="Q13" t="n">
        <v>88.3216701537249</v>
      </c>
      <c r="R13" t="n">
        <v>90.9660315355729</v>
      </c>
      <c r="S13" t="n">
        <v>92.7634911707217</v>
      </c>
      <c r="T13" t="n">
        <v>91.2084180680056</v>
      </c>
      <c r="U13" t="n">
        <v>92.7633594378936</v>
      </c>
      <c r="V13" t="n">
        <v>92.0888701168274</v>
      </c>
      <c r="W13" t="n">
        <v>90.6543963316703</v>
      </c>
      <c r="X13" t="n">
        <v>92.3774544705474</v>
      </c>
      <c r="Y13" t="n">
        <v>94.9421755715291</v>
      </c>
      <c r="Z13" t="n">
        <v>97.1311678654478</v>
      </c>
      <c r="AA13" t="n">
        <v>96.3807580702536</v>
      </c>
      <c r="AB13" t="n">
        <v>97.5156262726891</v>
      </c>
      <c r="AC13" t="n">
        <v>99.0505944640184</v>
      </c>
      <c r="AD13" t="n">
        <v>100.320134793597</v>
      </c>
      <c r="AE13" t="n">
        <v>100</v>
      </c>
      <c r="AF13" t="n">
        <v>104.505332842957</v>
      </c>
    </row>
    <row r="14">
      <c r="A14" t="s">
        <v>88</v>
      </c>
      <c r="B14" t="s">
        <v>298</v>
      </c>
      <c r="C14" t="s">
        <v>246</v>
      </c>
      <c r="D14" t="s">
        <v>299</v>
      </c>
      <c r="E14" t="s">
        <v>247</v>
      </c>
      <c r="F14" t="n">
        <v>72.8017608373669</v>
      </c>
      <c r="G14" t="n">
        <v>70.4106551914949</v>
      </c>
      <c r="H14" t="n">
        <v>70.6628348250714</v>
      </c>
      <c r="I14" t="n">
        <v>71.8345531043526</v>
      </c>
      <c r="J14" t="n">
        <v>71.864638775065</v>
      </c>
      <c r="K14" t="n">
        <v>73.2701131718611</v>
      </c>
      <c r="L14" t="n">
        <v>73.8509634461567</v>
      </c>
      <c r="M14" t="n">
        <v>76.378600587915</v>
      </c>
      <c r="N14" t="n">
        <v>78.1571334122767</v>
      </c>
      <c r="O14" t="n">
        <v>81.4501933235458</v>
      </c>
      <c r="P14" t="n">
        <v>85.088076495218</v>
      </c>
      <c r="Q14" t="n">
        <v>88.2834745158095</v>
      </c>
      <c r="R14" t="n">
        <v>90.9396080710701</v>
      </c>
      <c r="S14" t="n">
        <v>92.7395356073517</v>
      </c>
      <c r="T14" t="n">
        <v>91.2016830387786</v>
      </c>
      <c r="U14" t="n">
        <v>92.7675292127663</v>
      </c>
      <c r="V14" t="n">
        <v>92.0786440219766</v>
      </c>
      <c r="W14" t="n">
        <v>90.6373726436978</v>
      </c>
      <c r="X14" t="n">
        <v>92.3631347153828</v>
      </c>
      <c r="Y14" t="n">
        <v>94.9308420232945</v>
      </c>
      <c r="Z14" t="n">
        <v>97.1210272754541</v>
      </c>
      <c r="AA14" t="n">
        <v>96.3780986940703</v>
      </c>
      <c r="AB14" t="n">
        <v>97.5168946363509</v>
      </c>
      <c r="AC14" t="n">
        <v>99.0606573884311</v>
      </c>
      <c r="AD14" t="n">
        <v>100.329613138264</v>
      </c>
      <c r="AE14" t="n">
        <v>100</v>
      </c>
      <c r="AF14" t="n">
        <v>104.51298484545</v>
      </c>
    </row>
    <row r="15">
      <c r="A15" t="s">
        <v>88</v>
      </c>
      <c r="B15" t="s">
        <v>300</v>
      </c>
      <c r="C15" t="s">
        <v>246</v>
      </c>
      <c r="D15" t="s">
        <v>301</v>
      </c>
      <c r="E15" t="s">
        <v>247</v>
      </c>
      <c r="F15" t="n">
        <v>72.8026717228295</v>
      </c>
      <c r="G15" t="n">
        <v>70.4094790664767</v>
      </c>
      <c r="H15" t="n">
        <v>70.6630894161039</v>
      </c>
      <c r="I15" t="n">
        <v>71.8397443306463</v>
      </c>
      <c r="J15" t="n">
        <v>71.8674095831083</v>
      </c>
      <c r="K15" t="n">
        <v>73.2741988125613</v>
      </c>
      <c r="L15" t="n">
        <v>73.8528131905501</v>
      </c>
      <c r="M15" t="n">
        <v>76.3855231956309</v>
      </c>
      <c r="N15" t="n">
        <v>78.166948002243</v>
      </c>
      <c r="O15" t="n">
        <v>81.4559780435192</v>
      </c>
      <c r="P15" t="n">
        <v>85.0931935930557</v>
      </c>
      <c r="Q15" t="n">
        <v>88.2850009310381</v>
      </c>
      <c r="R15" t="n">
        <v>90.9351098465667</v>
      </c>
      <c r="S15" t="n">
        <v>92.7372230543666</v>
      </c>
      <c r="T15" t="n">
        <v>91.1988671286652</v>
      </c>
      <c r="U15" t="n">
        <v>92.7671081191263</v>
      </c>
      <c r="V15" t="n">
        <v>92.0800140756304</v>
      </c>
      <c r="W15" t="n">
        <v>90.6394082366184</v>
      </c>
      <c r="X15" t="n">
        <v>92.3664992223362</v>
      </c>
      <c r="Y15" t="n">
        <v>94.9301201130908</v>
      </c>
      <c r="Z15" t="n">
        <v>97.1177015711657</v>
      </c>
      <c r="AA15" t="n">
        <v>96.3765022375719</v>
      </c>
      <c r="AB15" t="n">
        <v>97.5125710262269</v>
      </c>
      <c r="AC15" t="n">
        <v>99.0586843146769</v>
      </c>
      <c r="AD15" t="n">
        <v>100.330453477724</v>
      </c>
      <c r="AE15" t="n">
        <v>100</v>
      </c>
      <c r="AF15" t="n">
        <v>104.513953058584</v>
      </c>
    </row>
    <row r="16">
      <c r="A16" t="s">
        <v>88</v>
      </c>
      <c r="B16" t="s">
        <v>302</v>
      </c>
      <c r="C16" t="s">
        <v>246</v>
      </c>
      <c r="D16" t="s">
        <v>303</v>
      </c>
      <c r="E16" t="s">
        <v>247</v>
      </c>
      <c r="F16" t="n">
        <v>72.8108758651094</v>
      </c>
      <c r="G16" t="n">
        <v>70.412842497902</v>
      </c>
      <c r="H16" t="n">
        <v>70.6696532629806</v>
      </c>
      <c r="I16" t="n">
        <v>71.8573785279046</v>
      </c>
      <c r="J16" t="n">
        <v>71.8796667966788</v>
      </c>
      <c r="K16" t="n">
        <v>73.2894973162274</v>
      </c>
      <c r="L16" t="n">
        <v>73.8631920114621</v>
      </c>
      <c r="M16" t="n">
        <v>76.4073912402945</v>
      </c>
      <c r="N16" t="n">
        <v>78.1953957154963</v>
      </c>
      <c r="O16" t="n">
        <v>81.4757479217049</v>
      </c>
      <c r="P16" t="n">
        <v>85.1117885295297</v>
      </c>
      <c r="Q16" t="n">
        <v>88.2958869436297</v>
      </c>
      <c r="R16" t="n">
        <v>90.9328345034537</v>
      </c>
      <c r="S16" t="n">
        <v>92.7399563730784</v>
      </c>
      <c r="T16" t="n">
        <v>91.200517935298</v>
      </c>
      <c r="U16" t="n">
        <v>92.7743250769883</v>
      </c>
      <c r="V16" t="n">
        <v>92.0907997349015</v>
      </c>
      <c r="W16" t="n">
        <v>90.651397318877</v>
      </c>
      <c r="X16" t="n">
        <v>92.3815309505922</v>
      </c>
      <c r="Y16" t="n">
        <v>94.9329430957146</v>
      </c>
      <c r="Z16" t="n">
        <v>97.1135609125499</v>
      </c>
      <c r="AA16" t="n">
        <v>96.3750547459145</v>
      </c>
      <c r="AB16" t="n">
        <v>97.5064588037641</v>
      </c>
      <c r="AC16" t="n">
        <v>99.056278072577</v>
      </c>
      <c r="AD16" t="n">
        <v>100.332310838446</v>
      </c>
      <c r="AE16" t="n">
        <v>100</v>
      </c>
      <c r="AF16" t="n">
        <v>104.516129032258</v>
      </c>
    </row>
    <row r="17">
      <c r="A17" t="s">
        <v>88</v>
      </c>
      <c r="B17" t="s">
        <v>304</v>
      </c>
      <c r="C17" t="s">
        <v>246</v>
      </c>
      <c r="D17" t="s">
        <v>305</v>
      </c>
      <c r="E17" t="s">
        <v>247</v>
      </c>
      <c r="F17" t="n">
        <v>72.8118446460849</v>
      </c>
      <c r="G17" t="n">
        <v>70.4239953883401</v>
      </c>
      <c r="H17" t="n">
        <v>70.6680993584903</v>
      </c>
      <c r="I17" t="n">
        <v>71.8362375838901</v>
      </c>
      <c r="J17" t="n">
        <v>71.8695182128379</v>
      </c>
      <c r="K17" t="n">
        <v>73.2785656685037</v>
      </c>
      <c r="L17" t="n">
        <v>73.8522496377248</v>
      </c>
      <c r="M17" t="n">
        <v>76.3823730049431</v>
      </c>
      <c r="N17" t="n">
        <v>78.1619836758669</v>
      </c>
      <c r="O17" t="n">
        <v>81.4448788194881</v>
      </c>
      <c r="P17" t="n">
        <v>85.0845345157319</v>
      </c>
      <c r="Q17" t="n">
        <v>88.2827308779168</v>
      </c>
      <c r="R17" t="n">
        <v>90.9314472039292</v>
      </c>
      <c r="S17" t="n">
        <v>92.733135966811</v>
      </c>
      <c r="T17" t="n">
        <v>91.1930999117135</v>
      </c>
      <c r="U17" t="n">
        <v>92.7530582193855</v>
      </c>
      <c r="V17" t="n">
        <v>92.07406322043</v>
      </c>
      <c r="W17" t="n">
        <v>90.6313159157528</v>
      </c>
      <c r="X17" t="n">
        <v>92.3572842410677</v>
      </c>
      <c r="Y17" t="n">
        <v>94.9250599437945</v>
      </c>
      <c r="Z17" t="n">
        <v>97.1143017167509</v>
      </c>
      <c r="AA17" t="n">
        <v>96.3726291921073</v>
      </c>
      <c r="AB17" t="n">
        <v>97.514366889273</v>
      </c>
      <c r="AC17" t="n">
        <v>99.0562109958158</v>
      </c>
      <c r="AD17" t="n">
        <v>100.327787228746</v>
      </c>
      <c r="AE17" t="n">
        <v>100</v>
      </c>
      <c r="AF17" t="n">
        <v>104.511349157661</v>
      </c>
    </row>
    <row r="18">
      <c r="A18" t="s">
        <v>88</v>
      </c>
      <c r="B18" t="s">
        <v>306</v>
      </c>
      <c r="C18" t="s">
        <v>246</v>
      </c>
      <c r="D18" t="s">
        <v>307</v>
      </c>
      <c r="E18" t="s">
        <v>247</v>
      </c>
      <c r="F18" t="n">
        <v>72.8269543099935</v>
      </c>
      <c r="G18" t="n">
        <v>70.4326818438933</v>
      </c>
      <c r="H18" t="n">
        <v>70.6829526091477</v>
      </c>
      <c r="I18" t="n">
        <v>71.8525396905458</v>
      </c>
      <c r="J18" t="n">
        <v>71.8835048926534</v>
      </c>
      <c r="K18" t="n">
        <v>73.291297076872</v>
      </c>
      <c r="L18" t="n">
        <v>73.8646795818844</v>
      </c>
      <c r="M18" t="n">
        <v>76.3972521251032</v>
      </c>
      <c r="N18" t="n">
        <v>78.1751241946812</v>
      </c>
      <c r="O18" t="n">
        <v>81.4624258001614</v>
      </c>
      <c r="P18" t="n">
        <v>85.1025965492482</v>
      </c>
      <c r="Q18" t="n">
        <v>88.2996603863939</v>
      </c>
      <c r="R18" t="n">
        <v>90.9498548318245</v>
      </c>
      <c r="S18" t="n">
        <v>92.7472526258827</v>
      </c>
      <c r="T18" t="n">
        <v>91.209514381971</v>
      </c>
      <c r="U18" t="n">
        <v>92.7726166317285</v>
      </c>
      <c r="V18" t="n">
        <v>92.0874243761436</v>
      </c>
      <c r="W18" t="n">
        <v>90.6440171072953</v>
      </c>
      <c r="X18" t="n">
        <v>92.3720090251859</v>
      </c>
      <c r="Y18" t="n">
        <v>94.9369098675463</v>
      </c>
      <c r="Z18" t="n">
        <v>97.1246582967445</v>
      </c>
      <c r="AA18" t="n">
        <v>96.3791011274697</v>
      </c>
      <c r="AB18" t="n">
        <v>97.5181476704593</v>
      </c>
      <c r="AC18" t="n">
        <v>99.0600384799813</v>
      </c>
      <c r="AD18" t="n">
        <v>100.329824368524</v>
      </c>
      <c r="AE18" t="n">
        <v>100</v>
      </c>
      <c r="AF18" t="n">
        <v>104.510491212697</v>
      </c>
    </row>
    <row r="19">
      <c r="A19" t="s">
        <v>88</v>
      </c>
      <c r="B19" t="s">
        <v>308</v>
      </c>
      <c r="C19" t="s">
        <v>246</v>
      </c>
      <c r="D19" t="s">
        <v>309</v>
      </c>
      <c r="E19" t="s">
        <v>247</v>
      </c>
      <c r="F19" t="n">
        <v>72.7210745235915</v>
      </c>
      <c r="G19" t="n">
        <v>70.336114325208</v>
      </c>
      <c r="H19" t="n">
        <v>70.617137613037</v>
      </c>
      <c r="I19" t="n">
        <v>71.795399086002</v>
      </c>
      <c r="J19" t="n">
        <v>71.8337308527324</v>
      </c>
      <c r="K19" t="n">
        <v>73.2517473578773</v>
      </c>
      <c r="L19" t="n">
        <v>73.8510157433844</v>
      </c>
      <c r="M19" t="n">
        <v>76.3722452993463</v>
      </c>
      <c r="N19" t="n">
        <v>78.1491387022842</v>
      </c>
      <c r="O19" t="n">
        <v>81.4288633860894</v>
      </c>
      <c r="P19" t="n">
        <v>85.063456429932</v>
      </c>
      <c r="Q19" t="n">
        <v>88.2339706890739</v>
      </c>
      <c r="R19" t="n">
        <v>90.8979094206086</v>
      </c>
      <c r="S19" t="n">
        <v>92.717190722695</v>
      </c>
      <c r="T19" t="n">
        <v>91.1915050337374</v>
      </c>
      <c r="U19" t="n">
        <v>92.75741976664</v>
      </c>
      <c r="V19" t="n">
        <v>92.0778782298881</v>
      </c>
      <c r="W19" t="n">
        <v>90.6353130761145</v>
      </c>
      <c r="X19" t="n">
        <v>92.3578604738409</v>
      </c>
      <c r="Y19" t="n">
        <v>94.913889822748</v>
      </c>
      <c r="Z19" t="n">
        <v>97.1082413127839</v>
      </c>
      <c r="AA19" t="n">
        <v>96.3619907884098</v>
      </c>
      <c r="AB19" t="n">
        <v>97.505510916435</v>
      </c>
      <c r="AC19" t="n">
        <v>99.0620413073473</v>
      </c>
      <c r="AD19" t="n">
        <v>100.327296530657</v>
      </c>
      <c r="AE19" t="n">
        <v>100</v>
      </c>
      <c r="AF19" t="n">
        <v>104.5114486511</v>
      </c>
    </row>
    <row r="20">
      <c r="A20" t="s">
        <v>88</v>
      </c>
      <c r="B20" t="s">
        <v>310</v>
      </c>
      <c r="C20" t="s">
        <v>246</v>
      </c>
      <c r="D20" t="s">
        <v>311</v>
      </c>
      <c r="E20" t="s">
        <v>247</v>
      </c>
      <c r="F20" t="n">
        <v>72.2866013187567</v>
      </c>
      <c r="G20" t="n">
        <v>69.8011021330115</v>
      </c>
      <c r="H20" t="n">
        <v>70.2129080453007</v>
      </c>
      <c r="I20" t="n">
        <v>71.423475425392</v>
      </c>
      <c r="J20" t="n">
        <v>71.423475425392</v>
      </c>
      <c r="K20" t="n">
        <v>72.7638623636702</v>
      </c>
      <c r="L20" t="n">
        <v>73.3055288328787</v>
      </c>
      <c r="M20" t="n">
        <v>75.8209146261637</v>
      </c>
      <c r="N20" t="n">
        <v>77.5719750101398</v>
      </c>
      <c r="O20" t="n">
        <v>80.8267431923834</v>
      </c>
      <c r="P20" t="n">
        <v>84.5902944275055</v>
      </c>
      <c r="Q20" t="n">
        <v>87.7369793405637</v>
      </c>
      <c r="R20" t="n">
        <v>90.3229113632329</v>
      </c>
      <c r="S20" t="n">
        <v>92.1904903575855</v>
      </c>
      <c r="T20" t="n">
        <v>91.1774080459637</v>
      </c>
      <c r="U20" t="n">
        <v>92.5729806180958</v>
      </c>
      <c r="V20" t="n">
        <v>92.1840185146584</v>
      </c>
      <c r="W20" t="n">
        <v>90.7701532000164</v>
      </c>
      <c r="X20" t="n">
        <v>92.5803841755153</v>
      </c>
      <c r="Y20" t="n">
        <v>95.1882823213044</v>
      </c>
      <c r="Z20" t="n">
        <v>97.188036151584</v>
      </c>
      <c r="AA20" t="n">
        <v>96.432688720354</v>
      </c>
      <c r="AB20" t="n">
        <v>97.5411104297833</v>
      </c>
      <c r="AC20" t="n">
        <v>99.1427706995663</v>
      </c>
      <c r="AD20" t="n">
        <v>100.331125827815</v>
      </c>
      <c r="AE20" t="n">
        <v>100</v>
      </c>
      <c r="AF20" t="n">
        <v>104.678362573099</v>
      </c>
    </row>
    <row r="21">
      <c r="A21" t="s">
        <v>88</v>
      </c>
      <c r="B21" t="s">
        <v>312</v>
      </c>
      <c r="C21" t="s">
        <v>246</v>
      </c>
      <c r="D21" t="s">
        <v>313</v>
      </c>
      <c r="E21" t="s">
        <v>247</v>
      </c>
      <c r="F21" t="n">
        <v>72.4422335363886</v>
      </c>
      <c r="G21" t="n">
        <v>70.0726277665068</v>
      </c>
      <c r="H21" t="n">
        <v>70.577959216746</v>
      </c>
      <c r="I21" t="n">
        <v>71.9002629023056</v>
      </c>
      <c r="J21" t="n">
        <v>71.9002629023056</v>
      </c>
      <c r="K21" t="n">
        <v>73.313150164578</v>
      </c>
      <c r="L21" t="n">
        <v>73.7574722867876</v>
      </c>
      <c r="M21" t="n">
        <v>76.2602208474171</v>
      </c>
      <c r="N21" t="n">
        <v>77.9803762048777</v>
      </c>
      <c r="O21" t="n">
        <v>81.2357239781363</v>
      </c>
      <c r="P21" t="n">
        <v>84.9015959988104</v>
      </c>
      <c r="Q21" t="n">
        <v>88.0797306083915</v>
      </c>
      <c r="R21" t="n">
        <v>90.6480932504887</v>
      </c>
      <c r="S21" t="n">
        <v>92.5915439480489</v>
      </c>
      <c r="T21" t="n">
        <v>91.0221957455396</v>
      </c>
      <c r="U21" t="n">
        <v>92.5754755364191</v>
      </c>
      <c r="V21" t="n">
        <v>92.0244310391786</v>
      </c>
      <c r="W21" t="n">
        <v>90.5604059999189</v>
      </c>
      <c r="X21" t="n">
        <v>92.363599924696</v>
      </c>
      <c r="Y21" t="n">
        <v>95.0505410134144</v>
      </c>
      <c r="Z21" t="n">
        <v>97.2356109217688</v>
      </c>
      <c r="AA21" t="n">
        <v>96.4364141196721</v>
      </c>
      <c r="AB21" t="n">
        <v>97.566528347637</v>
      </c>
      <c r="AC21" t="n">
        <v>99.1139106837013</v>
      </c>
      <c r="AD21" t="n">
        <v>100.351802990325</v>
      </c>
      <c r="AE21" t="n">
        <v>100</v>
      </c>
      <c r="AF21" t="n">
        <v>104.569055036345</v>
      </c>
    </row>
    <row r="22">
      <c r="A22" t="s">
        <v>88</v>
      </c>
      <c r="B22" t="s">
        <v>314</v>
      </c>
      <c r="C22" t="s">
        <v>246</v>
      </c>
      <c r="D22" t="s">
        <v>315</v>
      </c>
      <c r="E22" t="s">
        <v>247</v>
      </c>
      <c r="F22" t="n">
        <v>71.9299616172246</v>
      </c>
      <c r="G22" t="n">
        <v>70.1089499307125</v>
      </c>
      <c r="H22" t="n">
        <v>71.0194557739685</v>
      </c>
      <c r="I22" t="n">
        <v>72.8174166796386</v>
      </c>
      <c r="J22" t="n">
        <v>72.8174166796386</v>
      </c>
      <c r="K22" t="n">
        <v>74.530767660336</v>
      </c>
      <c r="L22" t="n">
        <v>74.530767660336</v>
      </c>
      <c r="M22" t="n">
        <v>76.9349859719597</v>
      </c>
      <c r="N22" t="n">
        <v>78.4892281128074</v>
      </c>
      <c r="O22" t="n">
        <v>81.6928700765955</v>
      </c>
      <c r="P22" t="n">
        <v>84.8654087203467</v>
      </c>
      <c r="Q22" t="n">
        <v>88.1294629018985</v>
      </c>
      <c r="R22" t="n">
        <v>90.5775035380624</v>
      </c>
      <c r="S22" t="n">
        <v>92.8232267662788</v>
      </c>
      <c r="T22" t="n">
        <v>91.0031634963518</v>
      </c>
      <c r="U22" t="n">
        <v>92.8795173828745</v>
      </c>
      <c r="V22" t="n">
        <v>91.9317672054982</v>
      </c>
      <c r="W22" t="n">
        <v>90.3189291843491</v>
      </c>
      <c r="X22" t="n">
        <v>92.107422831564</v>
      </c>
      <c r="Y22" t="n">
        <v>94.8775708866486</v>
      </c>
      <c r="Z22" t="n">
        <v>97.2856310614366</v>
      </c>
      <c r="AA22" t="n">
        <v>96.4372098603194</v>
      </c>
      <c r="AB22" t="n">
        <v>97.5991039550221</v>
      </c>
      <c r="AC22" t="n">
        <v>99.0904315196998</v>
      </c>
      <c r="AD22" t="n">
        <v>100.375234521576</v>
      </c>
      <c r="AE22" t="n">
        <v>100</v>
      </c>
      <c r="AF22" t="n">
        <v>104.50885668277</v>
      </c>
    </row>
    <row r="23">
      <c r="A23" t="s">
        <v>88</v>
      </c>
      <c r="B23" t="s">
        <v>316</v>
      </c>
      <c r="C23" t="s">
        <v>246</v>
      </c>
      <c r="D23" t="s">
        <v>317</v>
      </c>
      <c r="E23" t="s">
        <v>247</v>
      </c>
      <c r="F23" t="n">
        <v>72.6224490531815</v>
      </c>
      <c r="G23" t="n">
        <v>70.2563040965615</v>
      </c>
      <c r="H23" t="n">
        <v>70.4369115621054</v>
      </c>
      <c r="I23" t="n">
        <v>71.6726468526686</v>
      </c>
      <c r="J23" t="n">
        <v>71.6726468526686</v>
      </c>
      <c r="K23" t="n">
        <v>73.1833115404298</v>
      </c>
      <c r="L23" t="n">
        <v>73.8183077360084</v>
      </c>
      <c r="M23" t="n">
        <v>76.3420105645898</v>
      </c>
      <c r="N23" t="n">
        <v>78.1889946911525</v>
      </c>
      <c r="O23" t="n">
        <v>81.367409109492</v>
      </c>
      <c r="P23" t="n">
        <v>84.9872358203592</v>
      </c>
      <c r="Q23" t="n">
        <v>88.2310234470904</v>
      </c>
      <c r="R23" t="n">
        <v>90.8260535484754</v>
      </c>
      <c r="S23" t="n">
        <v>92.6127955854946</v>
      </c>
      <c r="T23" t="n">
        <v>91.070760791221</v>
      </c>
      <c r="U23" t="n">
        <v>92.671045725252</v>
      </c>
      <c r="V23" t="n">
        <v>92.1343408272293</v>
      </c>
      <c r="W23" t="n">
        <v>90.5987684801089</v>
      </c>
      <c r="X23" t="n">
        <v>92.316741549678</v>
      </c>
      <c r="Y23" t="n">
        <v>94.9111230452193</v>
      </c>
      <c r="Z23" t="n">
        <v>97.102845766143</v>
      </c>
      <c r="AA23" t="n">
        <v>96.3266439614577</v>
      </c>
      <c r="AB23" t="n">
        <v>97.4815138073171</v>
      </c>
      <c r="AC23" t="n">
        <v>99.0094372212249</v>
      </c>
      <c r="AD23" t="n">
        <v>100.296559905101</v>
      </c>
      <c r="AE23" t="n">
        <v>100</v>
      </c>
      <c r="AF23" t="n">
        <v>104.496124031008</v>
      </c>
    </row>
    <row r="24">
      <c r="A24" t="s">
        <v>88</v>
      </c>
      <c r="B24" t="s">
        <v>318</v>
      </c>
      <c r="C24" t="s">
        <v>246</v>
      </c>
      <c r="D24" t="s">
        <v>319</v>
      </c>
      <c r="E24" t="s">
        <v>247</v>
      </c>
      <c r="F24" t="n">
        <v>72.8303216917228</v>
      </c>
      <c r="G24" t="n">
        <v>70.4224620766087</v>
      </c>
      <c r="H24" t="n">
        <v>70.658580977117</v>
      </c>
      <c r="I24" t="n">
        <v>71.8131329538673</v>
      </c>
      <c r="J24" t="n">
        <v>71.8412949667904</v>
      </c>
      <c r="K24" t="n">
        <v>73.2666087166084</v>
      </c>
      <c r="L24" t="n">
        <v>73.8622722021093</v>
      </c>
      <c r="M24" t="n">
        <v>76.3835200864028</v>
      </c>
      <c r="N24" t="n">
        <v>78.1663044145207</v>
      </c>
      <c r="O24" t="n">
        <v>81.4307904457536</v>
      </c>
      <c r="P24" t="n">
        <v>85.0761789209418</v>
      </c>
      <c r="Q24" t="n">
        <v>88.2526386192968</v>
      </c>
      <c r="R24" t="n">
        <v>90.897308640852</v>
      </c>
      <c r="S24" t="n">
        <v>92.7196283810455</v>
      </c>
      <c r="T24" t="n">
        <v>91.1830623633919</v>
      </c>
      <c r="U24" t="n">
        <v>92.7489056867249</v>
      </c>
      <c r="V24" t="n">
        <v>92.062014271511</v>
      </c>
      <c r="W24" t="n">
        <v>90.6057864223089</v>
      </c>
      <c r="X24" t="n">
        <v>92.3322960484585</v>
      </c>
      <c r="Y24" t="n">
        <v>94.9213544725302</v>
      </c>
      <c r="Z24" t="n">
        <v>97.1014383793703</v>
      </c>
      <c r="AA24" t="n">
        <v>96.3598794432964</v>
      </c>
      <c r="AB24" t="n">
        <v>97.5136402617894</v>
      </c>
      <c r="AC24" t="n">
        <v>99.0522211993197</v>
      </c>
      <c r="AD24" t="n">
        <v>100.326317506934</v>
      </c>
      <c r="AE24" t="n">
        <v>100</v>
      </c>
      <c r="AF24" t="n">
        <v>104.520202020202</v>
      </c>
    </row>
    <row r="25">
      <c r="A25" t="s">
        <v>88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88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88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88</v>
      </c>
      <c r="B28" t="s">
        <v>326</v>
      </c>
      <c r="C28" t="s">
        <v>246</v>
      </c>
      <c r="D28" t="s">
        <v>327</v>
      </c>
      <c r="E28" t="s">
        <v>247</v>
      </c>
      <c r="F28" t="n">
        <v>72.5110846598526</v>
      </c>
      <c r="G28" t="n">
        <v>70.0420692323666</v>
      </c>
      <c r="H28" t="n">
        <v>70.3000510711599</v>
      </c>
      <c r="I28" t="n">
        <v>71.5621704799778</v>
      </c>
      <c r="J28" t="n">
        <v>71.5621704799778</v>
      </c>
      <c r="K28" t="n">
        <v>73.0006060675151</v>
      </c>
      <c r="L28" t="n">
        <v>73.5827480616739</v>
      </c>
      <c r="M28" t="n">
        <v>76.0161932731623</v>
      </c>
      <c r="N28" t="n">
        <v>77.8590100797844</v>
      </c>
      <c r="O28" t="n">
        <v>81.1079702619513</v>
      </c>
      <c r="P28" t="n">
        <v>84.720537902929</v>
      </c>
      <c r="Q28" t="n">
        <v>87.880005476657</v>
      </c>
      <c r="R28" t="n">
        <v>90.5858155515742</v>
      </c>
      <c r="S28" t="n">
        <v>92.342631368332</v>
      </c>
      <c r="T28" t="n">
        <v>90.7797095398129</v>
      </c>
      <c r="U28" t="n">
        <v>92.2624997137845</v>
      </c>
      <c r="V28" t="n">
        <v>91.6633925727859</v>
      </c>
      <c r="W28" t="n">
        <v>90.5176001656261</v>
      </c>
      <c r="X28" t="n">
        <v>92.2825672997748</v>
      </c>
      <c r="Y28" t="n">
        <v>94.9445644334221</v>
      </c>
      <c r="Z28" t="n">
        <v>97.1331877628424</v>
      </c>
      <c r="AA28" t="n">
        <v>96.3676897857272</v>
      </c>
      <c r="AB28" t="n">
        <v>97.5420630662701</v>
      </c>
      <c r="AC28" t="n">
        <v>99.0802467687833</v>
      </c>
      <c r="AD28" t="n">
        <v>100.337078651685</v>
      </c>
      <c r="AE28" t="n">
        <v>100</v>
      </c>
      <c r="AF28" t="n">
        <v>104.452466907341</v>
      </c>
    </row>
    <row r="29">
      <c r="A29" t="s">
        <v>88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88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88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88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88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88</v>
      </c>
      <c r="B34" t="s">
        <v>338</v>
      </c>
      <c r="C34" t="s">
        <v>246</v>
      </c>
      <c r="D34" t="s">
        <v>339</v>
      </c>
      <c r="E34" t="s">
        <v>247</v>
      </c>
      <c r="F34" t="n">
        <v>73.0107326641855</v>
      </c>
      <c r="G34" t="n">
        <v>73.0107326641855</v>
      </c>
      <c r="H34" t="n">
        <v>73.0107326641855</v>
      </c>
      <c r="I34" t="n">
        <v>77.0668844788625</v>
      </c>
      <c r="J34" t="n">
        <v>77.0668844788625</v>
      </c>
      <c r="K34" t="n">
        <v>77.0668844788625</v>
      </c>
      <c r="L34" t="n">
        <v>77.0668844788625</v>
      </c>
      <c r="M34" t="n">
        <v>80.7367361207131</v>
      </c>
      <c r="N34" t="n">
        <v>80.7367361207131</v>
      </c>
      <c r="O34" t="n">
        <v>84.4065877625637</v>
      </c>
      <c r="P34" t="n">
        <v>87.9235289193371</v>
      </c>
      <c r="Q34" t="n">
        <v>91.5870092909762</v>
      </c>
      <c r="R34" t="n">
        <v>95.2504896626153</v>
      </c>
      <c r="S34" t="n">
        <v>95.2504896626152</v>
      </c>
      <c r="T34" t="n">
        <v>92.9826208611244</v>
      </c>
      <c r="U34" t="n">
        <v>94.8802253684943</v>
      </c>
      <c r="V34" t="n">
        <v>92.2446635527028</v>
      </c>
      <c r="W34" t="n">
        <v>90.3228997286881</v>
      </c>
      <c r="X34" t="n">
        <v>92.9035540066507</v>
      </c>
      <c r="Y34" t="n">
        <v>95.2261428568169</v>
      </c>
      <c r="Z34" t="n">
        <v>97.6067964282373</v>
      </c>
      <c r="AA34" t="n">
        <v>96.1714023631162</v>
      </c>
      <c r="AB34" t="n">
        <v>96.9532836831415</v>
      </c>
      <c r="AC34" t="n">
        <v>98.5781990521327</v>
      </c>
      <c r="AD34" t="n">
        <v>100</v>
      </c>
      <c r="AE34" t="n">
        <v>100</v>
      </c>
      <c r="AF34" t="n">
        <v>104.225352112676</v>
      </c>
    </row>
    <row r="35">
      <c r="A35" t="s">
        <v>88</v>
      </c>
      <c r="B35" t="s">
        <v>340</v>
      </c>
      <c r="C35" t="s">
        <v>246</v>
      </c>
      <c r="D35" t="s">
        <v>341</v>
      </c>
      <c r="E35" t="s">
        <v>247</v>
      </c>
      <c r="F35" t="n">
        <v>72.8139317082744</v>
      </c>
      <c r="G35" t="n">
        <v>70.4180932354665</v>
      </c>
      <c r="H35" t="n">
        <v>70.6705574417713</v>
      </c>
      <c r="I35" t="n">
        <v>71.8387443205964</v>
      </c>
      <c r="J35" t="n">
        <v>71.8758175985325</v>
      </c>
      <c r="K35" t="n">
        <v>73.2922231919767</v>
      </c>
      <c r="L35" t="n">
        <v>73.8632207447514</v>
      </c>
      <c r="M35" t="n">
        <v>76.3854207885162</v>
      </c>
      <c r="N35" t="n">
        <v>78.1610576648846</v>
      </c>
      <c r="O35" t="n">
        <v>81.4515111776608</v>
      </c>
      <c r="P35" t="n">
        <v>85.0970823368765</v>
      </c>
      <c r="Q35" t="n">
        <v>88.2910513712019</v>
      </c>
      <c r="R35" t="n">
        <v>90.9433482950881</v>
      </c>
      <c r="S35" t="n">
        <v>92.7328168490321</v>
      </c>
      <c r="T35" t="n">
        <v>91.1967443643801</v>
      </c>
      <c r="U35" t="n">
        <v>92.7560777090101</v>
      </c>
      <c r="V35" t="n">
        <v>92.0707424244357</v>
      </c>
      <c r="W35" t="n">
        <v>90.6208094728698</v>
      </c>
      <c r="X35" t="n">
        <v>92.3512438656211</v>
      </c>
      <c r="Y35" t="n">
        <v>94.916790620181</v>
      </c>
      <c r="Z35" t="n">
        <v>97.1063946956466</v>
      </c>
      <c r="AA35" t="n">
        <v>96.3752122542384</v>
      </c>
      <c r="AB35" t="n">
        <v>97.5166814096467</v>
      </c>
      <c r="AC35" t="n">
        <v>99.050572438871</v>
      </c>
      <c r="AD35" t="n">
        <v>100.322270594222</v>
      </c>
      <c r="AE35" t="n">
        <v>100</v>
      </c>
      <c r="AF35" t="n">
        <v>104.50951868952</v>
      </c>
    </row>
    <row r="36">
      <c r="A36" t="s">
        <v>88</v>
      </c>
      <c r="B36" t="s">
        <v>342</v>
      </c>
      <c r="C36" t="s">
        <v>246</v>
      </c>
      <c r="D36" t="s">
        <v>343</v>
      </c>
      <c r="E36" t="s">
        <v>247</v>
      </c>
      <c r="F36" t="n">
        <v>71.9419261295435</v>
      </c>
      <c r="G36" t="n">
        <v>69.8864425258423</v>
      </c>
      <c r="H36" t="n">
        <v>70.571603727076</v>
      </c>
      <c r="I36" t="n">
        <v>71.9158247504489</v>
      </c>
      <c r="J36" t="n">
        <v>71.9158247504489</v>
      </c>
      <c r="K36" t="n">
        <v>73.8421414848359</v>
      </c>
      <c r="L36" t="n">
        <v>74.452407116942</v>
      </c>
      <c r="M36" t="n">
        <v>76.8736236085499</v>
      </c>
      <c r="N36" t="n">
        <v>78.6340882713411</v>
      </c>
      <c r="O36" t="n">
        <v>82.2914877258221</v>
      </c>
      <c r="P36" t="n">
        <v>85.9219945372554</v>
      </c>
      <c r="Q36" t="n">
        <v>89.0351102813589</v>
      </c>
      <c r="R36" t="n">
        <v>91.5256028766416</v>
      </c>
      <c r="S36" t="n">
        <v>93.2310488929766</v>
      </c>
      <c r="T36" t="n">
        <v>91.702671042272</v>
      </c>
      <c r="U36" t="n">
        <v>92.9253733228357</v>
      </c>
      <c r="V36" t="n">
        <v>92.2888981630902</v>
      </c>
      <c r="W36" t="n">
        <v>90.1914232048381</v>
      </c>
      <c r="X36" t="n">
        <v>91.9598824833644</v>
      </c>
      <c r="Y36" t="n">
        <v>94.4452847126445</v>
      </c>
      <c r="Z36" t="n">
        <v>96.8148796695926</v>
      </c>
      <c r="AA36" t="n">
        <v>96.2872781455076</v>
      </c>
      <c r="AB36" t="n">
        <v>97.4558130744579</v>
      </c>
      <c r="AC36" t="n">
        <v>99.0220672131546</v>
      </c>
      <c r="AD36" t="n">
        <v>100.261780104712</v>
      </c>
      <c r="AE36" t="n">
        <v>100</v>
      </c>
      <c r="AF36" t="n">
        <v>104.477611940299</v>
      </c>
    </row>
    <row r="37">
      <c r="A37" t="s">
        <v>88</v>
      </c>
      <c r="B37" t="s">
        <v>344</v>
      </c>
      <c r="C37" t="s">
        <v>246</v>
      </c>
      <c r="D37" t="s">
        <v>345</v>
      </c>
      <c r="E37" t="s">
        <v>247</v>
      </c>
      <c r="F37" t="n">
        <v>72.8572717812708</v>
      </c>
      <c r="G37" t="n">
        <v>70.4549579093834</v>
      </c>
      <c r="H37" t="n">
        <v>70.6986135701549</v>
      </c>
      <c r="I37" t="n">
        <v>71.8650090042554</v>
      </c>
      <c r="J37" t="n">
        <v>71.9017247786104</v>
      </c>
      <c r="K37" t="n">
        <v>73.3073582318702</v>
      </c>
      <c r="L37" t="n">
        <v>73.8812147583207</v>
      </c>
      <c r="M37" t="n">
        <v>76.4068772201843</v>
      </c>
      <c r="N37" t="n">
        <v>78.1845422197404</v>
      </c>
      <c r="O37" t="n">
        <v>81.4713096150995</v>
      </c>
      <c r="P37" t="n">
        <v>85.1182799428391</v>
      </c>
      <c r="Q37" t="n">
        <v>88.3159666758268</v>
      </c>
      <c r="R37" t="n">
        <v>90.9709625506467</v>
      </c>
      <c r="S37" t="n">
        <v>92.7658863707035</v>
      </c>
      <c r="T37" t="n">
        <v>91.2284609209086</v>
      </c>
      <c r="U37" t="n">
        <v>92.7940788541691</v>
      </c>
      <c r="V37" t="n">
        <v>92.1093648361923</v>
      </c>
      <c r="W37" t="n">
        <v>90.6716876269718</v>
      </c>
      <c r="X37" t="n">
        <v>92.3970962933132</v>
      </c>
      <c r="Y37" t="n">
        <v>94.9582983931428</v>
      </c>
      <c r="Z37" t="n">
        <v>97.1486526301624</v>
      </c>
      <c r="AA37" t="n">
        <v>96.4109584221062</v>
      </c>
      <c r="AB37" t="n">
        <v>97.5505678597198</v>
      </c>
      <c r="AC37" t="n">
        <v>99.0724175923207</v>
      </c>
      <c r="AD37" t="n">
        <v>100.333148250972</v>
      </c>
      <c r="AE37" t="n">
        <v>100</v>
      </c>
      <c r="AF37" t="n">
        <v>104.500310366232</v>
      </c>
    </row>
    <row r="38">
      <c r="A38" t="s">
        <v>88</v>
      </c>
      <c r="B38" t="s">
        <v>346</v>
      </c>
      <c r="C38" t="s">
        <v>246</v>
      </c>
      <c r="D38" t="s">
        <v>347</v>
      </c>
      <c r="E38" t="s">
        <v>247</v>
      </c>
      <c r="F38" t="n">
        <v>72.8431370111154</v>
      </c>
      <c r="G38" t="n">
        <v>70.443598380161</v>
      </c>
      <c r="H38" t="n">
        <v>70.6988288090746</v>
      </c>
      <c r="I38" t="n">
        <v>71.8639654816197</v>
      </c>
      <c r="J38" t="n">
        <v>71.9045665920613</v>
      </c>
      <c r="K38" t="n">
        <v>73.3276366290675</v>
      </c>
      <c r="L38" t="n">
        <v>73.8876745870288</v>
      </c>
      <c r="M38" t="n">
        <v>76.4086790385681</v>
      </c>
      <c r="N38" t="n">
        <v>78.1814182776258</v>
      </c>
      <c r="O38" t="n">
        <v>81.4669793131707</v>
      </c>
      <c r="P38" t="n">
        <v>85.1147545062978</v>
      </c>
      <c r="Q38" t="n">
        <v>88.3065578002839</v>
      </c>
      <c r="R38" t="n">
        <v>90.9641068312469</v>
      </c>
      <c r="S38" t="n">
        <v>92.7436117980262</v>
      </c>
      <c r="T38" t="n">
        <v>91.2093009381475</v>
      </c>
      <c r="U38" t="n">
        <v>92.767990216498</v>
      </c>
      <c r="V38" t="n">
        <v>92.0779575609156</v>
      </c>
      <c r="W38" t="n">
        <v>90.6145293710215</v>
      </c>
      <c r="X38" t="n">
        <v>92.3488956158908</v>
      </c>
      <c r="Y38" t="n">
        <v>94.9267051409181</v>
      </c>
      <c r="Z38" t="n">
        <v>97.106907296405</v>
      </c>
      <c r="AA38" t="n">
        <v>96.3710029504611</v>
      </c>
      <c r="AB38" t="n">
        <v>97.5123323710439</v>
      </c>
      <c r="AC38" t="n">
        <v>99.0485896792608</v>
      </c>
      <c r="AD38" t="n">
        <v>100.324600046371</v>
      </c>
      <c r="AE38" t="n">
        <v>100</v>
      </c>
      <c r="AF38" t="n">
        <v>104.513005661771</v>
      </c>
    </row>
    <row r="39">
      <c r="A39" t="s">
        <v>88</v>
      </c>
      <c r="B39" t="s">
        <v>348</v>
      </c>
      <c r="C39" t="s">
        <v>246</v>
      </c>
      <c r="D39" t="s">
        <v>349</v>
      </c>
      <c r="E39" t="s">
        <v>247</v>
      </c>
      <c r="F39" t="n">
        <v>72.7687417659532</v>
      </c>
      <c r="G39" t="n">
        <v>70.3850696693221</v>
      </c>
      <c r="H39" t="n">
        <v>70.6502448510687</v>
      </c>
      <c r="I39" t="n">
        <v>71.8175581019519</v>
      </c>
      <c r="J39" t="n">
        <v>71.8537200143899</v>
      </c>
      <c r="K39" t="n">
        <v>73.2615812931436</v>
      </c>
      <c r="L39" t="n">
        <v>73.8266660853321</v>
      </c>
      <c r="M39" t="n">
        <v>76.3524889634752</v>
      </c>
      <c r="N39" t="n">
        <v>78.1408675823707</v>
      </c>
      <c r="O39" t="n">
        <v>81.4334600023131</v>
      </c>
      <c r="P39" t="n">
        <v>85.0750615119268</v>
      </c>
      <c r="Q39" t="n">
        <v>88.270049838783</v>
      </c>
      <c r="R39" t="n">
        <v>90.9191702264033</v>
      </c>
      <c r="S39" t="n">
        <v>92.7288174031814</v>
      </c>
      <c r="T39" t="n">
        <v>91.1915023396563</v>
      </c>
      <c r="U39" t="n">
        <v>92.760669614187</v>
      </c>
      <c r="V39" t="n">
        <v>92.0884908488668</v>
      </c>
      <c r="W39" t="n">
        <v>90.6535647769779</v>
      </c>
      <c r="X39" t="n">
        <v>92.4030821751945</v>
      </c>
      <c r="Y39" t="n">
        <v>94.9547136785596</v>
      </c>
      <c r="Z39" t="n">
        <v>97.1359938124957</v>
      </c>
      <c r="AA39" t="n">
        <v>96.3825988350787</v>
      </c>
      <c r="AB39" t="n">
        <v>97.5357573631556</v>
      </c>
      <c r="AC39" t="n">
        <v>99.071269916102</v>
      </c>
      <c r="AD39" t="n">
        <v>100.332941637289</v>
      </c>
      <c r="AE39" t="n">
        <v>100</v>
      </c>
      <c r="AF39" t="n">
        <v>104.499494438827</v>
      </c>
    </row>
    <row r="40">
      <c r="A40" t="s">
        <v>88</v>
      </c>
      <c r="B40" t="s">
        <v>350</v>
      </c>
      <c r="C40" t="s">
        <v>246</v>
      </c>
      <c r="D40" t="s">
        <v>351</v>
      </c>
      <c r="E40" t="s">
        <v>247</v>
      </c>
      <c r="F40" t="n">
        <v>73.0898692565637</v>
      </c>
      <c r="G40" t="n">
        <v>70.4158496496163</v>
      </c>
      <c r="H40" t="n">
        <v>70.4158496496163</v>
      </c>
      <c r="I40" t="n">
        <v>71.2745795233921</v>
      </c>
      <c r="J40" t="n">
        <v>71.2745795233921</v>
      </c>
      <c r="K40" t="n">
        <v>72.084517927067</v>
      </c>
      <c r="L40" t="n">
        <v>72.8513745007592</v>
      </c>
      <c r="M40" t="n">
        <v>75.127979953908</v>
      </c>
      <c r="N40" t="n">
        <v>76.601077600063</v>
      </c>
      <c r="O40" t="n">
        <v>79.6347836436299</v>
      </c>
      <c r="P40" t="n">
        <v>83.391141362669</v>
      </c>
      <c r="Q40" t="n">
        <v>86.5085672080024</v>
      </c>
      <c r="R40" t="n">
        <v>89.6259930533359</v>
      </c>
      <c r="S40" t="n">
        <v>91.0600089421892</v>
      </c>
      <c r="T40" t="n">
        <v>89.0804435304025</v>
      </c>
      <c r="U40" t="n">
        <v>91.0600089421892</v>
      </c>
      <c r="V40" t="n">
        <v>91.0600089421892</v>
      </c>
      <c r="W40" t="n">
        <v>90.0702262362959</v>
      </c>
      <c r="X40" t="n">
        <v>90.0702262362959</v>
      </c>
      <c r="Y40" t="n">
        <v>92.0282746327371</v>
      </c>
      <c r="Z40" t="n">
        <v>95.3149987267634</v>
      </c>
      <c r="AA40" t="n">
        <v>94.8080040526849</v>
      </c>
      <c r="AB40" t="n">
        <v>96.8690476190476</v>
      </c>
      <c r="AC40" t="n">
        <v>98.75</v>
      </c>
      <c r="AD40" t="n">
        <v>100</v>
      </c>
      <c r="AE40" t="n">
        <v>100</v>
      </c>
      <c r="AF40" t="n">
        <v>104.6875</v>
      </c>
    </row>
    <row r="41">
      <c r="A41" t="s">
        <v>88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88</v>
      </c>
      <c r="B42" t="s">
        <v>354</v>
      </c>
      <c r="C42" t="s">
        <v>246</v>
      </c>
      <c r="D42" t="s">
        <v>355</v>
      </c>
      <c r="E42" t="s">
        <v>247</v>
      </c>
      <c r="F42" t="n">
        <v>72.8122489603246</v>
      </c>
      <c r="G42" t="n">
        <v>70.4179697435553</v>
      </c>
      <c r="H42" t="n">
        <v>70.6698183938668</v>
      </c>
      <c r="I42" t="n">
        <v>71.8404185231621</v>
      </c>
      <c r="J42" t="n">
        <v>71.8698593066563</v>
      </c>
      <c r="K42" t="n">
        <v>73.2792778129827</v>
      </c>
      <c r="L42" t="n">
        <v>73.8527944434099</v>
      </c>
      <c r="M42" t="n">
        <v>76.3827527455433</v>
      </c>
      <c r="N42" t="n">
        <v>78.1642665726325</v>
      </c>
      <c r="O42" t="n">
        <v>81.451002459059</v>
      </c>
      <c r="P42" t="n">
        <v>85.0903887715725</v>
      </c>
      <c r="Q42" t="n">
        <v>88.2877496930451</v>
      </c>
      <c r="R42" t="n">
        <v>90.9397530303448</v>
      </c>
      <c r="S42" t="n">
        <v>92.7392234612861</v>
      </c>
      <c r="T42" t="n">
        <v>91.2001205190158</v>
      </c>
      <c r="U42" t="n">
        <v>92.7656970238948</v>
      </c>
      <c r="V42" t="n">
        <v>92.0834185515025</v>
      </c>
      <c r="W42" t="n">
        <v>90.639869922043</v>
      </c>
      <c r="X42" t="n">
        <v>92.3685643275463</v>
      </c>
      <c r="Y42" t="n">
        <v>94.9327517511359</v>
      </c>
      <c r="Z42" t="n">
        <v>97.119737646868</v>
      </c>
      <c r="AA42" t="n">
        <v>96.3755846097505</v>
      </c>
      <c r="AB42" t="n">
        <v>97.5167675823052</v>
      </c>
      <c r="AC42" t="n">
        <v>99.0594272335291</v>
      </c>
      <c r="AD42" t="n">
        <v>100.329710096366</v>
      </c>
      <c r="AE42" t="n">
        <v>100</v>
      </c>
      <c r="AF42" t="n">
        <v>104.50935681711</v>
      </c>
    </row>
    <row r="43">
      <c r="A43" t="s">
        <v>88</v>
      </c>
      <c r="B43" t="s">
        <v>356</v>
      </c>
      <c r="C43" t="s">
        <v>246</v>
      </c>
      <c r="D43" t="s">
        <v>357</v>
      </c>
      <c r="E43" t="s">
        <v>247</v>
      </c>
      <c r="F43" t="n">
        <v>72.8131633688742</v>
      </c>
      <c r="G43" t="n">
        <v>70.4174217333007</v>
      </c>
      <c r="H43" t="n">
        <v>70.6702670537075</v>
      </c>
      <c r="I43" t="n">
        <v>71.8423844018785</v>
      </c>
      <c r="J43" t="n">
        <v>71.8717364439884</v>
      </c>
      <c r="K43" t="n">
        <v>73.2801369150137</v>
      </c>
      <c r="L43" t="n">
        <v>73.8534296457045</v>
      </c>
      <c r="M43" t="n">
        <v>76.3841034260123</v>
      </c>
      <c r="N43" t="n">
        <v>78.1654064816991</v>
      </c>
      <c r="O43" t="n">
        <v>81.4514671179454</v>
      </c>
      <c r="P43" t="n">
        <v>85.0902875446516</v>
      </c>
      <c r="Q43" t="n">
        <v>88.2882860702335</v>
      </c>
      <c r="R43" t="n">
        <v>90.9392153100873</v>
      </c>
      <c r="S43" t="n">
        <v>92.7383676106181</v>
      </c>
      <c r="T43" t="n">
        <v>91.1995017905891</v>
      </c>
      <c r="U43" t="n">
        <v>92.7645991814588</v>
      </c>
      <c r="V43" t="n">
        <v>92.0829880707592</v>
      </c>
      <c r="W43" t="n">
        <v>90.639426396808</v>
      </c>
      <c r="X43" t="n">
        <v>92.3677459726355</v>
      </c>
      <c r="Y43" t="n">
        <v>94.9320037167317</v>
      </c>
      <c r="Z43" t="n">
        <v>97.1192482631679</v>
      </c>
      <c r="AA43" t="n">
        <v>96.3757344014361</v>
      </c>
      <c r="AB43" t="n">
        <v>97.5164267487216</v>
      </c>
      <c r="AC43" t="n">
        <v>99.0590849680282</v>
      </c>
      <c r="AD43" t="n">
        <v>100.330019985274</v>
      </c>
      <c r="AE43" t="n">
        <v>100</v>
      </c>
      <c r="AF43" t="n">
        <v>104.509130216577</v>
      </c>
    </row>
    <row r="44">
      <c r="A44" t="s">
        <v>88</v>
      </c>
      <c r="B44" t="s">
        <v>358</v>
      </c>
      <c r="C44" t="s">
        <v>246</v>
      </c>
      <c r="D44" t="s">
        <v>359</v>
      </c>
      <c r="E44" t="s">
        <v>247</v>
      </c>
      <c r="F44" t="n">
        <v>72.8146751235318</v>
      </c>
      <c r="G44" t="n">
        <v>70.4203259869652</v>
      </c>
      <c r="H44" t="n">
        <v>70.6735461391828</v>
      </c>
      <c r="I44" t="n">
        <v>71.8463519375761</v>
      </c>
      <c r="J44" t="n">
        <v>71.8760070690394</v>
      </c>
      <c r="K44" t="n">
        <v>73.2857550000345</v>
      </c>
      <c r="L44" t="n">
        <v>73.8584119156749</v>
      </c>
      <c r="M44" t="n">
        <v>76.3878392118002</v>
      </c>
      <c r="N44" t="n">
        <v>78.1696294576583</v>
      </c>
      <c r="O44" t="n">
        <v>81.4532411837542</v>
      </c>
      <c r="P44" t="n">
        <v>85.093361916439</v>
      </c>
      <c r="Q44" t="n">
        <v>88.2893437211769</v>
      </c>
      <c r="R44" t="n">
        <v>90.9396176040875</v>
      </c>
      <c r="S44" t="n">
        <v>92.7395894546817</v>
      </c>
      <c r="T44" t="n">
        <v>91.200446098119</v>
      </c>
      <c r="U44" t="n">
        <v>92.7644660315262</v>
      </c>
      <c r="V44" t="n">
        <v>92.0817570791654</v>
      </c>
      <c r="W44" t="n">
        <v>90.6377068100804</v>
      </c>
      <c r="X44" t="n">
        <v>92.3658237987809</v>
      </c>
      <c r="Y44" t="n">
        <v>94.9316432992357</v>
      </c>
      <c r="Z44" t="n">
        <v>97.1197814926717</v>
      </c>
      <c r="AA44" t="n">
        <v>96.3760809756826</v>
      </c>
      <c r="AB44" t="n">
        <v>97.5166212950081</v>
      </c>
      <c r="AC44" t="n">
        <v>99.0587930765757</v>
      </c>
      <c r="AD44" t="n">
        <v>100.329342776388</v>
      </c>
      <c r="AE44" t="n">
        <v>100</v>
      </c>
      <c r="AF44" t="n">
        <v>104.509174858382</v>
      </c>
    </row>
    <row r="45">
      <c r="A45" t="s">
        <v>88</v>
      </c>
      <c r="B45" t="s">
        <v>360</v>
      </c>
      <c r="C45" t="s">
        <v>246</v>
      </c>
      <c r="D45" t="s">
        <v>361</v>
      </c>
      <c r="E45" t="s">
        <v>247</v>
      </c>
      <c r="F45" t="n">
        <v>72.8125693049189</v>
      </c>
      <c r="G45" t="n">
        <v>70.4186093342624</v>
      </c>
      <c r="H45" t="n">
        <v>70.6711977523933</v>
      </c>
      <c r="I45" t="n">
        <v>71.8441344831377</v>
      </c>
      <c r="J45" t="n">
        <v>71.8737930349652</v>
      </c>
      <c r="K45" t="n">
        <v>73.2836933362524</v>
      </c>
      <c r="L45" t="n">
        <v>73.8564116725671</v>
      </c>
      <c r="M45" t="n">
        <v>76.386122339841</v>
      </c>
      <c r="N45" t="n">
        <v>78.1681246844351</v>
      </c>
      <c r="O45" t="n">
        <v>81.452142735154</v>
      </c>
      <c r="P45" t="n">
        <v>85.0927279257282</v>
      </c>
      <c r="Q45" t="n">
        <v>88.2885688205587</v>
      </c>
      <c r="R45" t="n">
        <v>90.9391823820195</v>
      </c>
      <c r="S45" t="n">
        <v>92.7388711333213</v>
      </c>
      <c r="T45" t="n">
        <v>91.1999312261959</v>
      </c>
      <c r="U45" t="n">
        <v>92.7640822646396</v>
      </c>
      <c r="V45" t="n">
        <v>92.0815781810013</v>
      </c>
      <c r="W45" t="n">
        <v>90.637450688341</v>
      </c>
      <c r="X45" t="n">
        <v>92.3658165498109</v>
      </c>
      <c r="Y45" t="n">
        <v>94.9317235486387</v>
      </c>
      <c r="Z45" t="n">
        <v>97.1198181852596</v>
      </c>
      <c r="AA45" t="n">
        <v>96.3759011281949</v>
      </c>
      <c r="AB45" t="n">
        <v>97.5165522672128</v>
      </c>
      <c r="AC45" t="n">
        <v>99.0587069452778</v>
      </c>
      <c r="AD45" t="n">
        <v>100.329387461317</v>
      </c>
      <c r="AE45" t="n">
        <v>100</v>
      </c>
      <c r="AF45" t="n">
        <v>104.509286002288</v>
      </c>
    </row>
    <row r="46">
      <c r="A46" t="s">
        <v>88</v>
      </c>
      <c r="B46" t="s">
        <v>362</v>
      </c>
      <c r="C46" t="s">
        <v>246</v>
      </c>
      <c r="D46" t="s">
        <v>363</v>
      </c>
      <c r="E46" t="s">
        <v>247</v>
      </c>
      <c r="F46" t="n">
        <v>73.0090090319906</v>
      </c>
      <c r="G46" t="n">
        <v>70.1792024803631</v>
      </c>
      <c r="H46" t="n">
        <v>70.740636100206</v>
      </c>
      <c r="I46" t="n">
        <v>72.3986197588046</v>
      </c>
      <c r="J46" t="n">
        <v>72.3986197588046</v>
      </c>
      <c r="K46" t="n">
        <v>73.4478751176278</v>
      </c>
      <c r="L46" t="n">
        <v>73.9408138768065</v>
      </c>
      <c r="M46" t="n">
        <v>76.7135943971867</v>
      </c>
      <c r="N46" t="n">
        <v>78.4278646630457</v>
      </c>
      <c r="O46" t="n">
        <v>81.551098211574</v>
      </c>
      <c r="P46" t="n">
        <v>85.1341868851933</v>
      </c>
      <c r="Q46" t="n">
        <v>88.4028642176091</v>
      </c>
      <c r="R46" t="n">
        <v>90.937179043409</v>
      </c>
      <c r="S46" t="n">
        <v>92.7029495102713</v>
      </c>
      <c r="T46" t="n">
        <v>91.2008183839475</v>
      </c>
      <c r="U46" t="n">
        <v>92.6623699606133</v>
      </c>
      <c r="V46" t="n">
        <v>92.1156893118781</v>
      </c>
      <c r="W46" t="n">
        <v>90.6673294170373</v>
      </c>
      <c r="X46" t="n">
        <v>92.3208369443996</v>
      </c>
      <c r="Y46" t="n">
        <v>94.894837974448</v>
      </c>
      <c r="Z46" t="n">
        <v>97.1016946715282</v>
      </c>
      <c r="AA46" t="n">
        <v>96.3903269449968</v>
      </c>
      <c r="AB46" t="n">
        <v>97.5088495102289</v>
      </c>
      <c r="AC46" t="n">
        <v>99.0515427103361</v>
      </c>
      <c r="AD46" t="n">
        <v>100.346020761246</v>
      </c>
      <c r="AE46" t="n">
        <v>100</v>
      </c>
      <c r="AF46" t="n">
        <v>104.496788008565</v>
      </c>
    </row>
    <row r="47">
      <c r="A47" t="s">
        <v>88</v>
      </c>
      <c r="B47" t="s">
        <v>364</v>
      </c>
      <c r="C47" t="s">
        <v>246</v>
      </c>
      <c r="D47" t="s">
        <v>365</v>
      </c>
      <c r="E47" t="s">
        <v>247</v>
      </c>
      <c r="F47" t="n">
        <v>72.8271882786064</v>
      </c>
      <c r="G47" t="n">
        <v>70.4171882528408</v>
      </c>
      <c r="H47" t="n">
        <v>70.6708785862272</v>
      </c>
      <c r="I47" t="n">
        <v>71.8245369517738</v>
      </c>
      <c r="J47" t="n">
        <v>71.8621611198994</v>
      </c>
      <c r="K47" t="n">
        <v>73.2781642946758</v>
      </c>
      <c r="L47" t="n">
        <v>73.8502436468698</v>
      </c>
      <c r="M47" t="n">
        <v>76.369372245237</v>
      </c>
      <c r="N47" t="n">
        <v>78.1364148423792</v>
      </c>
      <c r="O47" t="n">
        <v>81.4208490939663</v>
      </c>
      <c r="P47" t="n">
        <v>85.0665587548902</v>
      </c>
      <c r="Q47" t="n">
        <v>88.2796794404049</v>
      </c>
      <c r="R47" t="n">
        <v>90.9159026396207</v>
      </c>
      <c r="S47" t="n">
        <v>92.7294302421423</v>
      </c>
      <c r="T47" t="n">
        <v>91.1981185500702</v>
      </c>
      <c r="U47" t="n">
        <v>92.7694579021588</v>
      </c>
      <c r="V47" t="n">
        <v>92.0873295352312</v>
      </c>
      <c r="W47" t="n">
        <v>90.6404860952137</v>
      </c>
      <c r="X47" t="n">
        <v>92.3676867416014</v>
      </c>
      <c r="Y47" t="n">
        <v>94.9292702238318</v>
      </c>
      <c r="Z47" t="n">
        <v>97.1211084694457</v>
      </c>
      <c r="AA47" t="n">
        <v>96.369751088081</v>
      </c>
      <c r="AB47" t="n">
        <v>97.5057402954062</v>
      </c>
      <c r="AC47" t="n">
        <v>99.0525061573223</v>
      </c>
      <c r="AD47" t="n">
        <v>100.323450134771</v>
      </c>
      <c r="AE47" t="n">
        <v>100</v>
      </c>
      <c r="AF47" t="n">
        <v>104.508196721311</v>
      </c>
    </row>
    <row r="48">
      <c r="A48" t="s">
        <v>88</v>
      </c>
      <c r="B48" t="s">
        <v>366</v>
      </c>
      <c r="C48" t="s">
        <v>246</v>
      </c>
      <c r="D48" t="s">
        <v>367</v>
      </c>
      <c r="E48" t="s">
        <v>247</v>
      </c>
      <c r="F48" t="n">
        <v>72.7974359259999</v>
      </c>
      <c r="G48" t="n">
        <v>70.3976414254906</v>
      </c>
      <c r="H48" t="n">
        <v>70.6528209141194</v>
      </c>
      <c r="I48" t="n">
        <v>71.8240370314234</v>
      </c>
      <c r="J48" t="n">
        <v>71.8552965862028</v>
      </c>
      <c r="K48" t="n">
        <v>73.2716558470635</v>
      </c>
      <c r="L48" t="n">
        <v>73.8455171602125</v>
      </c>
      <c r="M48" t="n">
        <v>76.3752419968712</v>
      </c>
      <c r="N48" t="n">
        <v>78.1606786705614</v>
      </c>
      <c r="O48" t="n">
        <v>81.4480248617056</v>
      </c>
      <c r="P48" t="n">
        <v>85.0934559517498</v>
      </c>
      <c r="Q48" t="n">
        <v>88.2890343740181</v>
      </c>
      <c r="R48" t="n">
        <v>90.9351399289388</v>
      </c>
      <c r="S48" t="n">
        <v>92.7324990875095</v>
      </c>
      <c r="T48" t="n">
        <v>91.19494319148</v>
      </c>
      <c r="U48" t="n">
        <v>92.7632081382373</v>
      </c>
      <c r="V48" t="n">
        <v>92.0815663471699</v>
      </c>
      <c r="W48" t="n">
        <v>90.6393982168151</v>
      </c>
      <c r="X48" t="n">
        <v>92.3707695021717</v>
      </c>
      <c r="Y48" t="n">
        <v>94.9443265886768</v>
      </c>
      <c r="Z48" t="n">
        <v>97.1261157440121</v>
      </c>
      <c r="AA48" t="n">
        <v>96.3841090641974</v>
      </c>
      <c r="AB48" t="n">
        <v>97.5189500593338</v>
      </c>
      <c r="AC48" t="n">
        <v>99.0608216913487</v>
      </c>
      <c r="AD48" t="n">
        <v>100.334292155796</v>
      </c>
      <c r="AE48" t="n">
        <v>100</v>
      </c>
      <c r="AF48" t="n">
        <v>104.508764777823</v>
      </c>
    </row>
    <row r="49">
      <c r="A49" t="s">
        <v>88</v>
      </c>
      <c r="B49" t="s">
        <v>368</v>
      </c>
      <c r="C49" t="s">
        <v>246</v>
      </c>
      <c r="D49" t="s">
        <v>369</v>
      </c>
      <c r="E49" t="s">
        <v>247</v>
      </c>
      <c r="F49" t="n">
        <v>72.5337075095706</v>
      </c>
      <c r="G49" t="n">
        <v>70.3576962842835</v>
      </c>
      <c r="H49" t="n">
        <v>70.9803307646754</v>
      </c>
      <c r="I49" t="n">
        <v>72.16333627742</v>
      </c>
      <c r="J49" t="n">
        <v>72.16333627742</v>
      </c>
      <c r="K49" t="n">
        <v>73.7669659724738</v>
      </c>
      <c r="L49" t="n">
        <v>74.2338455039451</v>
      </c>
      <c r="M49" t="n">
        <v>76.9832471892764</v>
      </c>
      <c r="N49" t="n">
        <v>78.6567960412172</v>
      </c>
      <c r="O49" t="n">
        <v>82.0766567386615</v>
      </c>
      <c r="P49" t="n">
        <v>85.532515969763</v>
      </c>
      <c r="Q49" t="n">
        <v>88.8222281224462</v>
      </c>
      <c r="R49" t="n">
        <v>91.0765993945895</v>
      </c>
      <c r="S49" t="n">
        <v>92.7325375654002</v>
      </c>
      <c r="T49" t="n">
        <v>91.1197977816541</v>
      </c>
      <c r="U49" t="n">
        <v>92.6217724703627</v>
      </c>
      <c r="V49" t="n">
        <v>91.8477743717246</v>
      </c>
      <c r="W49" t="n">
        <v>90.6432133963577</v>
      </c>
      <c r="X49" t="n">
        <v>92.2475180582402</v>
      </c>
      <c r="Y49" t="n">
        <v>94.8460396936836</v>
      </c>
      <c r="Z49" t="n">
        <v>97.2321035853485</v>
      </c>
      <c r="AA49" t="n">
        <v>96.3400659377765</v>
      </c>
      <c r="AB49" t="n">
        <v>97.4869714846548</v>
      </c>
      <c r="AC49" t="n">
        <v>98.982170433806</v>
      </c>
      <c r="AD49" t="n">
        <v>100.420168067227</v>
      </c>
      <c r="AE49" t="n">
        <v>100</v>
      </c>
      <c r="AF49" t="n">
        <v>104.363636363636</v>
      </c>
    </row>
    <row r="50">
      <c r="A50" t="s">
        <v>88</v>
      </c>
      <c r="B50" t="s">
        <v>370</v>
      </c>
      <c r="C50" t="s">
        <v>246</v>
      </c>
      <c r="D50" t="s">
        <v>371</v>
      </c>
      <c r="E50" t="s">
        <v>247</v>
      </c>
      <c r="F50" t="n">
        <v>72.797659207232</v>
      </c>
      <c r="G50" t="n">
        <v>70.4129357127824</v>
      </c>
      <c r="H50" t="n">
        <v>70.6597280394866</v>
      </c>
      <c r="I50" t="n">
        <v>71.822788975579</v>
      </c>
      <c r="J50" t="n">
        <v>71.8523700254042</v>
      </c>
      <c r="K50" t="n">
        <v>73.2640359576358</v>
      </c>
      <c r="L50" t="n">
        <v>73.8420824798704</v>
      </c>
      <c r="M50" t="n">
        <v>76.3711013589526</v>
      </c>
      <c r="N50" t="n">
        <v>78.1560109956592</v>
      </c>
      <c r="O50" t="n">
        <v>81.4519429833675</v>
      </c>
      <c r="P50" t="n">
        <v>85.0915183629743</v>
      </c>
      <c r="Q50" t="n">
        <v>88.2903641126853</v>
      </c>
      <c r="R50" t="n">
        <v>90.9380236189335</v>
      </c>
      <c r="S50" t="n">
        <v>92.7357948836529</v>
      </c>
      <c r="T50" t="n">
        <v>91.1990998891173</v>
      </c>
      <c r="U50" t="n">
        <v>92.7597453828925</v>
      </c>
      <c r="V50" t="n">
        <v>92.0715381634098</v>
      </c>
      <c r="W50" t="n">
        <v>90.6219493706772</v>
      </c>
      <c r="X50" t="n">
        <v>92.355970827252</v>
      </c>
      <c r="Y50" t="n">
        <v>94.9207839763007</v>
      </c>
      <c r="Z50" t="n">
        <v>97.1167596073664</v>
      </c>
      <c r="AA50" t="n">
        <v>96.3704366194103</v>
      </c>
      <c r="AB50" t="n">
        <v>97.5163242425402</v>
      </c>
      <c r="AC50" t="n">
        <v>99.057928071263</v>
      </c>
      <c r="AD50" t="n">
        <v>100.336511497476</v>
      </c>
      <c r="AE50" t="n">
        <v>100</v>
      </c>
      <c r="AF50" t="n">
        <v>104.513974771209</v>
      </c>
    </row>
    <row r="51">
      <c r="A51" t="s">
        <v>88</v>
      </c>
      <c r="B51" t="s">
        <v>372</v>
      </c>
      <c r="C51" t="s">
        <v>246</v>
      </c>
      <c r="D51" t="s">
        <v>373</v>
      </c>
      <c r="E51" t="s">
        <v>247</v>
      </c>
      <c r="F51" t="n">
        <v>72.7960967745217</v>
      </c>
      <c r="G51" t="n">
        <v>70.4103824384548</v>
      </c>
      <c r="H51" t="n">
        <v>70.6572739832751</v>
      </c>
      <c r="I51" t="n">
        <v>71.8207919680297</v>
      </c>
      <c r="J51" t="n">
        <v>71.8503843833441</v>
      </c>
      <c r="K51" t="n">
        <v>73.2625718071978</v>
      </c>
      <c r="L51" t="n">
        <v>73.8408189782164</v>
      </c>
      <c r="M51" t="n">
        <v>76.3706971444936</v>
      </c>
      <c r="N51" t="n">
        <v>78.1561357655188</v>
      </c>
      <c r="O51" t="n">
        <v>81.4421100104285</v>
      </c>
      <c r="P51" t="n">
        <v>85.0827159783109</v>
      </c>
      <c r="Q51" t="n">
        <v>88.2824838291536</v>
      </c>
      <c r="R51" t="n">
        <v>90.9307671322374</v>
      </c>
      <c r="S51" t="n">
        <v>92.7289362875326</v>
      </c>
      <c r="T51" t="n">
        <v>91.1915782657821</v>
      </c>
      <c r="U51" t="n">
        <v>92.7528627898642</v>
      </c>
      <c r="V51" t="n">
        <v>92.0643922998172</v>
      </c>
      <c r="W51" t="n">
        <v>90.6232265384371</v>
      </c>
      <c r="X51" t="n">
        <v>92.3581182061038</v>
      </c>
      <c r="Y51" t="n">
        <v>94.9239368557141</v>
      </c>
      <c r="Z51" t="n">
        <v>97.1143272335695</v>
      </c>
      <c r="AA51" t="n">
        <v>96.3654652243021</v>
      </c>
      <c r="AB51" t="n">
        <v>97.5115878002905</v>
      </c>
      <c r="AC51" t="n">
        <v>99.0563794914013</v>
      </c>
      <c r="AD51" t="n">
        <v>100.331201461855</v>
      </c>
      <c r="AE51" t="n">
        <v>100</v>
      </c>
      <c r="AF51" t="n">
        <v>104.515238931393</v>
      </c>
    </row>
    <row r="52">
      <c r="A52" t="s">
        <v>88</v>
      </c>
      <c r="B52" t="s">
        <v>374</v>
      </c>
      <c r="C52" t="s">
        <v>246</v>
      </c>
      <c r="D52" t="s">
        <v>375</v>
      </c>
      <c r="E52" t="s">
        <v>247</v>
      </c>
      <c r="F52" t="n">
        <v>65.245135804755</v>
      </c>
      <c r="G52" t="n">
        <v>65.245135804755</v>
      </c>
      <c r="H52" t="n">
        <v>65.245135804755</v>
      </c>
      <c r="I52" t="n">
        <v>65.245135804755</v>
      </c>
      <c r="J52" t="n">
        <v>65.245135804755</v>
      </c>
      <c r="K52" t="n">
        <v>65.245135804755</v>
      </c>
      <c r="L52" t="n">
        <v>65.245135804755</v>
      </c>
      <c r="M52" t="n">
        <v>65.245135804755</v>
      </c>
      <c r="N52" t="n">
        <v>65.245135804755</v>
      </c>
      <c r="O52" t="n">
        <v>97.8677037071326</v>
      </c>
      <c r="P52" t="n">
        <v>97.8677037071326</v>
      </c>
      <c r="Q52" t="n">
        <v>97.8677037071326</v>
      </c>
      <c r="R52" t="n">
        <v>97.8677037071326</v>
      </c>
      <c r="S52" t="n">
        <v>97.8677037071326</v>
      </c>
      <c r="T52" t="n">
        <v>97.8677037071326</v>
      </c>
      <c r="U52" t="n">
        <v>97.8677037071326</v>
      </c>
      <c r="V52" t="n">
        <v>97.8677037071326</v>
      </c>
      <c r="W52" t="n">
        <v>92.1107799596542</v>
      </c>
      <c r="X52" t="n">
        <v>92.1107799596542</v>
      </c>
      <c r="Y52" t="n">
        <v>92.1107799596542</v>
      </c>
      <c r="Z52" t="n">
        <v>96.7163189576369</v>
      </c>
      <c r="AA52" t="n">
        <v>96.7163189576369</v>
      </c>
      <c r="AB52" t="n">
        <v>97.8409273176094</v>
      </c>
      <c r="AC52" t="n">
        <v>99.2727457661598</v>
      </c>
      <c r="AD52" t="n">
        <v>100.62893081761</v>
      </c>
      <c r="AE52" t="n">
        <v>100</v>
      </c>
      <c r="AF52" t="n">
        <v>104.424778761062</v>
      </c>
    </row>
    <row r="53">
      <c r="A53" t="s">
        <v>88</v>
      </c>
      <c r="B53" t="s">
        <v>376</v>
      </c>
      <c r="C53" t="s">
        <v>246</v>
      </c>
      <c r="D53" t="s">
        <v>377</v>
      </c>
      <c r="E53" t="s">
        <v>247</v>
      </c>
      <c r="F53" t="n">
        <v>72.7001689784925</v>
      </c>
      <c r="G53" t="n">
        <v>70.4517101441062</v>
      </c>
      <c r="H53" t="n">
        <v>70.4517101441062</v>
      </c>
      <c r="I53" t="n">
        <v>71.904322724397</v>
      </c>
      <c r="J53" t="n">
        <v>71.904322724397</v>
      </c>
      <c r="K53" t="n">
        <v>73.2739288715284</v>
      </c>
      <c r="L53" t="n">
        <v>73.9252526837198</v>
      </c>
      <c r="M53" t="n">
        <v>76.474399327986</v>
      </c>
      <c r="N53" t="n">
        <v>78.3320770444553</v>
      </c>
      <c r="O53" t="n">
        <v>81.6083236128545</v>
      </c>
      <c r="P53" t="n">
        <v>85.2658395170721</v>
      </c>
      <c r="Q53" t="n">
        <v>88.330362290413</v>
      </c>
      <c r="R53" t="n">
        <v>91.1069552111332</v>
      </c>
      <c r="S53" t="n">
        <v>92.9390877656533</v>
      </c>
      <c r="T53" t="n">
        <v>91.2901684665852</v>
      </c>
      <c r="U53" t="n">
        <v>92.8973897424054</v>
      </c>
      <c r="V53" t="n">
        <v>92.2193066055995</v>
      </c>
      <c r="W53" t="n">
        <v>90.7811887637968</v>
      </c>
      <c r="X53" t="n">
        <v>92.5295672140625</v>
      </c>
      <c r="Y53" t="n">
        <v>95.0439576274881</v>
      </c>
      <c r="Z53" t="n">
        <v>97.1366686211209</v>
      </c>
      <c r="AA53" t="n">
        <v>96.3730155659234</v>
      </c>
      <c r="AB53" t="n">
        <v>97.5068157490519</v>
      </c>
      <c r="AC53" t="n">
        <v>99.0440853667172</v>
      </c>
      <c r="AD53" t="n">
        <v>100.414937759336</v>
      </c>
      <c r="AE53" t="n">
        <v>100</v>
      </c>
      <c r="AF53" t="n">
        <v>104.432132963989</v>
      </c>
    </row>
    <row r="54">
      <c r="A54" t="s">
        <v>88</v>
      </c>
      <c r="B54" t="s">
        <v>378</v>
      </c>
      <c r="C54" t="s">
        <v>246</v>
      </c>
      <c r="D54" t="s">
        <v>379</v>
      </c>
      <c r="E54" t="s">
        <v>247</v>
      </c>
      <c r="F54" t="n">
        <v>73.0644960615954</v>
      </c>
      <c r="G54" t="n">
        <v>70.707576833802</v>
      </c>
      <c r="H54" t="n">
        <v>70.707576833802</v>
      </c>
      <c r="I54" t="n">
        <v>72.0673379267598</v>
      </c>
      <c r="J54" t="n">
        <v>72.0673379267598</v>
      </c>
      <c r="K54" t="n">
        <v>73.6512354636116</v>
      </c>
      <c r="L54" t="n">
        <v>74.1522642762893</v>
      </c>
      <c r="M54" t="n">
        <v>76.6076372655704</v>
      </c>
      <c r="N54" t="n">
        <v>78.5168618703198</v>
      </c>
      <c r="O54" t="n">
        <v>81.778689959888</v>
      </c>
      <c r="P54" t="n">
        <v>85.358863022648</v>
      </c>
      <c r="Q54" t="n">
        <v>88.4022180709937</v>
      </c>
      <c r="R54" t="n">
        <v>91.0725553418186</v>
      </c>
      <c r="S54" t="n">
        <v>92.9393427133933</v>
      </c>
      <c r="T54" t="n">
        <v>91.2044749827432</v>
      </c>
      <c r="U54" t="n">
        <v>92.7832475190624</v>
      </c>
      <c r="V54" t="n">
        <v>92.1915176241704</v>
      </c>
      <c r="W54" t="n">
        <v>90.6568193521866</v>
      </c>
      <c r="X54" t="n">
        <v>92.3928009993561</v>
      </c>
      <c r="Y54" t="n">
        <v>94.920647811924</v>
      </c>
      <c r="Z54" t="n">
        <v>97.0952330997115</v>
      </c>
      <c r="AA54" t="n">
        <v>96.3974234162433</v>
      </c>
      <c r="AB54" t="n">
        <v>97.5172385962965</v>
      </c>
      <c r="AC54" t="n">
        <v>99.0775144138372</v>
      </c>
      <c r="AD54" t="n">
        <v>100.428571428571</v>
      </c>
      <c r="AE54" t="n">
        <v>100</v>
      </c>
      <c r="AF54" t="n">
        <v>104.361370716511</v>
      </c>
    </row>
    <row r="55">
      <c r="A55" t="s">
        <v>88</v>
      </c>
      <c r="B55" t="s">
        <v>380</v>
      </c>
      <c r="C55" t="s">
        <v>246</v>
      </c>
      <c r="D55" t="s">
        <v>381</v>
      </c>
      <c r="E55" t="s">
        <v>247</v>
      </c>
      <c r="F55" t="n">
        <v>74.3434577604319</v>
      </c>
      <c r="G55" t="n">
        <v>71.7798902514514</v>
      </c>
      <c r="H55" t="n">
        <v>71.7798902514514</v>
      </c>
      <c r="I55" t="n">
        <v>72.9964985607981</v>
      </c>
      <c r="J55" t="n">
        <v>72.9964985607981</v>
      </c>
      <c r="K55" t="n">
        <v>75.3138477214583</v>
      </c>
      <c r="L55" t="n">
        <v>75.3138477214583</v>
      </c>
      <c r="M55" t="n">
        <v>77.4656719420714</v>
      </c>
      <c r="N55" t="n">
        <v>79.5593387513166</v>
      </c>
      <c r="O55" t="n">
        <v>82.7847173493429</v>
      </c>
      <c r="P55" t="n">
        <v>86.0100959473693</v>
      </c>
      <c r="Q55" t="n">
        <v>88.9759613248648</v>
      </c>
      <c r="R55" t="n">
        <v>91.2003603579864</v>
      </c>
      <c r="S55" t="n">
        <v>93.212133012942</v>
      </c>
      <c r="T55" t="n">
        <v>91.0610837895664</v>
      </c>
      <c r="U55" t="n">
        <v>92.5538884418544</v>
      </c>
      <c r="V55" t="n">
        <v>92.1617109484567</v>
      </c>
      <c r="W55" t="n">
        <v>90.4758259920825</v>
      </c>
      <c r="X55" t="n">
        <v>92.1829170485369</v>
      </c>
      <c r="Y55" t="n">
        <v>94.7223913473947</v>
      </c>
      <c r="Z55" t="n">
        <v>97.0326935753799</v>
      </c>
      <c r="AA55" t="n">
        <v>96.4585356252297</v>
      </c>
      <c r="AB55" t="n">
        <v>97.551550193221</v>
      </c>
      <c r="AC55" t="n">
        <v>99.1455297715416</v>
      </c>
      <c r="AD55" t="n">
        <v>100.45871559633</v>
      </c>
      <c r="AE55" t="n">
        <v>100</v>
      </c>
      <c r="AF55" t="n">
        <v>104.270462633452</v>
      </c>
    </row>
    <row r="56">
      <c r="A56" t="s">
        <v>88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88</v>
      </c>
      <c r="B57" t="s">
        <v>384</v>
      </c>
      <c r="C57" t="s">
        <v>246</v>
      </c>
      <c r="D57" t="s">
        <v>385</v>
      </c>
      <c r="E57" t="s">
        <v>247</v>
      </c>
      <c r="F57" t="n">
        <v>72.8144221771209</v>
      </c>
      <c r="G57" t="n">
        <v>70.4201768418799</v>
      </c>
      <c r="H57" t="n">
        <v>70.6733369204455</v>
      </c>
      <c r="I57" t="n">
        <v>71.8452377612568</v>
      </c>
      <c r="J57" t="n">
        <v>71.8749620017518</v>
      </c>
      <c r="K57" t="n">
        <v>73.2846770004215</v>
      </c>
      <c r="L57" t="n">
        <v>73.8575453602767</v>
      </c>
      <c r="M57" t="n">
        <v>76.3868402111977</v>
      </c>
      <c r="N57" t="n">
        <v>78.1681596173053</v>
      </c>
      <c r="O57" t="n">
        <v>81.4523829897139</v>
      </c>
      <c r="P57" t="n">
        <v>85.0924562650698</v>
      </c>
      <c r="Q57" t="n">
        <v>88.2889063368118</v>
      </c>
      <c r="R57" t="n">
        <v>90.9386922913736</v>
      </c>
      <c r="S57" t="n">
        <v>92.7382404858609</v>
      </c>
      <c r="T57" t="n">
        <v>91.19910511773</v>
      </c>
      <c r="U57" t="n">
        <v>92.7631403708265</v>
      </c>
      <c r="V57" t="n">
        <v>92.0802521262912</v>
      </c>
      <c r="W57" t="n">
        <v>90.6365360016227</v>
      </c>
      <c r="X57" t="n">
        <v>92.3647479803841</v>
      </c>
      <c r="Y57" t="n">
        <v>94.930325360904</v>
      </c>
      <c r="Z57" t="n">
        <v>97.1191310611938</v>
      </c>
      <c r="AA57" t="n">
        <v>96.3752925699599</v>
      </c>
      <c r="AB57" t="n">
        <v>97.516139332524</v>
      </c>
      <c r="AC57" t="n">
        <v>99.058434041865</v>
      </c>
      <c r="AD57" t="n">
        <v>100.329479122058</v>
      </c>
      <c r="AE57" t="n">
        <v>100</v>
      </c>
      <c r="AF57" t="n">
        <v>104.509289002478</v>
      </c>
    </row>
    <row r="58">
      <c r="A58" t="s">
        <v>88</v>
      </c>
      <c r="B58" t="s">
        <v>386</v>
      </c>
      <c r="C58" t="s">
        <v>246</v>
      </c>
      <c r="D58" t="s">
        <v>387</v>
      </c>
      <c r="E58" t="s">
        <v>247</v>
      </c>
      <c r="F58" t="n">
        <v>72.8144221771209</v>
      </c>
      <c r="G58" t="n">
        <v>70.4201768418799</v>
      </c>
      <c r="H58" t="n">
        <v>70.6733369204455</v>
      </c>
      <c r="I58" t="n">
        <v>71.8452377612568</v>
      </c>
      <c r="J58" t="n">
        <v>71.8749620017518</v>
      </c>
      <c r="K58" t="n">
        <v>73.2846770004215</v>
      </c>
      <c r="L58" t="n">
        <v>73.8575453602767</v>
      </c>
      <c r="M58" t="n">
        <v>76.3868402111977</v>
      </c>
      <c r="N58" t="n">
        <v>78.1681596173053</v>
      </c>
      <c r="O58" t="n">
        <v>81.4523829897139</v>
      </c>
      <c r="P58" t="n">
        <v>85.0924562650698</v>
      </c>
      <c r="Q58" t="n">
        <v>88.2889063368118</v>
      </c>
      <c r="R58" t="n">
        <v>90.9386922913736</v>
      </c>
      <c r="S58" t="n">
        <v>92.7382404858609</v>
      </c>
      <c r="T58" t="n">
        <v>91.19910511773</v>
      </c>
      <c r="U58" t="n">
        <v>92.7631403708265</v>
      </c>
      <c r="V58" t="n">
        <v>92.0802521262912</v>
      </c>
      <c r="W58" t="n">
        <v>90.6365360016227</v>
      </c>
      <c r="X58" t="n">
        <v>92.3647479803841</v>
      </c>
      <c r="Y58" t="n">
        <v>94.930325360904</v>
      </c>
      <c r="Z58" t="n">
        <v>97.1191310611938</v>
      </c>
      <c r="AA58" t="n">
        <v>96.3752925699599</v>
      </c>
      <c r="AB58" t="n">
        <v>97.516139332524</v>
      </c>
      <c r="AC58" t="n">
        <v>99.058434041865</v>
      </c>
      <c r="AD58" t="n">
        <v>100.329479122058</v>
      </c>
      <c r="AE58" t="n">
        <v>100</v>
      </c>
      <c r="AF58" t="n">
        <v>104.509289002478</v>
      </c>
    </row>
    <row r="59">
      <c r="A59" t="s">
        <v>88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90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90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90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90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90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90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90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90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90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90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90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90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90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90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90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90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90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90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90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90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90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90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90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90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90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90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90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90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90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90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90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90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90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90</v>
      </c>
      <c r="B35" t="s">
        <v>340</v>
      </c>
      <c r="C35" t="s">
        <v>246</v>
      </c>
      <c r="D35" t="s">
        <v>341</v>
      </c>
      <c r="E35" t="s">
        <v>247</v>
      </c>
      <c r="F35" t="n">
        <v>86.9857300269336</v>
      </c>
      <c r="G35" t="n">
        <v>89.9874430308821</v>
      </c>
      <c r="H35" t="n">
        <v>91.2906420148462</v>
      </c>
      <c r="I35" t="n">
        <v>92.5749355915845</v>
      </c>
      <c r="J35" t="n">
        <v>93.8528677585422</v>
      </c>
      <c r="K35" t="n">
        <v>93.9065538426537</v>
      </c>
      <c r="L35" t="n">
        <v>96.4867744244502</v>
      </c>
      <c r="M35" t="n">
        <v>98.9891862621224</v>
      </c>
      <c r="N35" t="n">
        <v>100.780090082977</v>
      </c>
      <c r="O35" t="n">
        <v>103.171840769536</v>
      </c>
      <c r="P35" t="n">
        <v>104.428470895747</v>
      </c>
      <c r="Q35" t="n">
        <v>103.933824318611</v>
      </c>
      <c r="R35" t="n">
        <v>105.938735572507</v>
      </c>
      <c r="S35" t="n">
        <v>107.197094931371</v>
      </c>
      <c r="T35" t="n">
        <v>102.716401646043</v>
      </c>
      <c r="U35" t="n">
        <v>98.1103062023433</v>
      </c>
      <c r="V35" t="n">
        <v>101.546276260607</v>
      </c>
      <c r="W35" t="n">
        <v>96.3365043420989</v>
      </c>
      <c r="X35" t="n">
        <v>96.2129802925932</v>
      </c>
      <c r="Y35" t="n">
        <v>97.3842123916878</v>
      </c>
      <c r="Z35" t="n">
        <v>97.3222008468882</v>
      </c>
      <c r="AA35" t="n">
        <v>97.9064872020446</v>
      </c>
      <c r="AB35" t="n">
        <v>97.5892099985193</v>
      </c>
      <c r="AC35" t="n">
        <v>99.4354772771032</v>
      </c>
      <c r="AD35" t="n">
        <v>100.294858494523</v>
      </c>
      <c r="AE35" t="n">
        <v>100</v>
      </c>
      <c r="AF35" t="n">
        <v>102.783495050475</v>
      </c>
    </row>
    <row r="36">
      <c r="A36" t="s">
        <v>90</v>
      </c>
      <c r="B36" t="s">
        <v>342</v>
      </c>
      <c r="C36" t="s">
        <v>246</v>
      </c>
      <c r="D36" t="s">
        <v>343</v>
      </c>
      <c r="E36" t="s">
        <v>247</v>
      </c>
      <c r="F36" t="n">
        <v>87.0136551561696</v>
      </c>
      <c r="G36" t="n">
        <v>90.0167045177274</v>
      </c>
      <c r="H36" t="n">
        <v>91.3202974481395</v>
      </c>
      <c r="I36" t="n">
        <v>92.5951155711605</v>
      </c>
      <c r="J36" t="n">
        <v>93.8829523973357</v>
      </c>
      <c r="K36" t="n">
        <v>93.9366760716836</v>
      </c>
      <c r="L36" t="n">
        <v>96.5070564411228</v>
      </c>
      <c r="M36" t="n">
        <v>99.0100025542365</v>
      </c>
      <c r="N36" t="n">
        <v>100.781642662784</v>
      </c>
      <c r="O36" t="n">
        <v>103.173672424288</v>
      </c>
      <c r="P36" t="n">
        <v>104.420621187661</v>
      </c>
      <c r="Q36" t="n">
        <v>103.926064668218</v>
      </c>
      <c r="R36" t="n">
        <v>105.938768925054</v>
      </c>
      <c r="S36" t="n">
        <v>107.197094931371</v>
      </c>
      <c r="T36" t="n">
        <v>102.716401646043</v>
      </c>
      <c r="U36" t="n">
        <v>98.1103062023433</v>
      </c>
      <c r="V36" t="n">
        <v>101.554064418331</v>
      </c>
      <c r="W36" t="n">
        <v>96.3439192244529</v>
      </c>
      <c r="X36" t="n">
        <v>96.2202971402932</v>
      </c>
      <c r="Y36" t="n">
        <v>97.4019690232809</v>
      </c>
      <c r="Z36" t="n">
        <v>97.3310984016342</v>
      </c>
      <c r="AA36" t="n">
        <v>97.9153954221005</v>
      </c>
      <c r="AB36" t="n">
        <v>97.5981245775155</v>
      </c>
      <c r="AC36" t="n">
        <v>99.4355646990558</v>
      </c>
      <c r="AD36" t="n">
        <v>100.284700931032</v>
      </c>
      <c r="AE36" t="n">
        <v>100</v>
      </c>
      <c r="AF36" t="n">
        <v>102.783495050475</v>
      </c>
    </row>
    <row r="37">
      <c r="A37" t="s">
        <v>90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90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90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90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90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90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90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90</v>
      </c>
      <c r="B44" t="s">
        <v>358</v>
      </c>
      <c r="C44" t="s">
        <v>246</v>
      </c>
      <c r="D44" t="s">
        <v>359</v>
      </c>
      <c r="E44" t="s">
        <v>247</v>
      </c>
      <c r="F44" t="n">
        <v>80.9413008518808</v>
      </c>
      <c r="G44" t="n">
        <v>83.7587684059966</v>
      </c>
      <c r="H44" t="n">
        <v>85.18656753805</v>
      </c>
      <c r="I44" t="n">
        <v>86.252271315732</v>
      </c>
      <c r="J44" t="n">
        <v>87.4460191697778</v>
      </c>
      <c r="K44" t="n">
        <v>87.4627123412054</v>
      </c>
      <c r="L44" t="n">
        <v>90.4832878858371</v>
      </c>
      <c r="M44" t="n">
        <v>92.9784120927596</v>
      </c>
      <c r="N44" t="n">
        <v>95.0253530026819</v>
      </c>
      <c r="O44" t="n">
        <v>98.2892458906532</v>
      </c>
      <c r="P44" t="n">
        <v>99.881366484638</v>
      </c>
      <c r="Q44" t="n">
        <v>100.765899715253</v>
      </c>
      <c r="R44" t="n">
        <v>103.146420619097</v>
      </c>
      <c r="S44" t="n">
        <v>105.657810274234</v>
      </c>
      <c r="T44" t="n">
        <v>102.033954389467</v>
      </c>
      <c r="U44" t="n">
        <v>97.4260099318274</v>
      </c>
      <c r="V44" t="n">
        <v>100.760871220389</v>
      </c>
      <c r="W44" t="n">
        <v>96.2987761633174</v>
      </c>
      <c r="X44" t="n">
        <v>96.2928555708015</v>
      </c>
      <c r="Y44" t="n">
        <v>97.3772207345394</v>
      </c>
      <c r="Z44" t="n">
        <v>97.7176012638045</v>
      </c>
      <c r="AA44" t="n">
        <v>98.2967549505181</v>
      </c>
      <c r="AB44" t="n">
        <v>98.0054798066966</v>
      </c>
      <c r="AC44" t="n">
        <v>99.5271808747569</v>
      </c>
      <c r="AD44" t="n">
        <v>100.209267339026</v>
      </c>
      <c r="AE44" t="n">
        <v>100</v>
      </c>
      <c r="AF44" t="n">
        <v>102.360134515439</v>
      </c>
    </row>
    <row r="45">
      <c r="A45" t="s">
        <v>90</v>
      </c>
      <c r="B45" t="s">
        <v>360</v>
      </c>
      <c r="C45" t="s">
        <v>246</v>
      </c>
      <c r="D45" t="s">
        <v>361</v>
      </c>
      <c r="E45" t="s">
        <v>247</v>
      </c>
      <c r="F45" t="n">
        <v>80.9642634346315</v>
      </c>
      <c r="G45" t="n">
        <v>83.775286470684</v>
      </c>
      <c r="H45" t="n">
        <v>85.2159903383458</v>
      </c>
      <c r="I45" t="n">
        <v>86.2820537118814</v>
      </c>
      <c r="J45" t="n">
        <v>87.4820733456259</v>
      </c>
      <c r="K45" t="n">
        <v>87.4932081307383</v>
      </c>
      <c r="L45" t="n">
        <v>90.5214635551714</v>
      </c>
      <c r="M45" t="n">
        <v>93.0176293785426</v>
      </c>
      <c r="N45" t="n">
        <v>95.0654401242695</v>
      </c>
      <c r="O45" t="n">
        <v>98.3180591385702</v>
      </c>
      <c r="P45" t="n">
        <v>99.9043897082926</v>
      </c>
      <c r="Q45" t="n">
        <v>100.783445480861</v>
      </c>
      <c r="R45" t="n">
        <v>103.16432993871</v>
      </c>
      <c r="S45" t="n">
        <v>105.676187942673</v>
      </c>
      <c r="T45" t="n">
        <v>102.051710185527</v>
      </c>
      <c r="U45" t="n">
        <v>97.4429536723973</v>
      </c>
      <c r="V45" t="n">
        <v>100.773147466584</v>
      </c>
      <c r="W45" t="n">
        <v>96.3105228758826</v>
      </c>
      <c r="X45" t="n">
        <v>96.3045673473408</v>
      </c>
      <c r="Y45" t="n">
        <v>97.3831067895575</v>
      </c>
      <c r="Z45" t="n">
        <v>97.7182492928112</v>
      </c>
      <c r="AA45" t="n">
        <v>98.3026007344382</v>
      </c>
      <c r="AB45" t="n">
        <v>98.0113475468036</v>
      </c>
      <c r="AC45" t="n">
        <v>99.5330738438348</v>
      </c>
      <c r="AD45" t="n">
        <v>100.21528794763</v>
      </c>
      <c r="AE45" t="n">
        <v>100</v>
      </c>
      <c r="AF45" t="n">
        <v>102.353876253363</v>
      </c>
    </row>
    <row r="46">
      <c r="A46" t="s">
        <v>90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90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90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90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90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90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90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90</v>
      </c>
      <c r="B53" t="s">
        <v>376</v>
      </c>
      <c r="C53" t="s">
        <v>246</v>
      </c>
      <c r="D53" t="s">
        <v>377</v>
      </c>
      <c r="E53" t="s">
        <v>247</v>
      </c>
      <c r="F53" t="n">
        <v>72.7574660789565</v>
      </c>
      <c r="G53" t="n">
        <v>75.2689241541881</v>
      </c>
      <c r="H53" t="n">
        <v>76.3944049646806</v>
      </c>
      <c r="I53" t="n">
        <v>77.4587792744069</v>
      </c>
      <c r="J53" t="n">
        <v>78.5287795557679</v>
      </c>
      <c r="K53" t="n">
        <v>77.5245176308025</v>
      </c>
      <c r="L53" t="n">
        <v>81.139102736922</v>
      </c>
      <c r="M53" t="n">
        <v>83.9498698786845</v>
      </c>
      <c r="N53" t="n">
        <v>86.4574039842713</v>
      </c>
      <c r="O53" t="n">
        <v>91.8002412961048</v>
      </c>
      <c r="P53" t="n">
        <v>93.5064837662094</v>
      </c>
      <c r="Q53" t="n">
        <v>95.6636172251364</v>
      </c>
      <c r="R53" t="n">
        <v>99.1016389159157</v>
      </c>
      <c r="S53" t="n">
        <v>103.783584336563</v>
      </c>
      <c r="T53" t="n">
        <v>100.919237757669</v>
      </c>
      <c r="U53" t="n">
        <v>95.6466684594682</v>
      </c>
      <c r="V53" t="n">
        <v>99.0813659734051</v>
      </c>
      <c r="W53" t="n">
        <v>95.4051310744555</v>
      </c>
      <c r="X53" t="n">
        <v>95.4423832942197</v>
      </c>
      <c r="Y53" t="n">
        <v>96.5760931181739</v>
      </c>
      <c r="Z53" t="n">
        <v>97.7236686913681</v>
      </c>
      <c r="AA53" t="n">
        <v>98.5546522131888</v>
      </c>
      <c r="AB53" t="n">
        <v>98.4636691231965</v>
      </c>
      <c r="AC53" t="n">
        <v>99.2482026203423</v>
      </c>
      <c r="AD53" t="n">
        <v>99.690876103901</v>
      </c>
      <c r="AE53" t="n">
        <v>100</v>
      </c>
      <c r="AF53" t="n">
        <v>100.591482649842</v>
      </c>
    </row>
    <row r="54">
      <c r="A54" t="s">
        <v>90</v>
      </c>
      <c r="B54" t="s">
        <v>378</v>
      </c>
      <c r="C54" t="s">
        <v>246</v>
      </c>
      <c r="D54" t="s">
        <v>379</v>
      </c>
      <c r="E54" t="s">
        <v>247</v>
      </c>
      <c r="F54" t="n">
        <v>72.7603344067926</v>
      </c>
      <c r="G54" t="n">
        <v>75.271731697431</v>
      </c>
      <c r="H54" t="n">
        <v>76.397487824615</v>
      </c>
      <c r="I54" t="n">
        <v>77.4617770734039</v>
      </c>
      <c r="J54" t="n">
        <v>78.5124282690588</v>
      </c>
      <c r="K54" t="n">
        <v>77.5084837653862</v>
      </c>
      <c r="L54" t="n">
        <v>81.1431538584438</v>
      </c>
      <c r="M54" t="n">
        <v>83.9541603601124</v>
      </c>
      <c r="N54" t="n">
        <v>86.4421671383697</v>
      </c>
      <c r="O54" t="n">
        <v>91.784224142202</v>
      </c>
      <c r="P54" t="n">
        <v>93.5092890518942</v>
      </c>
      <c r="Q54" t="n">
        <v>95.6664966597828</v>
      </c>
      <c r="R54" t="n">
        <v>99.1224269434185</v>
      </c>
      <c r="S54" t="n">
        <v>103.805264596364</v>
      </c>
      <c r="T54" t="n">
        <v>100.955390728398</v>
      </c>
      <c r="U54" t="n">
        <v>95.6809083013832</v>
      </c>
      <c r="V54" t="n">
        <v>99.0988163245377</v>
      </c>
      <c r="W54" t="n">
        <v>95.45695915497</v>
      </c>
      <c r="X54" t="n">
        <v>95.4943064230577</v>
      </c>
      <c r="Y54" t="n">
        <v>96.6097721446235</v>
      </c>
      <c r="Z54" t="n">
        <v>97.7388712421154</v>
      </c>
      <c r="AA54" t="n">
        <v>98.5337370554781</v>
      </c>
      <c r="AB54" t="n">
        <v>98.4427403033749</v>
      </c>
      <c r="AC54" t="n">
        <v>99.2271990892771</v>
      </c>
      <c r="AD54" t="n">
        <v>99.690876103901</v>
      </c>
      <c r="AE54" t="n">
        <v>100</v>
      </c>
      <c r="AF54" t="n">
        <v>100.591482649842</v>
      </c>
    </row>
    <row r="55">
      <c r="A55" t="s">
        <v>90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90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90</v>
      </c>
      <c r="B57" t="s">
        <v>384</v>
      </c>
      <c r="C57" t="s">
        <v>246</v>
      </c>
      <c r="D57" t="s">
        <v>385</v>
      </c>
      <c r="E57" t="s">
        <v>247</v>
      </c>
      <c r="F57" t="n">
        <v>80.9931354194526</v>
      </c>
      <c r="G57" t="n">
        <v>83.7904848557819</v>
      </c>
      <c r="H57" t="n">
        <v>85.2251192330992</v>
      </c>
      <c r="I57" t="n">
        <v>86.2973360258797</v>
      </c>
      <c r="J57" t="n">
        <v>87.4739504062566</v>
      </c>
      <c r="K57" t="n">
        <v>87.4906872930935</v>
      </c>
      <c r="L57" t="n">
        <v>90.5053835981715</v>
      </c>
      <c r="M57" t="n">
        <v>93.0076880297</v>
      </c>
      <c r="N57" t="n">
        <v>95.0739867486787</v>
      </c>
      <c r="O57" t="n">
        <v>98.3395271507736</v>
      </c>
      <c r="P57" t="n">
        <v>99.9199871582798</v>
      </c>
      <c r="Q57" t="n">
        <v>100.793543441995</v>
      </c>
      <c r="R57" t="n">
        <v>103.174681572622</v>
      </c>
      <c r="S57" t="n">
        <v>105.686656305029</v>
      </c>
      <c r="T57" t="n">
        <v>102.066965496475</v>
      </c>
      <c r="U57" t="n">
        <v>97.4624462613559</v>
      </c>
      <c r="V57" t="n">
        <v>100.798527857075</v>
      </c>
      <c r="W57" t="n">
        <v>96.3249411556784</v>
      </c>
      <c r="X57" t="n">
        <v>96.319015128725</v>
      </c>
      <c r="Y57" t="n">
        <v>97.4097183280597</v>
      </c>
      <c r="Z57" t="n">
        <v>97.7291843645875</v>
      </c>
      <c r="AA57" t="n">
        <v>98.3032894648374</v>
      </c>
      <c r="AB57" t="n">
        <v>98.0066427263872</v>
      </c>
      <c r="AC57" t="n">
        <v>99.533984386457</v>
      </c>
      <c r="AD57" t="n">
        <v>100.197303333381</v>
      </c>
      <c r="AE57" t="n">
        <v>100</v>
      </c>
      <c r="AF57" t="n">
        <v>102.366248853562</v>
      </c>
    </row>
    <row r="58">
      <c r="A58" t="s">
        <v>90</v>
      </c>
      <c r="B58" t="s">
        <v>386</v>
      </c>
      <c r="C58" t="s">
        <v>246</v>
      </c>
      <c r="D58" t="s">
        <v>387</v>
      </c>
      <c r="E58" t="s">
        <v>247</v>
      </c>
      <c r="F58" t="n">
        <v>80.9931354194526</v>
      </c>
      <c r="G58" t="n">
        <v>83.7904848557819</v>
      </c>
      <c r="H58" t="n">
        <v>85.2251192330992</v>
      </c>
      <c r="I58" t="n">
        <v>86.2973360258797</v>
      </c>
      <c r="J58" t="n">
        <v>87.4739504062566</v>
      </c>
      <c r="K58" t="n">
        <v>87.4906872930935</v>
      </c>
      <c r="L58" t="n">
        <v>90.5053835981715</v>
      </c>
      <c r="M58" t="n">
        <v>93.0076880297</v>
      </c>
      <c r="N58" t="n">
        <v>95.0739867486787</v>
      </c>
      <c r="O58" t="n">
        <v>98.3395271507736</v>
      </c>
      <c r="P58" t="n">
        <v>99.9199871582798</v>
      </c>
      <c r="Q58" t="n">
        <v>100.793543441995</v>
      </c>
      <c r="R58" t="n">
        <v>103.174681572622</v>
      </c>
      <c r="S58" t="n">
        <v>105.686656305029</v>
      </c>
      <c r="T58" t="n">
        <v>102.066965496475</v>
      </c>
      <c r="U58" t="n">
        <v>97.4624462613559</v>
      </c>
      <c r="V58" t="n">
        <v>100.798527857075</v>
      </c>
      <c r="W58" t="n">
        <v>96.3249411556784</v>
      </c>
      <c r="X58" t="n">
        <v>96.319015128725</v>
      </c>
      <c r="Y58" t="n">
        <v>97.4097183280597</v>
      </c>
      <c r="Z58" t="n">
        <v>97.7291843645875</v>
      </c>
      <c r="AA58" t="n">
        <v>98.3032894648374</v>
      </c>
      <c r="AB58" t="n">
        <v>98.0066427263872</v>
      </c>
      <c r="AC58" t="n">
        <v>99.533984386457</v>
      </c>
      <c r="AD58" t="n">
        <v>100.197303333381</v>
      </c>
      <c r="AE58" t="n">
        <v>100</v>
      </c>
      <c r="AF58" t="n">
        <v>102.366248853562</v>
      </c>
    </row>
    <row r="59">
      <c r="A59" t="s">
        <v>90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92</v>
      </c>
      <c r="B2" t="s">
        <v>197</v>
      </c>
      <c r="C2" t="s">
        <v>246</v>
      </c>
      <c r="D2" t="s">
        <v>199</v>
      </c>
      <c r="E2" t="s">
        <v>247</v>
      </c>
      <c r="F2" t="n">
        <v>69.3091749760072</v>
      </c>
      <c r="G2" t="n">
        <v>71.3601481671382</v>
      </c>
      <c r="H2" t="n">
        <v>72.0810482823023</v>
      </c>
      <c r="I2" t="n">
        <v>72.7999425274939</v>
      </c>
      <c r="J2" t="n">
        <v>72.1313133419596</v>
      </c>
      <c r="K2" t="n">
        <v>73.8454280870422</v>
      </c>
      <c r="L2" t="n">
        <v>75.8723593989451</v>
      </c>
      <c r="M2" t="n">
        <v>77.5127578580091</v>
      </c>
      <c r="N2" t="n">
        <v>78.8660728560629</v>
      </c>
      <c r="O2" t="n">
        <v>80.7435519211746</v>
      </c>
      <c r="P2" t="n">
        <v>82.1669646194383</v>
      </c>
      <c r="Q2" t="n">
        <v>84.4316266990083</v>
      </c>
      <c r="R2" t="n">
        <v>86.5856558994717</v>
      </c>
      <c r="S2" t="n">
        <v>89.0733514406449</v>
      </c>
      <c r="T2" t="n">
        <v>91.2372124807011</v>
      </c>
      <c r="U2" t="n">
        <v>92.5651974262064</v>
      </c>
      <c r="V2" t="n">
        <v>94.9429291212659</v>
      </c>
      <c r="W2" t="n">
        <v>97.0345647221489</v>
      </c>
      <c r="X2" t="n">
        <v>96.0083917678993</v>
      </c>
      <c r="Y2" t="n">
        <v>96.0567830943952</v>
      </c>
      <c r="Z2" t="n">
        <v>96.6795774248718</v>
      </c>
      <c r="AA2" t="n">
        <v>96.606575643431</v>
      </c>
      <c r="AB2" t="n">
        <v>97.6943988180225</v>
      </c>
      <c r="AC2" t="n">
        <v>99.0932172922922</v>
      </c>
      <c r="AD2" t="n">
        <v>100.78638915357</v>
      </c>
      <c r="AE2" t="n">
        <v>100</v>
      </c>
      <c r="AF2" t="n">
        <v>103.973969115564</v>
      </c>
    </row>
    <row r="3">
      <c r="A3" t="s">
        <v>92</v>
      </c>
      <c r="B3" t="s">
        <v>276</v>
      </c>
      <c r="C3" t="s">
        <v>246</v>
      </c>
      <c r="D3" t="s">
        <v>277</v>
      </c>
      <c r="E3" t="s">
        <v>247</v>
      </c>
      <c r="F3" t="n">
        <v>66.9390461296424</v>
      </c>
      <c r="G3" t="n">
        <v>68.1519003798983</v>
      </c>
      <c r="H3" t="n">
        <v>69.6282164842202</v>
      </c>
      <c r="I3" t="n">
        <v>70.8753318082925</v>
      </c>
      <c r="J3" t="n">
        <v>71.0399831167546</v>
      </c>
      <c r="K3" t="n">
        <v>73.4407499534364</v>
      </c>
      <c r="L3" t="n">
        <v>75.4923209514946</v>
      </c>
      <c r="M3" t="n">
        <v>77.6719238045731</v>
      </c>
      <c r="N3" t="n">
        <v>79.5215706402717</v>
      </c>
      <c r="O3" t="n">
        <v>82.1958711877595</v>
      </c>
      <c r="P3" t="n">
        <v>84.8583901428281</v>
      </c>
      <c r="Q3" t="n">
        <v>87.5102148347915</v>
      </c>
      <c r="R3" t="n">
        <v>90.012166540181</v>
      </c>
      <c r="S3" t="n">
        <v>93.0051174707605</v>
      </c>
      <c r="T3" t="n">
        <v>93.9282451875919</v>
      </c>
      <c r="U3" t="n">
        <v>96.0869637950698</v>
      </c>
      <c r="V3" t="n">
        <v>99.2500154092827</v>
      </c>
      <c r="W3" t="n">
        <v>99.8704225798545</v>
      </c>
      <c r="X3" t="n">
        <v>99.4339975071289</v>
      </c>
      <c r="Y3" t="n">
        <v>99.0575912074173</v>
      </c>
      <c r="Z3" t="n">
        <v>99.3858783023725</v>
      </c>
      <c r="AA3" t="n">
        <v>99.0666718162323</v>
      </c>
      <c r="AB3" t="n">
        <v>99.4466015259782</v>
      </c>
      <c r="AC3" t="n">
        <v>100.616447800977</v>
      </c>
      <c r="AD3" t="n">
        <v>100.530856005309</v>
      </c>
      <c r="AE3" t="n">
        <v>100</v>
      </c>
      <c r="AF3" t="n">
        <v>102.855358258231</v>
      </c>
    </row>
    <row r="4">
      <c r="A4" t="s">
        <v>92</v>
      </c>
      <c r="B4" t="s">
        <v>278</v>
      </c>
      <c r="C4" t="s">
        <v>246</v>
      </c>
      <c r="D4" t="s">
        <v>279</v>
      </c>
      <c r="E4" t="s">
        <v>247</v>
      </c>
      <c r="F4" t="n">
        <v>73.4789331832029</v>
      </c>
      <c r="G4" t="n">
        <v>74.7110310625347</v>
      </c>
      <c r="H4" t="n">
        <v>75.4521333562885</v>
      </c>
      <c r="I4" t="n">
        <v>76.4030876500676</v>
      </c>
      <c r="J4" t="n">
        <v>76.1354394398765</v>
      </c>
      <c r="K4" t="n">
        <v>78.160172706823</v>
      </c>
      <c r="L4" t="n">
        <v>79.7521635215243</v>
      </c>
      <c r="M4" t="n">
        <v>81.5425402001246</v>
      </c>
      <c r="N4" t="n">
        <v>82.6526775546675</v>
      </c>
      <c r="O4" t="n">
        <v>84.2904523339064</v>
      </c>
      <c r="P4" t="n">
        <v>85.3022036383844</v>
      </c>
      <c r="Q4" t="n">
        <v>87.2945053267003</v>
      </c>
      <c r="R4" t="n">
        <v>88.964995263061</v>
      </c>
      <c r="S4" t="n">
        <v>91.0547002525234</v>
      </c>
      <c r="T4" t="n">
        <v>91.2995799952694</v>
      </c>
      <c r="U4" t="n">
        <v>92.4020945399516</v>
      </c>
      <c r="V4" t="n">
        <v>94.353367972541</v>
      </c>
      <c r="W4" t="n">
        <v>95.6124211224544</v>
      </c>
      <c r="X4" t="n">
        <v>95.187401299319</v>
      </c>
      <c r="Y4" t="n">
        <v>96.1856239541022</v>
      </c>
      <c r="Z4" t="n">
        <v>98.1957719401069</v>
      </c>
      <c r="AA4" t="n">
        <v>97.976990027674</v>
      </c>
      <c r="AB4" t="n">
        <v>98.848685668544</v>
      </c>
      <c r="AC4" t="n">
        <v>99.0693756742505</v>
      </c>
      <c r="AD4" t="n">
        <v>100.569743500491</v>
      </c>
      <c r="AE4" t="n">
        <v>100</v>
      </c>
      <c r="AF4" t="n">
        <v>102.644272947186</v>
      </c>
    </row>
    <row r="5">
      <c r="A5" t="s">
        <v>92</v>
      </c>
      <c r="B5" t="s">
        <v>280</v>
      </c>
      <c r="C5" t="s">
        <v>246</v>
      </c>
      <c r="D5" t="s">
        <v>281</v>
      </c>
      <c r="E5" t="s">
        <v>247</v>
      </c>
      <c r="F5" t="n">
        <v>73.0802514351842</v>
      </c>
      <c r="G5" t="n">
        <v>75.0867297739734</v>
      </c>
      <c r="H5" t="n">
        <v>75.8657452828229</v>
      </c>
      <c r="I5" t="n">
        <v>76.8479594993815</v>
      </c>
      <c r="J5" t="n">
        <v>76.3035221884871</v>
      </c>
      <c r="K5" t="n">
        <v>78.3512754213819</v>
      </c>
      <c r="L5" t="n">
        <v>79.9900571707439</v>
      </c>
      <c r="M5" t="n">
        <v>81.654574344064</v>
      </c>
      <c r="N5" t="n">
        <v>82.7339662091865</v>
      </c>
      <c r="O5" t="n">
        <v>83.9879249638964</v>
      </c>
      <c r="P5" t="n">
        <v>84.6643614368855</v>
      </c>
      <c r="Q5" t="n">
        <v>86.4823741131438</v>
      </c>
      <c r="R5" t="n">
        <v>88.0028258900618</v>
      </c>
      <c r="S5" t="n">
        <v>90.1200460724104</v>
      </c>
      <c r="T5" t="n">
        <v>90.6154545205213</v>
      </c>
      <c r="U5" t="n">
        <v>91.8082927807864</v>
      </c>
      <c r="V5" t="n">
        <v>94.1759630937459</v>
      </c>
      <c r="W5" t="n">
        <v>95.9528930779138</v>
      </c>
      <c r="X5" t="n">
        <v>95.3831969229564</v>
      </c>
      <c r="Y5" t="n">
        <v>96.0519091747163</v>
      </c>
      <c r="Z5" t="n">
        <v>97.6970042973733</v>
      </c>
      <c r="AA5" t="n">
        <v>97.4821272448946</v>
      </c>
      <c r="AB5" t="n">
        <v>98.2137334508125</v>
      </c>
      <c r="AC5" t="n">
        <v>98.4223238222741</v>
      </c>
      <c r="AD5" t="n">
        <v>100.220547965482</v>
      </c>
      <c r="AE5" t="n">
        <v>100</v>
      </c>
      <c r="AF5" t="n">
        <v>102.336185675771</v>
      </c>
    </row>
    <row r="6">
      <c r="A6" t="s">
        <v>92</v>
      </c>
      <c r="B6" t="s">
        <v>282</v>
      </c>
      <c r="C6" t="s">
        <v>246</v>
      </c>
      <c r="D6" t="s">
        <v>283</v>
      </c>
      <c r="E6" t="s">
        <v>247</v>
      </c>
      <c r="F6" t="n">
        <v>68.104416731196</v>
      </c>
      <c r="G6" t="n">
        <v>69.6249914367889</v>
      </c>
      <c r="H6" t="n">
        <v>70.4504993130449</v>
      </c>
      <c r="I6" t="n">
        <v>71.4593957405108</v>
      </c>
      <c r="J6" t="n">
        <v>71.5219354151551</v>
      </c>
      <c r="K6" t="n">
        <v>73.4001424267458</v>
      </c>
      <c r="L6" t="n">
        <v>74.8336255721226</v>
      </c>
      <c r="M6" t="n">
        <v>76.4866318314357</v>
      </c>
      <c r="N6" t="n">
        <v>77.5171989692114</v>
      </c>
      <c r="O6" t="n">
        <v>78.8652862317894</v>
      </c>
      <c r="P6" t="n">
        <v>79.7101865500794</v>
      </c>
      <c r="Q6" t="n">
        <v>81.3767015823487</v>
      </c>
      <c r="R6" t="n">
        <v>82.8313192818373</v>
      </c>
      <c r="S6" t="n">
        <v>84.7363518935545</v>
      </c>
      <c r="T6" t="n">
        <v>85.3594682853946</v>
      </c>
      <c r="U6" t="n">
        <v>86.6304140908512</v>
      </c>
      <c r="V6" t="n">
        <v>90.4579202051963</v>
      </c>
      <c r="W6" t="n">
        <v>92.6621567221275</v>
      </c>
      <c r="X6" t="n">
        <v>93.6543911541239</v>
      </c>
      <c r="Y6" t="n">
        <v>96.9731548926975</v>
      </c>
      <c r="Z6" t="n">
        <v>101.99796831755</v>
      </c>
      <c r="AA6" t="n">
        <v>102.965001064181</v>
      </c>
      <c r="AB6" t="n">
        <v>103.211113280481</v>
      </c>
      <c r="AC6" t="n">
        <v>100.49823097735</v>
      </c>
      <c r="AD6" t="n">
        <v>101.224146354704</v>
      </c>
      <c r="AE6" t="n">
        <v>100</v>
      </c>
      <c r="AF6" t="n">
        <v>104.168319777822</v>
      </c>
    </row>
    <row r="7">
      <c r="A7" t="s">
        <v>92</v>
      </c>
      <c r="B7" t="s">
        <v>284</v>
      </c>
      <c r="C7" t="s">
        <v>246</v>
      </c>
      <c r="D7" t="s">
        <v>285</v>
      </c>
      <c r="E7" t="s">
        <v>247</v>
      </c>
      <c r="F7" t="n">
        <v>73.5638615697881</v>
      </c>
      <c r="G7" t="n">
        <v>75.2665600363469</v>
      </c>
      <c r="H7" t="n">
        <v>76.1058761605154</v>
      </c>
      <c r="I7" t="n">
        <v>76.9619439355231</v>
      </c>
      <c r="J7" t="n">
        <v>76.7503860336332</v>
      </c>
      <c r="K7" t="n">
        <v>79.0056988010559</v>
      </c>
      <c r="L7" t="n">
        <v>80.7972112455243</v>
      </c>
      <c r="M7" t="n">
        <v>82.5774631380198</v>
      </c>
      <c r="N7" t="n">
        <v>83.5619421149265</v>
      </c>
      <c r="O7" t="n">
        <v>84.8253656888516</v>
      </c>
      <c r="P7" t="n">
        <v>85.3734495705374</v>
      </c>
      <c r="Q7" t="n">
        <v>87.0639889140036</v>
      </c>
      <c r="R7" t="n">
        <v>88.4509218702185</v>
      </c>
      <c r="S7" t="n">
        <v>90.6738981580752</v>
      </c>
      <c r="T7" t="n">
        <v>90.6481750663991</v>
      </c>
      <c r="U7" t="n">
        <v>91.7873108127074</v>
      </c>
      <c r="V7" t="n">
        <v>93.891668871067</v>
      </c>
      <c r="W7" t="n">
        <v>95.1882824334967</v>
      </c>
      <c r="X7" t="n">
        <v>94.4997840071588</v>
      </c>
      <c r="Y7" t="n">
        <v>95.1379102807971</v>
      </c>
      <c r="Z7" t="n">
        <v>96.8332720177687</v>
      </c>
      <c r="AA7" t="n">
        <v>96.2851882874385</v>
      </c>
      <c r="AB7" t="n">
        <v>97.3935211141358</v>
      </c>
      <c r="AC7" t="n">
        <v>98.4128091634274</v>
      </c>
      <c r="AD7" t="n">
        <v>100.067435017165</v>
      </c>
      <c r="AE7" t="n">
        <v>100</v>
      </c>
      <c r="AF7" t="n">
        <v>101.464603191603</v>
      </c>
    </row>
    <row r="8">
      <c r="A8" t="s">
        <v>92</v>
      </c>
      <c r="B8" t="s">
        <v>286</v>
      </c>
      <c r="C8" t="s">
        <v>246</v>
      </c>
      <c r="D8" t="s">
        <v>287</v>
      </c>
      <c r="E8" t="s">
        <v>247</v>
      </c>
      <c r="F8" t="n">
        <v>73.423116435927</v>
      </c>
      <c r="G8" t="n">
        <v>74.603642235344</v>
      </c>
      <c r="H8" t="n">
        <v>75.620733472363</v>
      </c>
      <c r="I8" t="n">
        <v>76.0995140571335</v>
      </c>
      <c r="J8" t="n">
        <v>75.5020476775049</v>
      </c>
      <c r="K8" t="n">
        <v>77.6032815942727</v>
      </c>
      <c r="L8" t="n">
        <v>79.5089003168071</v>
      </c>
      <c r="M8" t="n">
        <v>81.1126567946557</v>
      </c>
      <c r="N8" t="n">
        <v>82.0769455451137</v>
      </c>
      <c r="O8" t="n">
        <v>84.532597801404</v>
      </c>
      <c r="P8" t="n">
        <v>86.1640167019655</v>
      </c>
      <c r="Q8" t="n">
        <v>88.5859177968115</v>
      </c>
      <c r="R8" t="n">
        <v>90.9260411768649</v>
      </c>
      <c r="S8" t="n">
        <v>92.6169336462142</v>
      </c>
      <c r="T8" t="n">
        <v>92.2576880594816</v>
      </c>
      <c r="U8" t="n">
        <v>93.9085771938099</v>
      </c>
      <c r="V8" t="n">
        <v>96.8920933536952</v>
      </c>
      <c r="W8" t="n">
        <v>98.1589213205286</v>
      </c>
      <c r="X8" t="n">
        <v>97.0168228142562</v>
      </c>
      <c r="Y8" t="n">
        <v>97.3572078369215</v>
      </c>
      <c r="Z8" t="n">
        <v>98.7823645828509</v>
      </c>
      <c r="AA8" t="n">
        <v>97.7752784158925</v>
      </c>
      <c r="AB8" t="n">
        <v>98.4012876555242</v>
      </c>
      <c r="AC8" t="n">
        <v>98.7914936781272</v>
      </c>
      <c r="AD8" t="n">
        <v>100.308734189822</v>
      </c>
      <c r="AE8" t="n">
        <v>100</v>
      </c>
      <c r="AF8" t="n">
        <v>105.029781601588</v>
      </c>
    </row>
    <row r="9">
      <c r="A9" t="s">
        <v>92</v>
      </c>
      <c r="B9" t="s">
        <v>288</v>
      </c>
      <c r="C9" t="s">
        <v>246</v>
      </c>
      <c r="D9" t="s">
        <v>289</v>
      </c>
      <c r="E9" t="s">
        <v>247</v>
      </c>
      <c r="F9" t="n">
        <v>74.2694659912579</v>
      </c>
      <c r="G9" t="n">
        <v>75.0245083044694</v>
      </c>
      <c r="H9" t="n">
        <v>75.6563750811828</v>
      </c>
      <c r="I9" t="n">
        <v>76.4746544836298</v>
      </c>
      <c r="J9" t="n">
        <v>75.9328272247456</v>
      </c>
      <c r="K9" t="n">
        <v>77.835978574646</v>
      </c>
      <c r="L9" t="n">
        <v>79.7210808857466</v>
      </c>
      <c r="M9" t="n">
        <v>81.5451093090194</v>
      </c>
      <c r="N9" t="n">
        <v>82.329152940039</v>
      </c>
      <c r="O9" t="n">
        <v>84.4104462274105</v>
      </c>
      <c r="P9" t="n">
        <v>85.5567365297261</v>
      </c>
      <c r="Q9" t="n">
        <v>87.8707640660604</v>
      </c>
      <c r="R9" t="n">
        <v>90.1205892970691</v>
      </c>
      <c r="S9" t="n">
        <v>92.4460532735461</v>
      </c>
      <c r="T9" t="n">
        <v>92.3691383395394</v>
      </c>
      <c r="U9" t="n">
        <v>93.7299287819896</v>
      </c>
      <c r="V9" t="n">
        <v>95.375094886654</v>
      </c>
      <c r="W9" t="n">
        <v>96.6808910907421</v>
      </c>
      <c r="X9" t="n">
        <v>95.8869469172176</v>
      </c>
      <c r="Y9" t="n">
        <v>96.83431063967</v>
      </c>
      <c r="Z9" t="n">
        <v>98.4951810532671</v>
      </c>
      <c r="AA9" t="n">
        <v>97.0387945022793</v>
      </c>
      <c r="AB9" t="n">
        <v>98.0338438020404</v>
      </c>
      <c r="AC9" t="n">
        <v>98.5794245146559</v>
      </c>
      <c r="AD9" t="n">
        <v>100.45555939552</v>
      </c>
      <c r="AE9" t="n">
        <v>100</v>
      </c>
      <c r="AF9" t="n">
        <v>104.686187621282</v>
      </c>
    </row>
    <row r="10">
      <c r="A10" t="s">
        <v>92</v>
      </c>
      <c r="B10" t="s">
        <v>290</v>
      </c>
      <c r="C10" t="s">
        <v>246</v>
      </c>
      <c r="D10" t="s">
        <v>291</v>
      </c>
      <c r="E10" t="s">
        <v>247</v>
      </c>
      <c r="F10" t="n">
        <v>72.7224831460829</v>
      </c>
      <c r="G10" t="n">
        <v>73.1954098677201</v>
      </c>
      <c r="H10" t="n">
        <v>73.8117514627932</v>
      </c>
      <c r="I10" t="n">
        <v>74.6234740479793</v>
      </c>
      <c r="J10" t="n">
        <v>74.1434306155278</v>
      </c>
      <c r="K10" t="n">
        <v>75.9861883810363</v>
      </c>
      <c r="L10" t="n">
        <v>77.5797212569119</v>
      </c>
      <c r="M10" t="n">
        <v>79.439243973344</v>
      </c>
      <c r="N10" t="n">
        <v>80.3763522420685</v>
      </c>
      <c r="O10" t="n">
        <v>82.3973861005991</v>
      </c>
      <c r="P10" t="n">
        <v>83.4400787172691</v>
      </c>
      <c r="Q10" t="n">
        <v>85.6305027201563</v>
      </c>
      <c r="R10" t="n">
        <v>87.7268017614404</v>
      </c>
      <c r="S10" t="n">
        <v>89.8780221742658</v>
      </c>
      <c r="T10" t="n">
        <v>90.6431604558129</v>
      </c>
      <c r="U10" t="n">
        <v>91.9435628705723</v>
      </c>
      <c r="V10" t="n">
        <v>93.3323940680386</v>
      </c>
      <c r="W10" t="n">
        <v>94.5035962751857</v>
      </c>
      <c r="X10" t="n">
        <v>93.1444489330575</v>
      </c>
      <c r="Y10" t="n">
        <v>93.9835881126346</v>
      </c>
      <c r="Z10" t="n">
        <v>95.803706732217</v>
      </c>
      <c r="AA10" t="n">
        <v>96.1614254462836</v>
      </c>
      <c r="AB10" t="n">
        <v>97.3404256130795</v>
      </c>
      <c r="AC10" t="n">
        <v>97.965059933424</v>
      </c>
      <c r="AD10" t="n">
        <v>99.9327967492381</v>
      </c>
      <c r="AE10" t="n">
        <v>100</v>
      </c>
      <c r="AF10" t="n">
        <v>104.700022639801</v>
      </c>
    </row>
    <row r="11">
      <c r="A11" t="s">
        <v>92</v>
      </c>
      <c r="B11" t="s">
        <v>292</v>
      </c>
      <c r="C11" t="s">
        <v>246</v>
      </c>
      <c r="D11" t="s">
        <v>293</v>
      </c>
      <c r="E11" t="s">
        <v>247</v>
      </c>
      <c r="F11" t="n">
        <v>71.1298870224036</v>
      </c>
      <c r="G11" t="n">
        <v>71.2384491210336</v>
      </c>
      <c r="H11" t="n">
        <v>71.8381241912583</v>
      </c>
      <c r="I11" t="n">
        <v>72.6454212860926</v>
      </c>
      <c r="J11" t="n">
        <v>72.2486430814778</v>
      </c>
      <c r="K11" t="n">
        <v>74.0197632293179</v>
      </c>
      <c r="L11" t="n">
        <v>75.1615214601175</v>
      </c>
      <c r="M11" t="n">
        <v>77.0886424968465</v>
      </c>
      <c r="N11" t="n">
        <v>78.2855334384306</v>
      </c>
      <c r="O11" t="n">
        <v>80.237193068861</v>
      </c>
      <c r="P11" t="n">
        <v>81.1426612939502</v>
      </c>
      <c r="Q11" t="n">
        <v>83.1616415826799</v>
      </c>
      <c r="R11" t="n">
        <v>85.0385673525066</v>
      </c>
      <c r="S11" t="n">
        <v>86.9398890727924</v>
      </c>
      <c r="T11" t="n">
        <v>88.895034965305</v>
      </c>
      <c r="U11" t="n">
        <v>90.1203230377321</v>
      </c>
      <c r="V11" t="n">
        <v>91.1540409531956</v>
      </c>
      <c r="W11" t="n">
        <v>92.1662969066206</v>
      </c>
      <c r="X11" t="n">
        <v>90.0999113231893</v>
      </c>
      <c r="Y11" t="n">
        <v>90.8082718037364</v>
      </c>
      <c r="Z11" t="n">
        <v>92.8189649121111</v>
      </c>
      <c r="AA11" t="n">
        <v>95.2913450725866</v>
      </c>
      <c r="AB11" t="n">
        <v>96.6316670591743</v>
      </c>
      <c r="AC11" t="n">
        <v>97.3413523656975</v>
      </c>
      <c r="AD11" t="n">
        <v>99.4153501679314</v>
      </c>
      <c r="AE11" t="n">
        <v>100</v>
      </c>
      <c r="AF11" t="n">
        <v>104.715078164397</v>
      </c>
    </row>
    <row r="12">
      <c r="A12" t="s">
        <v>92</v>
      </c>
      <c r="B12" t="s">
        <v>294</v>
      </c>
      <c r="C12" t="s">
        <v>246</v>
      </c>
      <c r="D12" t="s">
        <v>295</v>
      </c>
      <c r="E12" t="s">
        <v>247</v>
      </c>
      <c r="F12" t="n">
        <v>72.2871843381597</v>
      </c>
      <c r="G12" t="n">
        <v>73.7612759403496</v>
      </c>
      <c r="H12" t="n">
        <v>74.3133136195703</v>
      </c>
      <c r="I12" t="n">
        <v>75.4245605209915</v>
      </c>
      <c r="J12" t="n">
        <v>75.1447607274547</v>
      </c>
      <c r="K12" t="n">
        <v>77.1857018485406</v>
      </c>
      <c r="L12" t="n">
        <v>78.8687300268713</v>
      </c>
      <c r="M12" t="n">
        <v>80.6370542306155</v>
      </c>
      <c r="N12" t="n">
        <v>81.79283552923</v>
      </c>
      <c r="O12" t="n">
        <v>83.4078554483734</v>
      </c>
      <c r="P12" t="n">
        <v>84.4600944513395</v>
      </c>
      <c r="Q12" t="n">
        <v>86.4483979121568</v>
      </c>
      <c r="R12" t="n">
        <v>88.2046588841418</v>
      </c>
      <c r="S12" t="n">
        <v>90.472310705383</v>
      </c>
      <c r="T12" t="n">
        <v>90.7671588510773</v>
      </c>
      <c r="U12" t="n">
        <v>91.9363977328462</v>
      </c>
      <c r="V12" t="n">
        <v>94.2850953858164</v>
      </c>
      <c r="W12" t="n">
        <v>95.7171136356279</v>
      </c>
      <c r="X12" t="n">
        <v>94.9933374234034</v>
      </c>
      <c r="Y12" t="n">
        <v>95.6185037406925</v>
      </c>
      <c r="Z12" t="n">
        <v>97.3443726252752</v>
      </c>
      <c r="AA12" t="n">
        <v>97.0436253552504</v>
      </c>
      <c r="AB12" t="n">
        <v>98.0653675426964</v>
      </c>
      <c r="AC12" t="n">
        <v>98.7820663072687</v>
      </c>
      <c r="AD12" t="n">
        <v>100.308172420519</v>
      </c>
      <c r="AE12" t="n">
        <v>100</v>
      </c>
      <c r="AF12" t="n">
        <v>102.350252706377</v>
      </c>
    </row>
    <row r="13">
      <c r="A13" t="s">
        <v>92</v>
      </c>
      <c r="B13" t="s">
        <v>296</v>
      </c>
      <c r="C13" t="s">
        <v>246</v>
      </c>
      <c r="D13" t="s">
        <v>297</v>
      </c>
      <c r="E13" t="s">
        <v>247</v>
      </c>
      <c r="F13" t="n">
        <v>74.0250404016563</v>
      </c>
      <c r="G13" t="n">
        <v>76.0004107469592</v>
      </c>
      <c r="H13" t="n">
        <v>76.8875238420631</v>
      </c>
      <c r="I13" t="n">
        <v>77.883185582923</v>
      </c>
      <c r="J13" t="n">
        <v>77.6158815913663</v>
      </c>
      <c r="K13" t="n">
        <v>79.7371486928894</v>
      </c>
      <c r="L13" t="n">
        <v>81.5208429542247</v>
      </c>
      <c r="M13" t="n">
        <v>83.1724545560493</v>
      </c>
      <c r="N13" t="n">
        <v>84.3156888700935</v>
      </c>
      <c r="O13" t="n">
        <v>85.8109689879244</v>
      </c>
      <c r="P13" t="n">
        <v>86.6131926747469</v>
      </c>
      <c r="Q13" t="n">
        <v>88.5618369611928</v>
      </c>
      <c r="R13" t="n">
        <v>90.2793397547495</v>
      </c>
      <c r="S13" t="n">
        <v>92.5489881701872</v>
      </c>
      <c r="T13" t="n">
        <v>92.9243488601814</v>
      </c>
      <c r="U13" t="n">
        <v>93.5832291773623</v>
      </c>
      <c r="V13" t="n">
        <v>95.8099845492509</v>
      </c>
      <c r="W13" t="n">
        <v>97.4180965517676</v>
      </c>
      <c r="X13" t="n">
        <v>96.9009203373018</v>
      </c>
      <c r="Y13" t="n">
        <v>97.3818330289776</v>
      </c>
      <c r="Z13" t="n">
        <v>99.1727475174614</v>
      </c>
      <c r="AA13" t="n">
        <v>98.9136259880893</v>
      </c>
      <c r="AB13" t="n">
        <v>99.7454200335939</v>
      </c>
      <c r="AC13" t="n">
        <v>99.6535969681673</v>
      </c>
      <c r="AD13" t="n">
        <v>101.256741965687</v>
      </c>
      <c r="AE13" t="n">
        <v>100</v>
      </c>
      <c r="AF13" t="n">
        <v>101.491891207028</v>
      </c>
    </row>
    <row r="14">
      <c r="A14" t="s">
        <v>92</v>
      </c>
      <c r="B14" t="s">
        <v>298</v>
      </c>
      <c r="C14" t="s">
        <v>246</v>
      </c>
      <c r="D14" t="s">
        <v>299</v>
      </c>
      <c r="E14" t="s">
        <v>247</v>
      </c>
      <c r="F14" t="n">
        <v>77.4812656293882</v>
      </c>
      <c r="G14" t="n">
        <v>77.6200587608336</v>
      </c>
      <c r="H14" t="n">
        <v>78.1934025438557</v>
      </c>
      <c r="I14" t="n">
        <v>78.9903322309639</v>
      </c>
      <c r="J14" t="n">
        <v>78.5511944591231</v>
      </c>
      <c r="K14" t="n">
        <v>80.5783689345736</v>
      </c>
      <c r="L14" t="n">
        <v>81.9272083097146</v>
      </c>
      <c r="M14" t="n">
        <v>83.9360392899237</v>
      </c>
      <c r="N14" t="n">
        <v>84.9421279973985</v>
      </c>
      <c r="O14" t="n">
        <v>86.4463361616247</v>
      </c>
      <c r="P14" t="n">
        <v>87.3140414992276</v>
      </c>
      <c r="Q14" t="n">
        <v>89.4764848625177</v>
      </c>
      <c r="R14" t="n">
        <v>90.6680029132244</v>
      </c>
      <c r="S14" t="n">
        <v>92.427888162101</v>
      </c>
      <c r="T14" t="n">
        <v>91.7638682112259</v>
      </c>
      <c r="U14" t="n">
        <v>92.4398787883917</v>
      </c>
      <c r="V14" t="n">
        <v>93.535362803296</v>
      </c>
      <c r="W14" t="n">
        <v>94.0678345714284</v>
      </c>
      <c r="X14" t="n">
        <v>94.3149365839899</v>
      </c>
      <c r="Y14" t="n">
        <v>95.805571955706</v>
      </c>
      <c r="Z14" t="n">
        <v>97.7141048851913</v>
      </c>
      <c r="AA14" t="n">
        <v>97.0626318018806</v>
      </c>
      <c r="AB14" t="n">
        <v>98.0930268196671</v>
      </c>
      <c r="AC14" t="n">
        <v>99.0324086897415</v>
      </c>
      <c r="AD14" t="n">
        <v>100.382822469335</v>
      </c>
      <c r="AE14" t="n">
        <v>100</v>
      </c>
      <c r="AF14" t="n">
        <v>103.289771366213</v>
      </c>
    </row>
    <row r="15">
      <c r="A15" t="s">
        <v>92</v>
      </c>
      <c r="B15" t="s">
        <v>300</v>
      </c>
      <c r="C15" t="s">
        <v>246</v>
      </c>
      <c r="D15" t="s">
        <v>301</v>
      </c>
      <c r="E15" t="s">
        <v>247</v>
      </c>
      <c r="F15" t="n">
        <v>76.0250079331792</v>
      </c>
      <c r="G15" t="n">
        <v>76.5547715830607</v>
      </c>
      <c r="H15" t="n">
        <v>77.1953001839315</v>
      </c>
      <c r="I15" t="n">
        <v>78.0615455287308</v>
      </c>
      <c r="J15" t="n">
        <v>77.7590099992215</v>
      </c>
      <c r="K15" t="n">
        <v>79.7830579807164</v>
      </c>
      <c r="L15" t="n">
        <v>81.2228125289705</v>
      </c>
      <c r="M15" t="n">
        <v>83.1576282486875</v>
      </c>
      <c r="N15" t="n">
        <v>84.2153325034046</v>
      </c>
      <c r="O15" t="n">
        <v>85.82079098683</v>
      </c>
      <c r="P15" t="n">
        <v>86.7516983270796</v>
      </c>
      <c r="Q15" t="n">
        <v>88.8485902871748</v>
      </c>
      <c r="R15" t="n">
        <v>90.1940479198988</v>
      </c>
      <c r="S15" t="n">
        <v>92.0973928552347</v>
      </c>
      <c r="T15" t="n">
        <v>91.717324501402</v>
      </c>
      <c r="U15" t="n">
        <v>92.5957505083446</v>
      </c>
      <c r="V15" t="n">
        <v>93.8994743833307</v>
      </c>
      <c r="W15" t="n">
        <v>94.5464139624576</v>
      </c>
      <c r="X15" t="n">
        <v>94.5440535476788</v>
      </c>
      <c r="Y15" t="n">
        <v>95.8011373502694</v>
      </c>
      <c r="Z15" t="n">
        <v>97.6824407638903</v>
      </c>
      <c r="AA15" t="n">
        <v>97.1859944673327</v>
      </c>
      <c r="AB15" t="n">
        <v>98.1704890292003</v>
      </c>
      <c r="AC15" t="n">
        <v>98.970122287972</v>
      </c>
      <c r="AD15" t="n">
        <v>100.379122556186</v>
      </c>
      <c r="AE15" t="n">
        <v>100</v>
      </c>
      <c r="AF15" t="n">
        <v>103.139700078927</v>
      </c>
    </row>
    <row r="16">
      <c r="A16" t="s">
        <v>92</v>
      </c>
      <c r="B16" t="s">
        <v>302</v>
      </c>
      <c r="C16" t="s">
        <v>246</v>
      </c>
      <c r="D16" t="s">
        <v>303</v>
      </c>
      <c r="E16" t="s">
        <v>247</v>
      </c>
      <c r="F16" t="n">
        <v>74.3941212317511</v>
      </c>
      <c r="G16" t="n">
        <v>75.3275380879565</v>
      </c>
      <c r="H16" t="n">
        <v>76.0271472472497</v>
      </c>
      <c r="I16" t="n">
        <v>76.9988117123333</v>
      </c>
      <c r="J16" t="n">
        <v>76.8578030052418</v>
      </c>
      <c r="K16" t="n">
        <v>78.8761936762467</v>
      </c>
      <c r="L16" t="n">
        <v>80.4269960322527</v>
      </c>
      <c r="M16" t="n">
        <v>82.2883588561427</v>
      </c>
      <c r="N16" t="n">
        <v>83.401920408559</v>
      </c>
      <c r="O16" t="n">
        <v>85.1135536508769</v>
      </c>
      <c r="P16" t="n">
        <v>86.1177891140409</v>
      </c>
      <c r="Q16" t="n">
        <v>88.1396326888988</v>
      </c>
      <c r="R16" t="n">
        <v>89.6561552636844</v>
      </c>
      <c r="S16" t="n">
        <v>91.6998920313093</v>
      </c>
      <c r="T16" t="n">
        <v>91.6958195575325</v>
      </c>
      <c r="U16" t="n">
        <v>92.8184458192195</v>
      </c>
      <c r="V16" t="n">
        <v>94.3666144907988</v>
      </c>
      <c r="W16" t="n">
        <v>95.1728942149189</v>
      </c>
      <c r="X16" t="n">
        <v>94.8721735859984</v>
      </c>
      <c r="Y16" t="n">
        <v>95.7978053857545</v>
      </c>
      <c r="Z16" t="n">
        <v>97.6414594464924</v>
      </c>
      <c r="AA16" t="n">
        <v>97.3365151817163</v>
      </c>
      <c r="AB16" t="n">
        <v>98.2624404947843</v>
      </c>
      <c r="AC16" t="n">
        <v>98.8951576168681</v>
      </c>
      <c r="AD16" t="n">
        <v>100.373165618449</v>
      </c>
      <c r="AE16" t="n">
        <v>100</v>
      </c>
      <c r="AF16" t="n">
        <v>102.92098219481</v>
      </c>
    </row>
    <row r="17">
      <c r="A17" t="s">
        <v>92</v>
      </c>
      <c r="B17" t="s">
        <v>304</v>
      </c>
      <c r="C17" t="s">
        <v>246</v>
      </c>
      <c r="D17" t="s">
        <v>305</v>
      </c>
      <c r="E17" t="s">
        <v>247</v>
      </c>
      <c r="F17" t="n">
        <v>74.3088880819624</v>
      </c>
      <c r="G17" t="n">
        <v>75.0965048403053</v>
      </c>
      <c r="H17" t="n">
        <v>75.9113411742606</v>
      </c>
      <c r="I17" t="n">
        <v>76.9916179525097</v>
      </c>
      <c r="J17" t="n">
        <v>76.9006440396966</v>
      </c>
      <c r="K17" t="n">
        <v>78.8712986120418</v>
      </c>
      <c r="L17" t="n">
        <v>80.3730631641025</v>
      </c>
      <c r="M17" t="n">
        <v>82.300618672749</v>
      </c>
      <c r="N17" t="n">
        <v>83.5551215931339</v>
      </c>
      <c r="O17" t="n">
        <v>85.5319717100743</v>
      </c>
      <c r="P17" t="n">
        <v>86.9202752948019</v>
      </c>
      <c r="Q17" t="n">
        <v>89.087257592766</v>
      </c>
      <c r="R17" t="n">
        <v>90.8434064702958</v>
      </c>
      <c r="S17" t="n">
        <v>92.9030373241307</v>
      </c>
      <c r="T17" t="n">
        <v>92.8681703557224</v>
      </c>
      <c r="U17" t="n">
        <v>94.2141691137644</v>
      </c>
      <c r="V17" t="n">
        <v>95.5951767754455</v>
      </c>
      <c r="W17" t="n">
        <v>96.0794122891338</v>
      </c>
      <c r="X17" t="n">
        <v>95.8129862372932</v>
      </c>
      <c r="Y17" t="n">
        <v>96.7576111953232</v>
      </c>
      <c r="Z17" t="n">
        <v>98.5207030508609</v>
      </c>
      <c r="AA17" t="n">
        <v>98.1320368877247</v>
      </c>
      <c r="AB17" t="n">
        <v>98.8815497442465</v>
      </c>
      <c r="AC17" t="n">
        <v>99.4708275614224</v>
      </c>
      <c r="AD17" t="n">
        <v>100.627683683206</v>
      </c>
      <c r="AE17" t="n">
        <v>100</v>
      </c>
      <c r="AF17" t="n">
        <v>102.460760473085</v>
      </c>
    </row>
    <row r="18">
      <c r="A18" t="s">
        <v>92</v>
      </c>
      <c r="B18" t="s">
        <v>306</v>
      </c>
      <c r="C18" t="s">
        <v>246</v>
      </c>
      <c r="D18" t="s">
        <v>307</v>
      </c>
      <c r="E18" t="s">
        <v>247</v>
      </c>
      <c r="F18" t="n">
        <v>75.6266009919984</v>
      </c>
      <c r="G18" t="n">
        <v>75.9882335002265</v>
      </c>
      <c r="H18" t="n">
        <v>76.5838061139041</v>
      </c>
      <c r="I18" t="n">
        <v>77.413728176124</v>
      </c>
      <c r="J18" t="n">
        <v>77.1109660534278</v>
      </c>
      <c r="K18" t="n">
        <v>79.0609368167706</v>
      </c>
      <c r="L18" t="n">
        <v>80.3784451685549</v>
      </c>
      <c r="M18" t="n">
        <v>82.259215636791</v>
      </c>
      <c r="N18" t="n">
        <v>83.5266484125548</v>
      </c>
      <c r="O18" t="n">
        <v>85.4273551842173</v>
      </c>
      <c r="P18" t="n">
        <v>86.8201601759431</v>
      </c>
      <c r="Q18" t="n">
        <v>88.9594636001797</v>
      </c>
      <c r="R18" t="n">
        <v>90.6455207022764</v>
      </c>
      <c r="S18" t="n">
        <v>92.637389079416</v>
      </c>
      <c r="T18" t="n">
        <v>92.550806130376</v>
      </c>
      <c r="U18" t="n">
        <v>93.4898900792008</v>
      </c>
      <c r="V18" t="n">
        <v>94.6232983832829</v>
      </c>
      <c r="W18" t="n">
        <v>95.4921920980912</v>
      </c>
      <c r="X18" t="n">
        <v>95.3901694461432</v>
      </c>
      <c r="Y18" t="n">
        <v>96.5211894916434</v>
      </c>
      <c r="Z18" t="n">
        <v>98.4851181671203</v>
      </c>
      <c r="AA18" t="n">
        <v>98.0765889647353</v>
      </c>
      <c r="AB18" t="n">
        <v>99.0602264559557</v>
      </c>
      <c r="AC18" t="n">
        <v>99.4685190323092</v>
      </c>
      <c r="AD18" t="n">
        <v>100.875637633323</v>
      </c>
      <c r="AE18" t="n">
        <v>100</v>
      </c>
      <c r="AF18" t="n">
        <v>102.305166622637</v>
      </c>
    </row>
    <row r="19">
      <c r="A19" t="s">
        <v>92</v>
      </c>
      <c r="B19" t="s">
        <v>308</v>
      </c>
      <c r="C19" t="s">
        <v>246</v>
      </c>
      <c r="D19" t="s">
        <v>309</v>
      </c>
      <c r="E19" t="s">
        <v>247</v>
      </c>
      <c r="F19" t="n">
        <v>71.2097680559633</v>
      </c>
      <c r="G19" t="n">
        <v>72.9246774900471</v>
      </c>
      <c r="H19" t="n">
        <v>73.8527008899615</v>
      </c>
      <c r="I19" t="n">
        <v>75.2509925723038</v>
      </c>
      <c r="J19" t="n">
        <v>75.7619469599724</v>
      </c>
      <c r="K19" t="n">
        <v>77.9343107256614</v>
      </c>
      <c r="L19" t="n">
        <v>79.6201962279828</v>
      </c>
      <c r="M19" t="n">
        <v>81.5664552452326</v>
      </c>
      <c r="N19" t="n">
        <v>82.7644377891962</v>
      </c>
      <c r="O19" t="n">
        <v>84.4319401294839</v>
      </c>
      <c r="P19" t="n">
        <v>85.5849970810098</v>
      </c>
      <c r="Q19" t="n">
        <v>87.447368911356</v>
      </c>
      <c r="R19" t="n">
        <v>89.0561740535025</v>
      </c>
      <c r="S19" t="n">
        <v>91.1244861300868</v>
      </c>
      <c r="T19" t="n">
        <v>92.0614900818432</v>
      </c>
      <c r="U19" t="n">
        <v>93.3936029837735</v>
      </c>
      <c r="V19" t="n">
        <v>95.2922718000283</v>
      </c>
      <c r="W19" t="n">
        <v>96.4818481077267</v>
      </c>
      <c r="X19" t="n">
        <v>95.5821630743764</v>
      </c>
      <c r="Y19" t="n">
        <v>96.1676587134231</v>
      </c>
      <c r="Z19" t="n">
        <v>98.1809324763465</v>
      </c>
      <c r="AA19" t="n">
        <v>97.6865036939198</v>
      </c>
      <c r="AB19" t="n">
        <v>98.4483304358398</v>
      </c>
      <c r="AC19" t="n">
        <v>98.7072535725792</v>
      </c>
      <c r="AD19" t="n">
        <v>100.408279529054</v>
      </c>
      <c r="AE19" t="n">
        <v>100</v>
      </c>
      <c r="AF19" t="n">
        <v>102.780300588873</v>
      </c>
    </row>
    <row r="20">
      <c r="A20" t="s">
        <v>92</v>
      </c>
      <c r="B20" t="s">
        <v>310</v>
      </c>
      <c r="C20" t="s">
        <v>246</v>
      </c>
      <c r="D20" t="s">
        <v>311</v>
      </c>
      <c r="E20" t="s">
        <v>247</v>
      </c>
      <c r="F20" t="n">
        <v>66.8276099257083</v>
      </c>
      <c r="G20" t="n">
        <v>68.2911351581403</v>
      </c>
      <c r="H20" t="n">
        <v>69.5919515753898</v>
      </c>
      <c r="I20" t="n">
        <v>70.5536422498269</v>
      </c>
      <c r="J20" t="n">
        <v>70.2284585840219</v>
      </c>
      <c r="K20" t="n">
        <v>72.3972845253621</v>
      </c>
      <c r="L20" t="n">
        <v>74.3288350741377</v>
      </c>
      <c r="M20" t="n">
        <v>76.3115421898793</v>
      </c>
      <c r="N20" t="n">
        <v>77.9815610486628</v>
      </c>
      <c r="O20" t="n">
        <v>80.5605226747721</v>
      </c>
      <c r="P20" t="n">
        <v>82.6031843008126</v>
      </c>
      <c r="Q20" t="n">
        <v>84.952306085286</v>
      </c>
      <c r="R20" t="n">
        <v>87.2775269551824</v>
      </c>
      <c r="S20" t="n">
        <v>90.0843445523357</v>
      </c>
      <c r="T20" t="n">
        <v>91.2497954128366</v>
      </c>
      <c r="U20" t="n">
        <v>93.0111813510254</v>
      </c>
      <c r="V20" t="n">
        <v>96.2839738932009</v>
      </c>
      <c r="W20" t="n">
        <v>97.6729517395513</v>
      </c>
      <c r="X20" t="n">
        <v>96.9253477013655</v>
      </c>
      <c r="Y20" t="n">
        <v>97.1973357687336</v>
      </c>
      <c r="Z20" t="n">
        <v>98.004473827251</v>
      </c>
      <c r="AA20" t="n">
        <v>97.4994685191731</v>
      </c>
      <c r="AB20" t="n">
        <v>98.1254441250044</v>
      </c>
      <c r="AC20" t="n">
        <v>99.1448272354402</v>
      </c>
      <c r="AD20" t="n">
        <v>99.8557127079696</v>
      </c>
      <c r="AE20" t="n">
        <v>100</v>
      </c>
      <c r="AF20" t="n">
        <v>103.728554506897</v>
      </c>
    </row>
    <row r="21">
      <c r="A21" t="s">
        <v>92</v>
      </c>
      <c r="B21" t="s">
        <v>312</v>
      </c>
      <c r="C21" t="s">
        <v>246</v>
      </c>
      <c r="D21" t="s">
        <v>313</v>
      </c>
      <c r="E21" t="s">
        <v>247</v>
      </c>
      <c r="F21" t="n">
        <v>67.022118119618</v>
      </c>
      <c r="G21" t="n">
        <v>68.556227354608</v>
      </c>
      <c r="H21" t="n">
        <v>69.8098846388183</v>
      </c>
      <c r="I21" t="n">
        <v>70.7981251090873</v>
      </c>
      <c r="J21" t="n">
        <v>70.5078173694588</v>
      </c>
      <c r="K21" t="n">
        <v>72.6831634771535</v>
      </c>
      <c r="L21" t="n">
        <v>74.6309032767124</v>
      </c>
      <c r="M21" t="n">
        <v>76.5905507389676</v>
      </c>
      <c r="N21" t="n">
        <v>78.185207027961</v>
      </c>
      <c r="O21" t="n">
        <v>80.6674837524074</v>
      </c>
      <c r="P21" t="n">
        <v>82.6299409034334</v>
      </c>
      <c r="Q21" t="n">
        <v>84.9335464752128</v>
      </c>
      <c r="R21" t="n">
        <v>87.2407753037301</v>
      </c>
      <c r="S21" t="n">
        <v>90.0191219744224</v>
      </c>
      <c r="T21" t="n">
        <v>91.0998013606782</v>
      </c>
      <c r="U21" t="n">
        <v>92.8248270297933</v>
      </c>
      <c r="V21" t="n">
        <v>95.9920067847667</v>
      </c>
      <c r="W21" t="n">
        <v>97.558630658208</v>
      </c>
      <c r="X21" t="n">
        <v>96.8185754221082</v>
      </c>
      <c r="Y21" t="n">
        <v>97.1140848500646</v>
      </c>
      <c r="Z21" t="n">
        <v>98.0740079115475</v>
      </c>
      <c r="AA21" t="n">
        <v>97.4572834018346</v>
      </c>
      <c r="AB21" t="n">
        <v>98.1710756125669</v>
      </c>
      <c r="AC21" t="n">
        <v>98.9915146331341</v>
      </c>
      <c r="AD21" t="n">
        <v>100.020388704658</v>
      </c>
      <c r="AE21" t="n">
        <v>100</v>
      </c>
      <c r="AF21" t="n">
        <v>103.847578989535</v>
      </c>
    </row>
    <row r="22">
      <c r="A22" t="s">
        <v>92</v>
      </c>
      <c r="B22" t="s">
        <v>314</v>
      </c>
      <c r="C22" t="s">
        <v>246</v>
      </c>
      <c r="D22" t="s">
        <v>315</v>
      </c>
      <c r="E22" t="s">
        <v>247</v>
      </c>
      <c r="F22" t="n">
        <v>68.1369288466509</v>
      </c>
      <c r="G22" t="n">
        <v>70.0336930220137</v>
      </c>
      <c r="H22" t="n">
        <v>71.07693253009</v>
      </c>
      <c r="I22" t="n">
        <v>72.1913501057674</v>
      </c>
      <c r="J22" t="n">
        <v>72.053920016311</v>
      </c>
      <c r="K22" t="n">
        <v>74.2675856457184</v>
      </c>
      <c r="L22" t="n">
        <v>76.2928434297272</v>
      </c>
      <c r="M22" t="n">
        <v>78.1590809479546</v>
      </c>
      <c r="N22" t="n">
        <v>79.4096865132695</v>
      </c>
      <c r="O22" t="n">
        <v>81.5124938679545</v>
      </c>
      <c r="P22" t="n">
        <v>83.1283235916046</v>
      </c>
      <c r="Q22" t="n">
        <v>85.2699692695116</v>
      </c>
      <c r="R22" t="n">
        <v>87.5097202138077</v>
      </c>
      <c r="S22" t="n">
        <v>90.152878009578</v>
      </c>
      <c r="T22" t="n">
        <v>90.8702687784506</v>
      </c>
      <c r="U22" t="n">
        <v>92.489913776706</v>
      </c>
      <c r="V22" t="n">
        <v>95.2691145245523</v>
      </c>
      <c r="W22" t="n">
        <v>97.3236644326298</v>
      </c>
      <c r="X22" t="n">
        <v>96.6118200919114</v>
      </c>
      <c r="Y22" t="n">
        <v>96.9850518152036</v>
      </c>
      <c r="Z22" t="n">
        <v>98.2711627082498</v>
      </c>
      <c r="AA22" t="n">
        <v>97.3825577979803</v>
      </c>
      <c r="AB22" t="n">
        <v>98.2505327696579</v>
      </c>
      <c r="AC22" t="n">
        <v>98.6985979052958</v>
      </c>
      <c r="AD22" t="n">
        <v>100.359745241635</v>
      </c>
      <c r="AE22" t="n">
        <v>100</v>
      </c>
      <c r="AF22" t="n">
        <v>104.073778229613</v>
      </c>
    </row>
    <row r="23">
      <c r="A23" t="s">
        <v>92</v>
      </c>
      <c r="B23" t="s">
        <v>316</v>
      </c>
      <c r="C23" t="s">
        <v>246</v>
      </c>
      <c r="D23" t="s">
        <v>317</v>
      </c>
      <c r="E23" t="s">
        <v>247</v>
      </c>
      <c r="F23" t="n">
        <v>74.0090622244658</v>
      </c>
      <c r="G23" t="n">
        <v>76.7768364337758</v>
      </c>
      <c r="H23" t="n">
        <v>77.597130306298</v>
      </c>
      <c r="I23" t="n">
        <v>79.3772274827686</v>
      </c>
      <c r="J23" t="n">
        <v>79.7733271407172</v>
      </c>
      <c r="K23" t="n">
        <v>82.1293752675805</v>
      </c>
      <c r="L23" t="n">
        <v>83.9533995402944</v>
      </c>
      <c r="M23" t="n">
        <v>85.6465095096416</v>
      </c>
      <c r="N23" t="n">
        <v>86.6306903913954</v>
      </c>
      <c r="O23" t="n">
        <v>87.9693853447908</v>
      </c>
      <c r="P23" t="n">
        <v>88.849492598432</v>
      </c>
      <c r="Q23" t="n">
        <v>90.5918354042392</v>
      </c>
      <c r="R23" t="n">
        <v>92.2092071665153</v>
      </c>
      <c r="S23" t="n">
        <v>94.5436838797826</v>
      </c>
      <c r="T23" t="n">
        <v>94.8217203299575</v>
      </c>
      <c r="U23" t="n">
        <v>96.4038881971609</v>
      </c>
      <c r="V23" t="n">
        <v>98.868925789114</v>
      </c>
      <c r="W23" t="n">
        <v>99.8801538617586</v>
      </c>
      <c r="X23" t="n">
        <v>98.7526515951294</v>
      </c>
      <c r="Y23" t="n">
        <v>98.4482978301968</v>
      </c>
      <c r="Z23" t="n">
        <v>100.084356749241</v>
      </c>
      <c r="AA23" t="n">
        <v>100.17511382606</v>
      </c>
      <c r="AB23" t="n">
        <v>100.486818823143</v>
      </c>
      <c r="AC23" t="n">
        <v>100.123178881024</v>
      </c>
      <c r="AD23" t="n">
        <v>100.928854891586</v>
      </c>
      <c r="AE23" t="n">
        <v>100</v>
      </c>
      <c r="AF23" t="n">
        <v>103.343952917143</v>
      </c>
    </row>
    <row r="24">
      <c r="A24" t="s">
        <v>92</v>
      </c>
      <c r="B24" t="s">
        <v>318</v>
      </c>
      <c r="C24" t="s">
        <v>246</v>
      </c>
      <c r="D24" t="s">
        <v>319</v>
      </c>
      <c r="E24" t="s">
        <v>247</v>
      </c>
      <c r="F24" t="n">
        <v>71.8364142683104</v>
      </c>
      <c r="G24" t="n">
        <v>74.4651619588066</v>
      </c>
      <c r="H24" t="n">
        <v>75.3698993366309</v>
      </c>
      <c r="I24" t="n">
        <v>77.198894123119</v>
      </c>
      <c r="J24" t="n">
        <v>78.0289514291388</v>
      </c>
      <c r="K24" t="n">
        <v>80.2196887573518</v>
      </c>
      <c r="L24" t="n">
        <v>81.9973136287249</v>
      </c>
      <c r="M24" t="n">
        <v>83.897480865719</v>
      </c>
      <c r="N24" t="n">
        <v>84.6293495947758</v>
      </c>
      <c r="O24" t="n">
        <v>85.8678011504352</v>
      </c>
      <c r="P24" t="n">
        <v>86.7398614059655</v>
      </c>
      <c r="Q24" t="n">
        <v>88.3423694310618</v>
      </c>
      <c r="R24" t="n">
        <v>89.8755581764793</v>
      </c>
      <c r="S24" t="n">
        <v>91.7676962004702</v>
      </c>
      <c r="T24" t="n">
        <v>93.0728367686547</v>
      </c>
      <c r="U24" t="n">
        <v>94.6442018455392</v>
      </c>
      <c r="V24" t="n">
        <v>96.2046147250899</v>
      </c>
      <c r="W24" t="n">
        <v>98.3431494387013</v>
      </c>
      <c r="X24" t="n">
        <v>97.3888801062474</v>
      </c>
      <c r="Y24" t="n">
        <v>97.5626397861268</v>
      </c>
      <c r="Z24" t="n">
        <v>99.0697039252246</v>
      </c>
      <c r="AA24" t="n">
        <v>97.93600324444</v>
      </c>
      <c r="AB24" t="n">
        <v>98.8171620801563</v>
      </c>
      <c r="AC24" t="n">
        <v>99.1458401679211</v>
      </c>
      <c r="AD24" t="n">
        <v>100.585528101307</v>
      </c>
      <c r="AE24" t="n">
        <v>100</v>
      </c>
      <c r="AF24" t="n">
        <v>103.042467666784</v>
      </c>
    </row>
    <row r="25">
      <c r="A25" t="s">
        <v>92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92</v>
      </c>
      <c r="B28" t="s">
        <v>326</v>
      </c>
      <c r="C28" t="s">
        <v>246</v>
      </c>
      <c r="D28" t="s">
        <v>327</v>
      </c>
      <c r="E28" t="s">
        <v>247</v>
      </c>
      <c r="F28" t="n">
        <v>64.0653061846404</v>
      </c>
      <c r="G28" t="n">
        <v>65.8226970108438</v>
      </c>
      <c r="H28" t="n">
        <v>67.4836528299525</v>
      </c>
      <c r="I28" t="n">
        <v>69.2406568090322</v>
      </c>
      <c r="J28" t="n">
        <v>69.5430384686425</v>
      </c>
      <c r="K28" t="n">
        <v>71.7519544926124</v>
      </c>
      <c r="L28" t="n">
        <v>73.8516837195959</v>
      </c>
      <c r="M28" t="n">
        <v>75.8465403956825</v>
      </c>
      <c r="N28" t="n">
        <v>76.845203085238</v>
      </c>
      <c r="O28" t="n">
        <v>79.6926389462831</v>
      </c>
      <c r="P28" t="n">
        <v>81.9252220885836</v>
      </c>
      <c r="Q28" t="n">
        <v>84.4314350111839</v>
      </c>
      <c r="R28" t="n">
        <v>86.9997539548133</v>
      </c>
      <c r="S28" t="n">
        <v>90.0614027005762</v>
      </c>
      <c r="T28" t="n">
        <v>89.7354369121234</v>
      </c>
      <c r="U28" t="n">
        <v>92.1740233485909</v>
      </c>
      <c r="V28" t="n">
        <v>93.7851059255866</v>
      </c>
      <c r="W28" t="n">
        <v>96.2174172599486</v>
      </c>
      <c r="X28" t="n">
        <v>96.2863978986113</v>
      </c>
      <c r="Y28" t="n">
        <v>96.5803883328833</v>
      </c>
      <c r="Z28" t="n">
        <v>97.3765975048375</v>
      </c>
      <c r="AA28" t="n">
        <v>97.1607673819668</v>
      </c>
      <c r="AB28" t="n">
        <v>97.6729519600203</v>
      </c>
      <c r="AC28" t="n">
        <v>98.6141576985099</v>
      </c>
      <c r="AD28" t="n">
        <v>99.7373763119806</v>
      </c>
      <c r="AE28" t="n">
        <v>100</v>
      </c>
      <c r="AF28" t="n">
        <v>104.372161172161</v>
      </c>
    </row>
    <row r="29">
      <c r="A29" t="s">
        <v>92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92</v>
      </c>
      <c r="B34" t="s">
        <v>338</v>
      </c>
      <c r="C34" t="s">
        <v>246</v>
      </c>
      <c r="D34" t="s">
        <v>339</v>
      </c>
      <c r="E34" t="s">
        <v>247</v>
      </c>
      <c r="F34" t="n">
        <v>79.6324435411729</v>
      </c>
      <c r="G34" t="n">
        <v>81.3552384782532</v>
      </c>
      <c r="H34" t="n">
        <v>82.5577185460048</v>
      </c>
      <c r="I34" t="n">
        <v>83.1185744663077</v>
      </c>
      <c r="J34" t="n">
        <v>83.1605549578056</v>
      </c>
      <c r="K34" t="n">
        <v>85.1606396446145</v>
      </c>
      <c r="L34" t="n">
        <v>87.0994385863481</v>
      </c>
      <c r="M34" t="n">
        <v>89.292291131341</v>
      </c>
      <c r="N34" t="n">
        <v>89.8624831278053</v>
      </c>
      <c r="O34" t="n">
        <v>90.3980496604743</v>
      </c>
      <c r="P34" t="n">
        <v>90.6918253689109</v>
      </c>
      <c r="Q34" t="n">
        <v>91.6938041979805</v>
      </c>
      <c r="R34" t="n">
        <v>92.8562772951714</v>
      </c>
      <c r="S34" t="n">
        <v>94.642501956438</v>
      </c>
      <c r="T34" t="n">
        <v>96.5594292186864</v>
      </c>
      <c r="U34" t="n">
        <v>97.4257063332678</v>
      </c>
      <c r="V34" t="n">
        <v>98.7016265689021</v>
      </c>
      <c r="W34" t="n">
        <v>101.114116008645</v>
      </c>
      <c r="X34" t="n">
        <v>100.268611019284</v>
      </c>
      <c r="Y34" t="n">
        <v>100.711676353425</v>
      </c>
      <c r="Z34" t="n">
        <v>101.763230337925</v>
      </c>
      <c r="AA34" t="n">
        <v>98.8908164340039</v>
      </c>
      <c r="AB34" t="n">
        <v>99.4803701966952</v>
      </c>
      <c r="AC34" t="n">
        <v>99.4643485200951</v>
      </c>
      <c r="AD34" t="n">
        <v>100.643348044705</v>
      </c>
      <c r="AE34" t="n">
        <v>100</v>
      </c>
      <c r="AF34" t="n">
        <v>103.918619641027</v>
      </c>
    </row>
    <row r="35">
      <c r="A35" t="s">
        <v>92</v>
      </c>
      <c r="B35" t="s">
        <v>340</v>
      </c>
      <c r="C35" t="s">
        <v>246</v>
      </c>
      <c r="D35" t="s">
        <v>341</v>
      </c>
      <c r="E35" t="s">
        <v>247</v>
      </c>
      <c r="F35" t="n">
        <v>83.9824801329964</v>
      </c>
      <c r="G35" t="n">
        <v>85.2881066439928</v>
      </c>
      <c r="H35" t="n">
        <v>86.694724855191</v>
      </c>
      <c r="I35" t="n">
        <v>87.457053304119</v>
      </c>
      <c r="J35" t="n">
        <v>88.3859192480873</v>
      </c>
      <c r="K35" t="n">
        <v>90.608497972796</v>
      </c>
      <c r="L35" t="n">
        <v>92.6882895612179</v>
      </c>
      <c r="M35" t="n">
        <v>95.4588520613093</v>
      </c>
      <c r="N35" t="n">
        <v>96.296765727384</v>
      </c>
      <c r="O35" t="n">
        <v>97.1173552953894</v>
      </c>
      <c r="P35" t="n">
        <v>97.8211089556364</v>
      </c>
      <c r="Q35" t="n">
        <v>97.7995814228557</v>
      </c>
      <c r="R35" t="n">
        <v>98.6158467981646</v>
      </c>
      <c r="S35" t="n">
        <v>99.4542573029972</v>
      </c>
      <c r="T35" t="n">
        <v>100.252570794661</v>
      </c>
      <c r="U35" t="n">
        <v>100.067685377908</v>
      </c>
      <c r="V35" t="n">
        <v>101.211256841107</v>
      </c>
      <c r="W35" t="n">
        <v>100.826831300263</v>
      </c>
      <c r="X35" t="n">
        <v>99.0942347541405</v>
      </c>
      <c r="Y35" t="n">
        <v>98.6338715409666</v>
      </c>
      <c r="Z35" t="n">
        <v>99.6088078324686</v>
      </c>
      <c r="AA35" t="n">
        <v>99.7314406933357</v>
      </c>
      <c r="AB35" t="n">
        <v>99.7552699605702</v>
      </c>
      <c r="AC35" t="n">
        <v>100.34035547711</v>
      </c>
      <c r="AD35" t="n">
        <v>100.059692656817</v>
      </c>
      <c r="AE35" t="n">
        <v>100</v>
      </c>
      <c r="AF35" t="n">
        <v>100.488589926317</v>
      </c>
    </row>
    <row r="36">
      <c r="A36" t="s">
        <v>92</v>
      </c>
      <c r="B36" t="s">
        <v>342</v>
      </c>
      <c r="C36" t="s">
        <v>246</v>
      </c>
      <c r="D36" t="s">
        <v>343</v>
      </c>
      <c r="E36" t="s">
        <v>247</v>
      </c>
      <c r="F36" t="n">
        <v>88.5934529286243</v>
      </c>
      <c r="G36" t="n">
        <v>90.6650639334737</v>
      </c>
      <c r="H36" t="n">
        <v>91.8873069421152</v>
      </c>
      <c r="I36" t="n">
        <v>92.8966706408024</v>
      </c>
      <c r="J36" t="n">
        <v>93.8408135706005</v>
      </c>
      <c r="K36" t="n">
        <v>94.9967741738139</v>
      </c>
      <c r="L36" t="n">
        <v>97.1669124113394</v>
      </c>
      <c r="M36" t="n">
        <v>99.4349433837514</v>
      </c>
      <c r="N36" t="n">
        <v>100.251017417158</v>
      </c>
      <c r="O36" t="n">
        <v>100.952191351143</v>
      </c>
      <c r="P36" t="n">
        <v>100.91463007444</v>
      </c>
      <c r="Q36" t="n">
        <v>100.327391851088</v>
      </c>
      <c r="R36" t="n">
        <v>101.066921065055</v>
      </c>
      <c r="S36" t="n">
        <v>101.708689220326</v>
      </c>
      <c r="T36" t="n">
        <v>100.034979000565</v>
      </c>
      <c r="U36" t="n">
        <v>97.4347856653709</v>
      </c>
      <c r="V36" t="n">
        <v>99.2832533529517</v>
      </c>
      <c r="W36" t="n">
        <v>97.5186933753311</v>
      </c>
      <c r="X36" t="n">
        <v>96.2318347230052</v>
      </c>
      <c r="Y36" t="n">
        <v>96.4162545489779</v>
      </c>
      <c r="Z36" t="n">
        <v>96.9679647836034</v>
      </c>
      <c r="AA36" t="n">
        <v>97.8387860716888</v>
      </c>
      <c r="AB36" t="n">
        <v>98.3577174667306</v>
      </c>
      <c r="AC36" t="n">
        <v>99.2592842618557</v>
      </c>
      <c r="AD36" t="n">
        <v>99.6612491911849</v>
      </c>
      <c r="AE36" t="n">
        <v>100</v>
      </c>
      <c r="AF36" t="n">
        <v>100.48737261852</v>
      </c>
    </row>
    <row r="37">
      <c r="A37" t="s">
        <v>92</v>
      </c>
      <c r="B37" t="s">
        <v>344</v>
      </c>
      <c r="C37" t="s">
        <v>246</v>
      </c>
      <c r="D37" t="s">
        <v>345</v>
      </c>
      <c r="E37" t="s">
        <v>247</v>
      </c>
      <c r="F37" t="n">
        <v>86.5641518877892</v>
      </c>
      <c r="G37" t="n">
        <v>87.1654779428921</v>
      </c>
      <c r="H37" t="n">
        <v>88.3682880844495</v>
      </c>
      <c r="I37" t="n">
        <v>88.6446280486683</v>
      </c>
      <c r="J37" t="n">
        <v>88.9780786310073</v>
      </c>
      <c r="K37" t="n">
        <v>91.6022462291643</v>
      </c>
      <c r="L37" t="n">
        <v>93.5809875148715</v>
      </c>
      <c r="M37" t="n">
        <v>96.5585965542861</v>
      </c>
      <c r="N37" t="n">
        <v>97.335979971033</v>
      </c>
      <c r="O37" t="n">
        <v>97.7879397796316</v>
      </c>
      <c r="P37" t="n">
        <v>98.4682855380111</v>
      </c>
      <c r="Q37" t="n">
        <v>98.0001138335892</v>
      </c>
      <c r="R37" t="n">
        <v>98.4834751297807</v>
      </c>
      <c r="S37" t="n">
        <v>99.088602828984</v>
      </c>
      <c r="T37" t="n">
        <v>100.605214042514</v>
      </c>
      <c r="U37" t="n">
        <v>100.731442122354</v>
      </c>
      <c r="V37" t="n">
        <v>101.550202499925</v>
      </c>
      <c r="W37" t="n">
        <v>101.712022020628</v>
      </c>
      <c r="X37" t="n">
        <v>99.4348424785415</v>
      </c>
      <c r="Y37" t="n">
        <v>98.6553662837614</v>
      </c>
      <c r="Z37" t="n">
        <v>99.1964227755816</v>
      </c>
      <c r="AA37" t="n">
        <v>99.5671316868072</v>
      </c>
      <c r="AB37" t="n">
        <v>99.6442383614437</v>
      </c>
      <c r="AC37" t="n">
        <v>100.49279950733</v>
      </c>
      <c r="AD37" t="n">
        <v>100.031497480202</v>
      </c>
      <c r="AE37" t="n">
        <v>100</v>
      </c>
      <c r="AF37" t="n">
        <v>100.416154051886</v>
      </c>
    </row>
    <row r="38">
      <c r="A38" t="s">
        <v>92</v>
      </c>
      <c r="B38" t="s">
        <v>346</v>
      </c>
      <c r="C38" t="s">
        <v>246</v>
      </c>
      <c r="D38" t="s">
        <v>347</v>
      </c>
      <c r="E38" t="s">
        <v>247</v>
      </c>
      <c r="F38" t="n">
        <v>75.2372262346811</v>
      </c>
      <c r="G38" t="n">
        <v>77.2168622035196</v>
      </c>
      <c r="H38" t="n">
        <v>79.088947759274</v>
      </c>
      <c r="I38" t="n">
        <v>80.4784328726858</v>
      </c>
      <c r="J38" t="n">
        <v>82.3073223447555</v>
      </c>
      <c r="K38" t="n">
        <v>84.4900424845535</v>
      </c>
      <c r="L38" t="n">
        <v>86.6481130999469</v>
      </c>
      <c r="M38" t="n">
        <v>89.4675274026379</v>
      </c>
      <c r="N38" t="n">
        <v>90.3643641860365</v>
      </c>
      <c r="O38" t="n">
        <v>91.8410767740171</v>
      </c>
      <c r="P38" t="n">
        <v>93.1171536644858</v>
      </c>
      <c r="Q38" t="n">
        <v>94.2356563627185</v>
      </c>
      <c r="R38" t="n">
        <v>95.5939968177976</v>
      </c>
      <c r="S38" t="n">
        <v>97.0432754944932</v>
      </c>
      <c r="T38" t="n">
        <v>98.4612823082246</v>
      </c>
      <c r="U38" t="n">
        <v>99.8170565538071</v>
      </c>
      <c r="V38" t="n">
        <v>100.922281779465</v>
      </c>
      <c r="W38" t="n">
        <v>100.81395070938</v>
      </c>
      <c r="X38" t="n">
        <v>99.7806621543984</v>
      </c>
      <c r="Y38" t="n">
        <v>99.6806839162019</v>
      </c>
      <c r="Z38" t="n">
        <v>101.738801328362</v>
      </c>
      <c r="AA38" t="n">
        <v>100.930350779118</v>
      </c>
      <c r="AB38" t="n">
        <v>100.611654805866</v>
      </c>
      <c r="AC38" t="n">
        <v>100.536158755667</v>
      </c>
      <c r="AD38" t="n">
        <v>100.267944634983</v>
      </c>
      <c r="AE38" t="n">
        <v>100</v>
      </c>
      <c r="AF38" t="n">
        <v>100.58969445806</v>
      </c>
    </row>
    <row r="39">
      <c r="A39" t="s">
        <v>92</v>
      </c>
      <c r="B39" t="s">
        <v>348</v>
      </c>
      <c r="C39" t="s">
        <v>246</v>
      </c>
      <c r="D39" t="s">
        <v>349</v>
      </c>
      <c r="E39" t="s">
        <v>247</v>
      </c>
      <c r="F39" t="n">
        <v>73.1439282527525</v>
      </c>
      <c r="G39" t="n">
        <v>74.6169560564972</v>
      </c>
      <c r="H39" t="n">
        <v>76.4060813175346</v>
      </c>
      <c r="I39" t="n">
        <v>77.4282870021952</v>
      </c>
      <c r="J39" t="n">
        <v>78.4471770496825</v>
      </c>
      <c r="K39" t="n">
        <v>81.1987955136821</v>
      </c>
      <c r="L39" t="n">
        <v>82.974225880012</v>
      </c>
      <c r="M39" t="n">
        <v>85.8244146240858</v>
      </c>
      <c r="N39" t="n">
        <v>86.5829437903455</v>
      </c>
      <c r="O39" t="n">
        <v>88.1411213580115</v>
      </c>
      <c r="P39" t="n">
        <v>89.5997619905916</v>
      </c>
      <c r="Q39" t="n">
        <v>90.823659000142</v>
      </c>
      <c r="R39" t="n">
        <v>92.3355282425435</v>
      </c>
      <c r="S39" t="n">
        <v>93.037562083744</v>
      </c>
      <c r="T39" t="n">
        <v>94.8526661537572</v>
      </c>
      <c r="U39" t="n">
        <v>96.5729459026371</v>
      </c>
      <c r="V39" t="n">
        <v>98.5834074651901</v>
      </c>
      <c r="W39" t="n">
        <v>99.4334496832638</v>
      </c>
      <c r="X39" t="n">
        <v>98.4521440872363</v>
      </c>
      <c r="Y39" t="n">
        <v>98.2969808856781</v>
      </c>
      <c r="Z39" t="n">
        <v>99.9155443694549</v>
      </c>
      <c r="AA39" t="n">
        <v>99.932124193179</v>
      </c>
      <c r="AB39" t="n">
        <v>99.7649380566649</v>
      </c>
      <c r="AC39" t="n">
        <v>100.272945966863</v>
      </c>
      <c r="AD39" t="n">
        <v>100.13991605037</v>
      </c>
      <c r="AE39" t="n">
        <v>100</v>
      </c>
      <c r="AF39" t="n">
        <v>102.595251895575</v>
      </c>
    </row>
    <row r="40">
      <c r="A40" t="s">
        <v>92</v>
      </c>
      <c r="B40" t="s">
        <v>350</v>
      </c>
      <c r="C40" t="s">
        <v>246</v>
      </c>
      <c r="D40" t="s">
        <v>351</v>
      </c>
      <c r="E40" t="s">
        <v>247</v>
      </c>
      <c r="F40" t="n">
        <v>57.8755879863093</v>
      </c>
      <c r="G40" t="n">
        <v>59.5646119698046</v>
      </c>
      <c r="H40" t="n">
        <v>61.4315000759589</v>
      </c>
      <c r="I40" t="n">
        <v>62.7689961829239</v>
      </c>
      <c r="J40" t="n">
        <v>63.7376465026806</v>
      </c>
      <c r="K40" t="n">
        <v>65.9114769898647</v>
      </c>
      <c r="L40" t="n">
        <v>67.7204240590213</v>
      </c>
      <c r="M40" t="n">
        <v>70.2609226239159</v>
      </c>
      <c r="N40" t="n">
        <v>71.921785886214</v>
      </c>
      <c r="O40" t="n">
        <v>74.7370035839221</v>
      </c>
      <c r="P40" t="n">
        <v>78.1824772835792</v>
      </c>
      <c r="Q40" t="n">
        <v>80.6864337025779</v>
      </c>
      <c r="R40" t="n">
        <v>83.8282885162747</v>
      </c>
      <c r="S40" t="n">
        <v>86.6422551102873</v>
      </c>
      <c r="T40" t="n">
        <v>88.9271953364486</v>
      </c>
      <c r="U40" t="n">
        <v>90.7106244909117</v>
      </c>
      <c r="V40" t="n">
        <v>93.6726577024186</v>
      </c>
      <c r="W40" t="n">
        <v>95.2807414614361</v>
      </c>
      <c r="X40" t="n">
        <v>95.5638174714563</v>
      </c>
      <c r="Y40" t="n">
        <v>95.715176565395</v>
      </c>
      <c r="Z40" t="n">
        <v>96.1384692926028</v>
      </c>
      <c r="AA40" t="n">
        <v>96.6658224249705</v>
      </c>
      <c r="AB40" t="n">
        <v>97.4241145404397</v>
      </c>
      <c r="AC40" t="n">
        <v>99.17591645313</v>
      </c>
      <c r="AD40" t="n">
        <v>99.1137385770256</v>
      </c>
      <c r="AE40" t="n">
        <v>100</v>
      </c>
      <c r="AF40" t="n">
        <v>104.558048036012</v>
      </c>
    </row>
    <row r="41">
      <c r="A41" t="s">
        <v>92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92</v>
      </c>
      <c r="B42" t="s">
        <v>354</v>
      </c>
      <c r="C42" t="s">
        <v>246</v>
      </c>
      <c r="D42" t="s">
        <v>355</v>
      </c>
      <c r="E42" t="s">
        <v>247</v>
      </c>
      <c r="F42" t="n">
        <v>74.9335158124727</v>
      </c>
      <c r="G42" t="n">
        <v>74.6676055363461</v>
      </c>
      <c r="H42" t="n">
        <v>75.4984511011625</v>
      </c>
      <c r="I42" t="n">
        <v>76.6161914894267</v>
      </c>
      <c r="J42" t="n">
        <v>77.0920525645605</v>
      </c>
      <c r="K42" t="n">
        <v>79.0575766279727</v>
      </c>
      <c r="L42" t="n">
        <v>80.236741490876</v>
      </c>
      <c r="M42" t="n">
        <v>82.7300611947953</v>
      </c>
      <c r="N42" t="n">
        <v>83.935048290799</v>
      </c>
      <c r="O42" t="n">
        <v>86.0972002019223</v>
      </c>
      <c r="P42" t="n">
        <v>88.2203096445544</v>
      </c>
      <c r="Q42" t="n">
        <v>90.3808514271187</v>
      </c>
      <c r="R42" t="n">
        <v>92.1816991080337</v>
      </c>
      <c r="S42" t="n">
        <v>93.6154260675506</v>
      </c>
      <c r="T42" t="n">
        <v>93.3685420648193</v>
      </c>
      <c r="U42" t="n">
        <v>94.6865020892468</v>
      </c>
      <c r="V42" t="n">
        <v>95.0441514312238</v>
      </c>
      <c r="W42" t="n">
        <v>94.7014406413197</v>
      </c>
      <c r="X42" t="n">
        <v>95.140507417745</v>
      </c>
      <c r="Y42" t="n">
        <v>96.5757393439906</v>
      </c>
      <c r="Z42" t="n">
        <v>98.5297145279894</v>
      </c>
      <c r="AA42" t="n">
        <v>98.0073434457064</v>
      </c>
      <c r="AB42" t="n">
        <v>98.7351855115341</v>
      </c>
      <c r="AC42" t="n">
        <v>99.6318929636127</v>
      </c>
      <c r="AD42" t="n">
        <v>100.426867741106</v>
      </c>
      <c r="AE42" t="n">
        <v>100</v>
      </c>
      <c r="AF42" t="n">
        <v>102.964570798306</v>
      </c>
    </row>
    <row r="43">
      <c r="A43" t="s">
        <v>92</v>
      </c>
      <c r="B43" t="s">
        <v>356</v>
      </c>
      <c r="C43" t="s">
        <v>246</v>
      </c>
      <c r="D43" t="s">
        <v>357</v>
      </c>
      <c r="E43" t="s">
        <v>247</v>
      </c>
      <c r="F43" t="n">
        <v>71.7626668555038</v>
      </c>
      <c r="G43" t="n">
        <v>72.9956981163817</v>
      </c>
      <c r="H43" t="n">
        <v>74.0869653880864</v>
      </c>
      <c r="I43" t="n">
        <v>76.1304421595248</v>
      </c>
      <c r="J43" t="n">
        <v>77.0764070288321</v>
      </c>
      <c r="K43" t="n">
        <v>79.2601719925553</v>
      </c>
      <c r="L43" t="n">
        <v>80.8523833409638</v>
      </c>
      <c r="M43" t="n">
        <v>83.0575282590627</v>
      </c>
      <c r="N43" t="n">
        <v>83.9851858266926</v>
      </c>
      <c r="O43" t="n">
        <v>85.8406707729742</v>
      </c>
      <c r="P43" t="n">
        <v>87.5189449871728</v>
      </c>
      <c r="Q43" t="n">
        <v>89.5478633140175</v>
      </c>
      <c r="R43" t="n">
        <v>91.298111868271</v>
      </c>
      <c r="S43" t="n">
        <v>93.19717408605</v>
      </c>
      <c r="T43" t="n">
        <v>92.957616707038</v>
      </c>
      <c r="U43" t="n">
        <v>94.8168511719116</v>
      </c>
      <c r="V43" t="n">
        <v>94.8498556720116</v>
      </c>
      <c r="W43" t="n">
        <v>95.5070229269064</v>
      </c>
      <c r="X43" t="n">
        <v>95.7489953031415</v>
      </c>
      <c r="Y43" t="n">
        <v>96.4417921359242</v>
      </c>
      <c r="Z43" t="n">
        <v>98.4662181157112</v>
      </c>
      <c r="AA43" t="n">
        <v>98.2607420971531</v>
      </c>
      <c r="AB43" t="n">
        <v>98.8032916660823</v>
      </c>
      <c r="AC43" t="n">
        <v>99.2750685180296</v>
      </c>
      <c r="AD43" t="n">
        <v>100.440433672844</v>
      </c>
      <c r="AE43" t="n">
        <v>100</v>
      </c>
      <c r="AF43" t="n">
        <v>103.123039200417</v>
      </c>
    </row>
    <row r="44">
      <c r="A44" t="s">
        <v>92</v>
      </c>
      <c r="B44" t="s">
        <v>358</v>
      </c>
      <c r="C44" t="s">
        <v>246</v>
      </c>
      <c r="D44" t="s">
        <v>359</v>
      </c>
      <c r="E44" t="s">
        <v>247</v>
      </c>
      <c r="F44" t="n">
        <v>71.904976182709</v>
      </c>
      <c r="G44" t="n">
        <v>73.5326721935155</v>
      </c>
      <c r="H44" t="n">
        <v>74.6459468272916</v>
      </c>
      <c r="I44" t="n">
        <v>75.8993453494702</v>
      </c>
      <c r="J44" t="n">
        <v>76.1009616528358</v>
      </c>
      <c r="K44" t="n">
        <v>78.231924157571</v>
      </c>
      <c r="L44" t="n">
        <v>80.0419410332821</v>
      </c>
      <c r="M44" t="n">
        <v>82.0435686603221</v>
      </c>
      <c r="N44" t="n">
        <v>83.1203324806838</v>
      </c>
      <c r="O44" t="n">
        <v>84.930821302633</v>
      </c>
      <c r="P44" t="n">
        <v>86.2740666593308</v>
      </c>
      <c r="Q44" t="n">
        <v>88.1611996636437</v>
      </c>
      <c r="R44" t="n">
        <v>89.9731265483524</v>
      </c>
      <c r="S44" t="n">
        <v>92.1558548103196</v>
      </c>
      <c r="T44" t="n">
        <v>92.760589150952</v>
      </c>
      <c r="U44" t="n">
        <v>94.144304108229</v>
      </c>
      <c r="V44" t="n">
        <v>95.8616276153518</v>
      </c>
      <c r="W44" t="n">
        <v>97.246449186322</v>
      </c>
      <c r="X44" t="n">
        <v>96.6575833252378</v>
      </c>
      <c r="Y44" t="n">
        <v>97.100315938287</v>
      </c>
      <c r="Z44" t="n">
        <v>98.5788691114394</v>
      </c>
      <c r="AA44" t="n">
        <v>98.1833991262137</v>
      </c>
      <c r="AB44" t="n">
        <v>98.8287779622978</v>
      </c>
      <c r="AC44" t="n">
        <v>99.2603863476385</v>
      </c>
      <c r="AD44" t="n">
        <v>100.35420137118</v>
      </c>
      <c r="AE44" t="n">
        <v>100</v>
      </c>
      <c r="AF44" t="n">
        <v>102.940846721983</v>
      </c>
    </row>
    <row r="45">
      <c r="A45" t="s">
        <v>92</v>
      </c>
      <c r="B45" t="s">
        <v>360</v>
      </c>
      <c r="C45" t="s">
        <v>246</v>
      </c>
      <c r="D45" t="s">
        <v>361</v>
      </c>
      <c r="E45" t="s">
        <v>247</v>
      </c>
      <c r="F45" t="n">
        <v>72.0235396565237</v>
      </c>
      <c r="G45" t="n">
        <v>73.6318900555243</v>
      </c>
      <c r="H45" t="n">
        <v>74.7636840284067</v>
      </c>
      <c r="I45" t="n">
        <v>76.0420892545998</v>
      </c>
      <c r="J45" t="n">
        <v>76.2862477574073</v>
      </c>
      <c r="K45" t="n">
        <v>78.4376860787483</v>
      </c>
      <c r="L45" t="n">
        <v>80.2379206963703</v>
      </c>
      <c r="M45" t="n">
        <v>82.2560654326903</v>
      </c>
      <c r="N45" t="n">
        <v>83.320149472168</v>
      </c>
      <c r="O45" t="n">
        <v>85.1272235926843</v>
      </c>
      <c r="P45" t="n">
        <v>86.4664289485373</v>
      </c>
      <c r="Q45" t="n">
        <v>88.3341813431705</v>
      </c>
      <c r="R45" t="n">
        <v>90.1304654143245</v>
      </c>
      <c r="S45" t="n">
        <v>92.3005386484039</v>
      </c>
      <c r="T45" t="n">
        <v>92.839148402616</v>
      </c>
      <c r="U45" t="n">
        <v>94.2254593976717</v>
      </c>
      <c r="V45" t="n">
        <v>95.9129654356897</v>
      </c>
      <c r="W45" t="n">
        <v>97.2647604663772</v>
      </c>
      <c r="X45" t="n">
        <v>96.6943641930928</v>
      </c>
      <c r="Y45" t="n">
        <v>97.1540727897952</v>
      </c>
      <c r="Z45" t="n">
        <v>98.6676361435641</v>
      </c>
      <c r="AA45" t="n">
        <v>98.2588944751244</v>
      </c>
      <c r="AB45" t="n">
        <v>98.8842401358784</v>
      </c>
      <c r="AC45" t="n">
        <v>99.2691742672326</v>
      </c>
      <c r="AD45" t="n">
        <v>100.333612255055</v>
      </c>
      <c r="AE45" t="n">
        <v>100</v>
      </c>
      <c r="AF45" t="n">
        <v>102.890590631443</v>
      </c>
    </row>
    <row r="46">
      <c r="A46" t="s">
        <v>92</v>
      </c>
      <c r="B46" t="s">
        <v>362</v>
      </c>
      <c r="C46" t="s">
        <v>246</v>
      </c>
      <c r="D46" t="s">
        <v>363</v>
      </c>
      <c r="E46" t="s">
        <v>247</v>
      </c>
      <c r="F46" t="n">
        <v>66.7117808746903</v>
      </c>
      <c r="G46" t="n">
        <v>70.3577098420407</v>
      </c>
      <c r="H46" t="n">
        <v>71.8823923021454</v>
      </c>
      <c r="I46" t="n">
        <v>75.5689206769133</v>
      </c>
      <c r="J46" t="n">
        <v>77.3050541300888</v>
      </c>
      <c r="K46" t="n">
        <v>79.8392929959805</v>
      </c>
      <c r="L46" t="n">
        <v>82.0862125077718</v>
      </c>
      <c r="M46" t="n">
        <v>83.812251920612</v>
      </c>
      <c r="N46" t="n">
        <v>84.2192253552188</v>
      </c>
      <c r="O46" t="n">
        <v>85.5481468715056</v>
      </c>
      <c r="P46" t="n">
        <v>86.4703501999504</v>
      </c>
      <c r="Q46" t="n">
        <v>88.2639390290622</v>
      </c>
      <c r="R46" t="n">
        <v>89.9365423792782</v>
      </c>
      <c r="S46" t="n">
        <v>92.5662127437619</v>
      </c>
      <c r="T46" t="n">
        <v>92.3404864361853</v>
      </c>
      <c r="U46" t="n">
        <v>95.3354931895686</v>
      </c>
      <c r="V46" t="n">
        <v>94.7479890637069</v>
      </c>
      <c r="W46" t="n">
        <v>97.3478852306796</v>
      </c>
      <c r="X46" t="n">
        <v>97.0589960893031</v>
      </c>
      <c r="Y46" t="n">
        <v>96.1724417221817</v>
      </c>
      <c r="Z46" t="n">
        <v>98.328169065095</v>
      </c>
      <c r="AA46" t="n">
        <v>98.6403345802404</v>
      </c>
      <c r="AB46" t="n">
        <v>98.9322619742999</v>
      </c>
      <c r="AC46" t="n">
        <v>98.8159529226018</v>
      </c>
      <c r="AD46" t="n">
        <v>100.463427515184</v>
      </c>
      <c r="AE46" t="n">
        <v>100</v>
      </c>
      <c r="AF46" t="n">
        <v>103.392170989433</v>
      </c>
    </row>
    <row r="47">
      <c r="A47" t="s">
        <v>92</v>
      </c>
      <c r="B47" t="s">
        <v>364</v>
      </c>
      <c r="C47" t="s">
        <v>246</v>
      </c>
      <c r="D47" t="s">
        <v>365</v>
      </c>
      <c r="E47" t="s">
        <v>247</v>
      </c>
      <c r="F47" t="n">
        <v>63.3037816518538</v>
      </c>
      <c r="G47" t="n">
        <v>64.7364114656426</v>
      </c>
      <c r="H47" t="n">
        <v>66.6362365422735</v>
      </c>
      <c r="I47" t="n">
        <v>68.174487517471</v>
      </c>
      <c r="J47" t="n">
        <v>68.5868736756264</v>
      </c>
      <c r="K47" t="n">
        <v>71.0083446953615</v>
      </c>
      <c r="L47" t="n">
        <v>73.186463157153</v>
      </c>
      <c r="M47" t="n">
        <v>75.4272730999002</v>
      </c>
      <c r="N47" t="n">
        <v>76.574701064329</v>
      </c>
      <c r="O47" t="n">
        <v>79.2543339560788</v>
      </c>
      <c r="P47" t="n">
        <v>82.0877332441546</v>
      </c>
      <c r="Q47" t="n">
        <v>84.6805713055854</v>
      </c>
      <c r="R47" t="n">
        <v>86.8729381681651</v>
      </c>
      <c r="S47" t="n">
        <v>89.5184399451954</v>
      </c>
      <c r="T47" t="n">
        <v>89.9098160671068</v>
      </c>
      <c r="U47" t="n">
        <v>92.4622830483256</v>
      </c>
      <c r="V47" t="n">
        <v>94.9093203573096</v>
      </c>
      <c r="W47" t="n">
        <v>95.4821103605723</v>
      </c>
      <c r="X47" t="n">
        <v>95.7395163776382</v>
      </c>
      <c r="Y47" t="n">
        <v>95.5621752926893</v>
      </c>
      <c r="Z47" t="n">
        <v>96.1528563641288</v>
      </c>
      <c r="AA47" t="n">
        <v>96.1780176328094</v>
      </c>
      <c r="AB47" t="n">
        <v>97.3043066429537</v>
      </c>
      <c r="AC47" t="n">
        <v>98.921512481849</v>
      </c>
      <c r="AD47" t="n">
        <v>99.5425573429303</v>
      </c>
      <c r="AE47" t="n">
        <v>100</v>
      </c>
      <c r="AF47" t="n">
        <v>104.266880803324</v>
      </c>
    </row>
    <row r="48">
      <c r="A48" t="s">
        <v>92</v>
      </c>
      <c r="B48" t="s">
        <v>366</v>
      </c>
      <c r="C48" t="s">
        <v>246</v>
      </c>
      <c r="D48" t="s">
        <v>367</v>
      </c>
      <c r="E48" t="s">
        <v>247</v>
      </c>
      <c r="F48" t="n">
        <v>63.9313612939063</v>
      </c>
      <c r="G48" t="n">
        <v>65.3013074350536</v>
      </c>
      <c r="H48" t="n">
        <v>67.0470937552234</v>
      </c>
      <c r="I48" t="n">
        <v>68.5283478294466</v>
      </c>
      <c r="J48" t="n">
        <v>68.940163502813</v>
      </c>
      <c r="K48" t="n">
        <v>71.2698550642418</v>
      </c>
      <c r="L48" t="n">
        <v>73.2789155144264</v>
      </c>
      <c r="M48" t="n">
        <v>75.5058527953213</v>
      </c>
      <c r="N48" t="n">
        <v>76.7381121807487</v>
      </c>
      <c r="O48" t="n">
        <v>79.3034353129186</v>
      </c>
      <c r="P48" t="n">
        <v>81.8145192195399</v>
      </c>
      <c r="Q48" t="n">
        <v>84.2405979513722</v>
      </c>
      <c r="R48" t="n">
        <v>86.4089250100536</v>
      </c>
      <c r="S48" t="n">
        <v>88.9438790541497</v>
      </c>
      <c r="T48" t="n">
        <v>89.9379128294347</v>
      </c>
      <c r="U48" t="n">
        <v>92.3142045946751</v>
      </c>
      <c r="V48" t="n">
        <v>94.6697174107393</v>
      </c>
      <c r="W48" t="n">
        <v>95.3729730351022</v>
      </c>
      <c r="X48" t="n">
        <v>95.1189017571668</v>
      </c>
      <c r="Y48" t="n">
        <v>95.0656865248819</v>
      </c>
      <c r="Z48" t="n">
        <v>95.8946147520877</v>
      </c>
      <c r="AA48" t="n">
        <v>96.3099388275855</v>
      </c>
      <c r="AB48" t="n">
        <v>97.391795567612</v>
      </c>
      <c r="AC48" t="n">
        <v>98.7100919636612</v>
      </c>
      <c r="AD48" t="n">
        <v>99.6035570157361</v>
      </c>
      <c r="AE48" t="n">
        <v>100</v>
      </c>
      <c r="AF48" t="n">
        <v>104.343380007137</v>
      </c>
    </row>
    <row r="49">
      <c r="A49" t="s">
        <v>92</v>
      </c>
      <c r="B49" t="s">
        <v>368</v>
      </c>
      <c r="C49" t="s">
        <v>246</v>
      </c>
      <c r="D49" t="s">
        <v>369</v>
      </c>
      <c r="E49" t="s">
        <v>247</v>
      </c>
      <c r="F49" t="n">
        <v>67.2462164792095</v>
      </c>
      <c r="G49" t="n">
        <v>69.1127146352566</v>
      </c>
      <c r="H49" t="n">
        <v>70.897839052017</v>
      </c>
      <c r="I49" t="n">
        <v>72.5595071547986</v>
      </c>
      <c r="J49" t="n">
        <v>73.3869854972624</v>
      </c>
      <c r="K49" t="n">
        <v>75.8238458075164</v>
      </c>
      <c r="L49" t="n">
        <v>77.8981408713699</v>
      </c>
      <c r="M49" t="n">
        <v>80.4956113905886</v>
      </c>
      <c r="N49" t="n">
        <v>82.2097312207752</v>
      </c>
      <c r="O49" t="n">
        <v>84.8615554651429</v>
      </c>
      <c r="P49" t="n">
        <v>87.296568237677</v>
      </c>
      <c r="Q49" t="n">
        <v>89.3616826672849</v>
      </c>
      <c r="R49" t="n">
        <v>91.6966582285482</v>
      </c>
      <c r="S49" t="n">
        <v>94.2802592225165</v>
      </c>
      <c r="T49" t="n">
        <v>96.1833698123928</v>
      </c>
      <c r="U49" t="n">
        <v>98.4772919398613</v>
      </c>
      <c r="V49" t="n">
        <v>100.758635630336</v>
      </c>
      <c r="W49" t="n">
        <v>101.740949315308</v>
      </c>
      <c r="X49" t="n">
        <v>101.193251384164</v>
      </c>
      <c r="Y49" t="n">
        <v>100.922202353815</v>
      </c>
      <c r="Z49" t="n">
        <v>101.743202493482</v>
      </c>
      <c r="AA49" t="n">
        <v>99.9764887397331</v>
      </c>
      <c r="AB49" t="n">
        <v>100.008116860182</v>
      </c>
      <c r="AC49" t="n">
        <v>100.492333922621</v>
      </c>
      <c r="AD49" t="n">
        <v>100.071319893496</v>
      </c>
      <c r="AE49" t="n">
        <v>100</v>
      </c>
      <c r="AF49" t="n">
        <v>103.020005946566</v>
      </c>
    </row>
    <row r="50">
      <c r="A50" t="s">
        <v>92</v>
      </c>
      <c r="B50" t="s">
        <v>370</v>
      </c>
      <c r="C50" t="s">
        <v>246</v>
      </c>
      <c r="D50" t="s">
        <v>371</v>
      </c>
      <c r="E50" t="s">
        <v>247</v>
      </c>
      <c r="F50" t="n">
        <v>65.3813794835848</v>
      </c>
      <c r="G50" t="n">
        <v>66.3307688043538</v>
      </c>
      <c r="H50" t="n">
        <v>67.4139250809254</v>
      </c>
      <c r="I50" t="n">
        <v>68.612827833328</v>
      </c>
      <c r="J50" t="n">
        <v>68.9003515595952</v>
      </c>
      <c r="K50" t="n">
        <v>70.8697600475159</v>
      </c>
      <c r="L50" t="n">
        <v>72.2492175486255</v>
      </c>
      <c r="M50" t="n">
        <v>74.3036518129723</v>
      </c>
      <c r="N50" t="n">
        <v>75.719482730289</v>
      </c>
      <c r="O50" t="n">
        <v>77.7461925820081</v>
      </c>
      <c r="P50" t="n">
        <v>79.0586324236016</v>
      </c>
      <c r="Q50" t="n">
        <v>81.0392087757194</v>
      </c>
      <c r="R50" t="n">
        <v>83.0738435030508</v>
      </c>
      <c r="S50" t="n">
        <v>85.184012312737</v>
      </c>
      <c r="T50" t="n">
        <v>88.2646613462512</v>
      </c>
      <c r="U50" t="n">
        <v>90.1206757813769</v>
      </c>
      <c r="V50" t="n">
        <v>92.1950906180244</v>
      </c>
      <c r="W50" t="n">
        <v>93.251593725324</v>
      </c>
      <c r="X50" t="n">
        <v>91.4033843855601</v>
      </c>
      <c r="Y50" t="n">
        <v>91.8296544622454</v>
      </c>
      <c r="Z50" t="n">
        <v>93.4627765969967</v>
      </c>
      <c r="AA50" t="n">
        <v>95.8476143662392</v>
      </c>
      <c r="AB50" t="n">
        <v>97.0339366171561</v>
      </c>
      <c r="AC50" t="n">
        <v>97.7636592022276</v>
      </c>
      <c r="AD50" t="n">
        <v>99.6529846822531</v>
      </c>
      <c r="AE50" t="n">
        <v>100</v>
      </c>
      <c r="AF50" t="n">
        <v>104.875467585947</v>
      </c>
    </row>
    <row r="51">
      <c r="A51" t="s">
        <v>92</v>
      </c>
      <c r="B51" t="s">
        <v>372</v>
      </c>
      <c r="C51" t="s">
        <v>246</v>
      </c>
      <c r="D51" t="s">
        <v>373</v>
      </c>
      <c r="E51" t="s">
        <v>247</v>
      </c>
      <c r="F51" t="n">
        <v>64.7334676885691</v>
      </c>
      <c r="G51" t="n">
        <v>65.6035800186835</v>
      </c>
      <c r="H51" t="n">
        <v>66.6887383445481</v>
      </c>
      <c r="I51" t="n">
        <v>67.8338804676998</v>
      </c>
      <c r="J51" t="n">
        <v>68.0832456082409</v>
      </c>
      <c r="K51" t="n">
        <v>70.0464059231857</v>
      </c>
      <c r="L51" t="n">
        <v>71.3949413920945</v>
      </c>
      <c r="M51" t="n">
        <v>73.4667830749233</v>
      </c>
      <c r="N51" t="n">
        <v>74.9471830109813</v>
      </c>
      <c r="O51" t="n">
        <v>77.1144878595796</v>
      </c>
      <c r="P51" t="n">
        <v>78.5173960864531</v>
      </c>
      <c r="Q51" t="n">
        <v>80.5181409224606</v>
      </c>
      <c r="R51" t="n">
        <v>82.6157218473612</v>
      </c>
      <c r="S51" t="n">
        <v>84.763489574229</v>
      </c>
      <c r="T51" t="n">
        <v>87.8349069345203</v>
      </c>
      <c r="U51" t="n">
        <v>89.7012582750738</v>
      </c>
      <c r="V51" t="n">
        <v>91.7991447324304</v>
      </c>
      <c r="W51" t="n">
        <v>92.7353930213894</v>
      </c>
      <c r="X51" t="n">
        <v>90.849394734844</v>
      </c>
      <c r="Y51" t="n">
        <v>91.2905328872837</v>
      </c>
      <c r="Z51" t="n">
        <v>92.9022498051884</v>
      </c>
      <c r="AA51" t="n">
        <v>95.6209917100252</v>
      </c>
      <c r="AB51" t="n">
        <v>96.8862405504953</v>
      </c>
      <c r="AC51" t="n">
        <v>97.6915035468808</v>
      </c>
      <c r="AD51" t="n">
        <v>99.6395359024744</v>
      </c>
      <c r="AE51" t="n">
        <v>100</v>
      </c>
      <c r="AF51" t="n">
        <v>105.043065644186</v>
      </c>
    </row>
    <row r="52">
      <c r="A52" t="s">
        <v>92</v>
      </c>
      <c r="B52" t="s">
        <v>374</v>
      </c>
      <c r="C52" t="s">
        <v>246</v>
      </c>
      <c r="D52" t="s">
        <v>375</v>
      </c>
      <c r="E52" t="s">
        <v>247</v>
      </c>
      <c r="F52" t="n">
        <v>74.4879464442244</v>
      </c>
      <c r="G52" t="n">
        <v>76.8256154337564</v>
      </c>
      <c r="H52" t="n">
        <v>77.8416205208763</v>
      </c>
      <c r="I52" t="n">
        <v>79.9214476677865</v>
      </c>
      <c r="J52" t="n">
        <v>80.8340906264725</v>
      </c>
      <c r="K52" t="n">
        <v>82.8457058833019</v>
      </c>
      <c r="L52" t="n">
        <v>84.7151231470743</v>
      </c>
      <c r="M52" t="n">
        <v>86.3434467822028</v>
      </c>
      <c r="N52" t="n">
        <v>86.3874546551805</v>
      </c>
      <c r="O52" t="n">
        <v>86.3172780063948</v>
      </c>
      <c r="P52" t="n">
        <v>86.0604359464395</v>
      </c>
      <c r="Q52" t="n">
        <v>87.5709306537048</v>
      </c>
      <c r="R52" t="n">
        <v>88.5123759662776</v>
      </c>
      <c r="S52" t="n">
        <v>89.8448203356625</v>
      </c>
      <c r="T52" t="n">
        <v>92.9521983810407</v>
      </c>
      <c r="U52" t="n">
        <v>94.4673490585287</v>
      </c>
      <c r="V52" t="n">
        <v>96.0632213440721</v>
      </c>
      <c r="W52" t="n">
        <v>98.9112328835955</v>
      </c>
      <c r="X52" t="n">
        <v>97.5515624993293</v>
      </c>
      <c r="Y52" t="n">
        <v>97.8038342941356</v>
      </c>
      <c r="Z52" t="n">
        <v>99.69288031477</v>
      </c>
      <c r="AA52" t="n">
        <v>98.6279011479093</v>
      </c>
      <c r="AB52" t="n">
        <v>98.945893702094</v>
      </c>
      <c r="AC52" t="n">
        <v>98.6722385239373</v>
      </c>
      <c r="AD52" t="n">
        <v>99.8418277680141</v>
      </c>
      <c r="AE52" t="n">
        <v>100</v>
      </c>
      <c r="AF52" t="n">
        <v>102.583423035522</v>
      </c>
    </row>
    <row r="53">
      <c r="A53" t="s">
        <v>92</v>
      </c>
      <c r="B53" t="s">
        <v>376</v>
      </c>
      <c r="C53" t="s">
        <v>246</v>
      </c>
      <c r="D53" t="s">
        <v>377</v>
      </c>
      <c r="E53" t="s">
        <v>247</v>
      </c>
      <c r="F53" t="n">
        <v>75.7178667351974</v>
      </c>
      <c r="G53" t="n">
        <v>77.9577344536645</v>
      </c>
      <c r="H53" t="n">
        <v>79.4293998802985</v>
      </c>
      <c r="I53" t="n">
        <v>80.5951263245849</v>
      </c>
      <c r="J53" t="n">
        <v>81.3227112294955</v>
      </c>
      <c r="K53" t="n">
        <v>82.8309893751969</v>
      </c>
      <c r="L53" t="n">
        <v>84.6354252956484</v>
      </c>
      <c r="M53" t="n">
        <v>86.5999779005261</v>
      </c>
      <c r="N53" t="n">
        <v>88.1623486358449</v>
      </c>
      <c r="O53" t="n">
        <v>90.2505606869035</v>
      </c>
      <c r="P53" t="n">
        <v>91.2911416929425</v>
      </c>
      <c r="Q53" t="n">
        <v>93.2455272066218</v>
      </c>
      <c r="R53" t="n">
        <v>95.0571839039499</v>
      </c>
      <c r="S53" t="n">
        <v>97.7977662432552</v>
      </c>
      <c r="T53" t="n">
        <v>100.720875824805</v>
      </c>
      <c r="U53" t="n">
        <v>99.1356505076856</v>
      </c>
      <c r="V53" t="n">
        <v>97.2867500084814</v>
      </c>
      <c r="W53" t="n">
        <v>99.7035028629104</v>
      </c>
      <c r="X53" t="n">
        <v>98.3315295461301</v>
      </c>
      <c r="Y53" t="n">
        <v>98.8656616732874</v>
      </c>
      <c r="Z53" t="n">
        <v>99.9579815921214</v>
      </c>
      <c r="AA53" t="n">
        <v>99.0800222493652</v>
      </c>
      <c r="AB53" t="n">
        <v>100.453648877643</v>
      </c>
      <c r="AC53" t="n">
        <v>98.7076510419646</v>
      </c>
      <c r="AD53" t="n">
        <v>99.8751640472456</v>
      </c>
      <c r="AE53" t="n">
        <v>100</v>
      </c>
      <c r="AF53" t="n">
        <v>99.6360009972575</v>
      </c>
    </row>
    <row r="54">
      <c r="A54" t="s">
        <v>92</v>
      </c>
      <c r="B54" t="s">
        <v>378</v>
      </c>
      <c r="C54" t="s">
        <v>246</v>
      </c>
      <c r="D54" t="s">
        <v>379</v>
      </c>
      <c r="E54" t="s">
        <v>247</v>
      </c>
      <c r="F54" t="n">
        <v>75.7979744001414</v>
      </c>
      <c r="G54" t="n">
        <v>78.0938806362567</v>
      </c>
      <c r="H54" t="n">
        <v>79.4877249553727</v>
      </c>
      <c r="I54" t="n">
        <v>80.6490526387547</v>
      </c>
      <c r="J54" t="n">
        <v>81.2976938352109</v>
      </c>
      <c r="K54" t="n">
        <v>83.1892644478994</v>
      </c>
      <c r="L54" t="n">
        <v>85.0212567552071</v>
      </c>
      <c r="M54" t="n">
        <v>86.9216237259229</v>
      </c>
      <c r="N54" t="n">
        <v>88.1226193233146</v>
      </c>
      <c r="O54" t="n">
        <v>89.7190181899138</v>
      </c>
      <c r="P54" t="n">
        <v>90.531734242348</v>
      </c>
      <c r="Q54" t="n">
        <v>92.2657524896153</v>
      </c>
      <c r="R54" t="n">
        <v>93.8275241212116</v>
      </c>
      <c r="S54" t="n">
        <v>96.0331685533722</v>
      </c>
      <c r="T54" t="n">
        <v>98.5215190609202</v>
      </c>
      <c r="U54" t="n">
        <v>97.8040801175724</v>
      </c>
      <c r="V54" t="n">
        <v>97.4352661002425</v>
      </c>
      <c r="W54" t="n">
        <v>99.9762567622945</v>
      </c>
      <c r="X54" t="n">
        <v>98.8561968509462</v>
      </c>
      <c r="Y54" t="n">
        <v>99.4752832777412</v>
      </c>
      <c r="Z54" t="n">
        <v>101.027076292832</v>
      </c>
      <c r="AA54" t="n">
        <v>99.2782720427567</v>
      </c>
      <c r="AB54" t="n">
        <v>100.304599570275</v>
      </c>
      <c r="AC54" t="n">
        <v>98.933421678564</v>
      </c>
      <c r="AD54" t="n">
        <v>99.979182568871</v>
      </c>
      <c r="AE54" t="n">
        <v>100</v>
      </c>
      <c r="AF54" t="n">
        <v>100.680740123837</v>
      </c>
    </row>
    <row r="55">
      <c r="A55" t="s">
        <v>92</v>
      </c>
      <c r="B55" t="s">
        <v>380</v>
      </c>
      <c r="C55" t="s">
        <v>246</v>
      </c>
      <c r="D55" t="s">
        <v>381</v>
      </c>
      <c r="E55" t="s">
        <v>247</v>
      </c>
      <c r="F55" t="n">
        <v>75.7120750714192</v>
      </c>
      <c r="G55" t="n">
        <v>78.1218099901695</v>
      </c>
      <c r="H55" t="n">
        <v>79.3400037858988</v>
      </c>
      <c r="I55" t="n">
        <v>80.4880102715469</v>
      </c>
      <c r="J55" t="n">
        <v>80.9559638196373</v>
      </c>
      <c r="K55" t="n">
        <v>83.6784408670354</v>
      </c>
      <c r="L55" t="n">
        <v>85.5644517399749</v>
      </c>
      <c r="M55" t="n">
        <v>87.3100153675839</v>
      </c>
      <c r="N55" t="n">
        <v>87.7864401252244</v>
      </c>
      <c r="O55" t="n">
        <v>88.3454511504422</v>
      </c>
      <c r="P55" t="n">
        <v>88.6613980361604</v>
      </c>
      <c r="Q55" t="n">
        <v>89.9634577293959</v>
      </c>
      <c r="R55" t="n">
        <v>91.002631608503</v>
      </c>
      <c r="S55" t="n">
        <v>92.3610110668397</v>
      </c>
      <c r="T55" t="n">
        <v>93.7226499235747</v>
      </c>
      <c r="U55" t="n">
        <v>94.7740795801943</v>
      </c>
      <c r="V55" t="n">
        <v>97.4901457279482</v>
      </c>
      <c r="W55" t="n">
        <v>100.238190104172</v>
      </c>
      <c r="X55" t="n">
        <v>99.7542347563882</v>
      </c>
      <c r="Y55" t="n">
        <v>100.53106259724</v>
      </c>
      <c r="Z55" t="n">
        <v>103.059188092035</v>
      </c>
      <c r="AA55" t="n">
        <v>99.5329984829716</v>
      </c>
      <c r="AB55" t="n">
        <v>99.9419792293333</v>
      </c>
      <c r="AC55" t="n">
        <v>99.4728328405721</v>
      </c>
      <c r="AD55" t="n">
        <v>100.250166777852</v>
      </c>
      <c r="AE55" t="n">
        <v>100</v>
      </c>
      <c r="AF55" t="n">
        <v>103.451467865644</v>
      </c>
    </row>
    <row r="56">
      <c r="A56" t="s">
        <v>92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92</v>
      </c>
      <c r="B57" t="s">
        <v>384</v>
      </c>
      <c r="C57" t="s">
        <v>246</v>
      </c>
      <c r="D57" t="s">
        <v>385</v>
      </c>
      <c r="E57" t="s">
        <v>247</v>
      </c>
      <c r="F57" t="n">
        <v>66.6484603748023</v>
      </c>
      <c r="G57" t="n">
        <v>68.2727598748204</v>
      </c>
      <c r="H57" t="n">
        <v>69.7083165393438</v>
      </c>
      <c r="I57" t="n">
        <v>71.0166287392483</v>
      </c>
      <c r="J57" t="n">
        <v>71.4761728849635</v>
      </c>
      <c r="K57" t="n">
        <v>73.6404848767348</v>
      </c>
      <c r="L57" t="n">
        <v>75.472892322883</v>
      </c>
      <c r="M57" t="n">
        <v>77.6574408941463</v>
      </c>
      <c r="N57" t="n">
        <v>78.9298915972298</v>
      </c>
      <c r="O57" t="n">
        <v>81.1453497859765</v>
      </c>
      <c r="P57" t="n">
        <v>83.2982530403706</v>
      </c>
      <c r="Q57" t="n">
        <v>85.4493759955534</v>
      </c>
      <c r="R57" t="n">
        <v>87.7251183108681</v>
      </c>
      <c r="S57" t="n">
        <v>90.1522266275225</v>
      </c>
      <c r="T57" t="n">
        <v>91.3477676955629</v>
      </c>
      <c r="U57" t="n">
        <v>92.9827823932017</v>
      </c>
      <c r="V57" t="n">
        <v>95.1522465552738</v>
      </c>
      <c r="W57" t="n">
        <v>96.5301284583935</v>
      </c>
      <c r="X57" t="n">
        <v>96.2492722883945</v>
      </c>
      <c r="Y57" t="n">
        <v>96.5534683882163</v>
      </c>
      <c r="Z57" t="n">
        <v>97.6729294891702</v>
      </c>
      <c r="AA57" t="n">
        <v>97.6051951413968</v>
      </c>
      <c r="AB57" t="n">
        <v>98.3217226737196</v>
      </c>
      <c r="AC57" t="n">
        <v>99.1806371103233</v>
      </c>
      <c r="AD57" t="n">
        <v>99.9497981233183</v>
      </c>
      <c r="AE57" t="n">
        <v>100</v>
      </c>
      <c r="AF57" t="n">
        <v>103.583595022555</v>
      </c>
    </row>
    <row r="58">
      <c r="A58" t="s">
        <v>92</v>
      </c>
      <c r="B58" t="s">
        <v>386</v>
      </c>
      <c r="C58" t="s">
        <v>246</v>
      </c>
      <c r="D58" t="s">
        <v>387</v>
      </c>
      <c r="E58" t="s">
        <v>247</v>
      </c>
      <c r="F58" t="n">
        <v>66.6484603748023</v>
      </c>
      <c r="G58" t="n">
        <v>68.2727598748204</v>
      </c>
      <c r="H58" t="n">
        <v>69.7083165393438</v>
      </c>
      <c r="I58" t="n">
        <v>71.0166287392483</v>
      </c>
      <c r="J58" t="n">
        <v>71.4761728849635</v>
      </c>
      <c r="K58" t="n">
        <v>73.6404848767348</v>
      </c>
      <c r="L58" t="n">
        <v>75.472892322883</v>
      </c>
      <c r="M58" t="n">
        <v>77.6574408941463</v>
      </c>
      <c r="N58" t="n">
        <v>78.9298915972298</v>
      </c>
      <c r="O58" t="n">
        <v>81.1453497859765</v>
      </c>
      <c r="P58" t="n">
        <v>83.2982530403706</v>
      </c>
      <c r="Q58" t="n">
        <v>85.4493759955534</v>
      </c>
      <c r="R58" t="n">
        <v>87.7251183108681</v>
      </c>
      <c r="S58" t="n">
        <v>90.1522266275225</v>
      </c>
      <c r="T58" t="n">
        <v>91.3477676955629</v>
      </c>
      <c r="U58" t="n">
        <v>92.9827823932017</v>
      </c>
      <c r="V58" t="n">
        <v>95.1522465552738</v>
      </c>
      <c r="W58" t="n">
        <v>96.5301284583935</v>
      </c>
      <c r="X58" t="n">
        <v>96.2492722883945</v>
      </c>
      <c r="Y58" t="n">
        <v>96.5534683882163</v>
      </c>
      <c r="Z58" t="n">
        <v>97.6729294891702</v>
      </c>
      <c r="AA58" t="n">
        <v>97.6051951413968</v>
      </c>
      <c r="AB58" t="n">
        <v>98.3217226737196</v>
      </c>
      <c r="AC58" t="n">
        <v>99.1806371103233</v>
      </c>
      <c r="AD58" t="n">
        <v>99.9497981233183</v>
      </c>
      <c r="AE58" t="n">
        <v>100</v>
      </c>
      <c r="AF58" t="n">
        <v>103.583595022555</v>
      </c>
    </row>
    <row r="59">
      <c r="A59" t="s">
        <v>92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95</v>
      </c>
      <c r="B2" t="s">
        <v>197</v>
      </c>
      <c r="C2" t="s">
        <v>246</v>
      </c>
      <c r="D2" t="s">
        <v>199</v>
      </c>
      <c r="E2" t="s">
        <v>247</v>
      </c>
      <c r="F2" t="n">
        <v>68.3</v>
      </c>
      <c r="G2" t="n">
        <v>71.4</v>
      </c>
      <c r="H2" t="n">
        <v>67.5</v>
      </c>
      <c r="I2" t="n">
        <v>71.6</v>
      </c>
      <c r="J2" t="n">
        <v>78</v>
      </c>
      <c r="K2" t="n">
        <v>92.3</v>
      </c>
      <c r="L2" t="n">
        <v>101</v>
      </c>
      <c r="M2" t="n">
        <v>108.8</v>
      </c>
      <c r="N2" t="n">
        <v>113.6</v>
      </c>
      <c r="O2" t="n">
        <v>117.3</v>
      </c>
      <c r="P2" t="n">
        <v>120.3</v>
      </c>
      <c r="Q2" t="n">
        <v>124.3</v>
      </c>
      <c r="R2" t="n">
        <v>123.8</v>
      </c>
      <c r="S2" t="n">
        <v>120.2</v>
      </c>
      <c r="T2" t="n">
        <v>136.2</v>
      </c>
      <c r="U2" t="n">
        <v>126.8</v>
      </c>
      <c r="V2" t="n">
        <v>127.4</v>
      </c>
      <c r="W2" t="n">
        <v>118.1</v>
      </c>
      <c r="X2" t="n">
        <v>102.2</v>
      </c>
      <c r="Y2" t="n">
        <v>87.6</v>
      </c>
      <c r="Z2" t="n">
        <v>83.8</v>
      </c>
      <c r="AA2" t="n">
        <v>83</v>
      </c>
      <c r="AB2" t="n">
        <v>80.6</v>
      </c>
      <c r="AC2" t="n">
        <v>80.1</v>
      </c>
      <c r="AD2" t="n">
        <v>85.7</v>
      </c>
      <c r="AE2" t="n">
        <v>86.4</v>
      </c>
      <c r="AF2" t="n">
        <v>91.1</v>
      </c>
    </row>
    <row r="3">
      <c r="A3" t="s">
        <v>95</v>
      </c>
      <c r="B3" t="s">
        <v>276</v>
      </c>
      <c r="C3" t="s">
        <v>246</v>
      </c>
      <c r="D3" t="s">
        <v>277</v>
      </c>
      <c r="E3" t="s">
        <v>247</v>
      </c>
      <c r="F3" t="n">
        <v>22.7</v>
      </c>
      <c r="G3" t="n">
        <v>40.1</v>
      </c>
      <c r="H3" t="n">
        <v>269.3</v>
      </c>
      <c r="I3" t="n">
        <v>224.1</v>
      </c>
      <c r="J3" t="n">
        <v>201.2</v>
      </c>
      <c r="K3" t="n">
        <v>222.3</v>
      </c>
      <c r="L3" t="n">
        <v>220.2</v>
      </c>
      <c r="M3" t="n">
        <v>207.4</v>
      </c>
      <c r="N3" t="n">
        <v>167.9</v>
      </c>
      <c r="O3" t="n">
        <v>148.6</v>
      </c>
      <c r="P3" t="n">
        <v>131.4</v>
      </c>
      <c r="Q3" t="n">
        <v>130.7</v>
      </c>
      <c r="R3" t="n">
        <v>126.2</v>
      </c>
      <c r="S3" t="n">
        <v>107.8</v>
      </c>
      <c r="T3" t="n">
        <v>105</v>
      </c>
      <c r="U3" t="n">
        <v>106</v>
      </c>
      <c r="V3" t="n">
        <v>111.2</v>
      </c>
      <c r="W3" t="n">
        <v>108.5</v>
      </c>
      <c r="X3" t="n">
        <v>90.4</v>
      </c>
      <c r="Y3" t="n">
        <v>161.4</v>
      </c>
      <c r="Z3" t="n">
        <v>147.4</v>
      </c>
      <c r="AA3" t="n">
        <v>127.3</v>
      </c>
      <c r="AB3" t="n">
        <v>109.9</v>
      </c>
      <c r="AC3" t="n">
        <v>95.4</v>
      </c>
      <c r="AD3" t="n">
        <v>122</v>
      </c>
      <c r="AE3" t="n">
        <v>127.9</v>
      </c>
      <c r="AF3" t="n">
        <v>123.7</v>
      </c>
    </row>
    <row r="4">
      <c r="A4" t="s">
        <v>95</v>
      </c>
      <c r="B4" t="s">
        <v>278</v>
      </c>
      <c r="C4" t="s">
        <v>246</v>
      </c>
      <c r="D4" t="s">
        <v>279</v>
      </c>
      <c r="E4" t="s">
        <v>247</v>
      </c>
      <c r="F4" t="n">
        <v>2219.4</v>
      </c>
      <c r="G4" t="n">
        <v>2253.5</v>
      </c>
      <c r="H4" t="n">
        <v>2379.5</v>
      </c>
      <c r="I4" t="n">
        <v>2457.7</v>
      </c>
      <c r="J4" t="n">
        <v>2717</v>
      </c>
      <c r="K4" t="n">
        <v>3244.9</v>
      </c>
      <c r="L4" t="n">
        <v>3572.7</v>
      </c>
      <c r="M4" t="n">
        <v>3916.5</v>
      </c>
      <c r="N4" t="n">
        <v>3687</v>
      </c>
      <c r="O4" t="n">
        <v>3679.7</v>
      </c>
      <c r="P4" t="n">
        <v>3721.3</v>
      </c>
      <c r="Q4" t="n">
        <v>3809.3</v>
      </c>
      <c r="R4" t="n">
        <v>3848.8</v>
      </c>
      <c r="S4" t="n">
        <v>3780.7</v>
      </c>
      <c r="T4" t="n">
        <v>3759.8</v>
      </c>
      <c r="U4" t="n">
        <v>3668.7</v>
      </c>
      <c r="V4" t="n">
        <v>3713.2</v>
      </c>
      <c r="W4" t="n">
        <v>3811.9</v>
      </c>
      <c r="X4" t="n">
        <v>3606.6</v>
      </c>
      <c r="Y4" t="n">
        <v>3414</v>
      </c>
      <c r="Z4" t="n">
        <v>3598</v>
      </c>
      <c r="AA4" t="n">
        <v>3751.7</v>
      </c>
      <c r="AB4" t="n">
        <v>3943.8</v>
      </c>
      <c r="AC4" t="n">
        <v>4139.8</v>
      </c>
      <c r="AD4" t="n">
        <v>4484.3</v>
      </c>
      <c r="AE4" t="n">
        <v>4488.5</v>
      </c>
      <c r="AF4" t="n">
        <v>4453.2</v>
      </c>
    </row>
    <row r="5">
      <c r="A5" t="s">
        <v>95</v>
      </c>
      <c r="B5" t="s">
        <v>280</v>
      </c>
      <c r="C5" t="s">
        <v>246</v>
      </c>
      <c r="D5" t="s">
        <v>281</v>
      </c>
      <c r="E5" t="s">
        <v>247</v>
      </c>
      <c r="F5" t="n">
        <v>267.2</v>
      </c>
      <c r="G5" t="n">
        <v>262.9</v>
      </c>
      <c r="H5" t="n">
        <v>280.2</v>
      </c>
      <c r="I5" t="n">
        <v>295.3</v>
      </c>
      <c r="J5" t="n">
        <v>361</v>
      </c>
      <c r="K5" t="n">
        <v>427.5</v>
      </c>
      <c r="L5" t="n">
        <v>469.6</v>
      </c>
      <c r="M5" t="n">
        <v>517.5</v>
      </c>
      <c r="N5" t="n">
        <v>491.8</v>
      </c>
      <c r="O5" t="n">
        <v>492.9</v>
      </c>
      <c r="P5" t="n">
        <v>497.4</v>
      </c>
      <c r="Q5" t="n">
        <v>514</v>
      </c>
      <c r="R5" t="n">
        <v>519.8</v>
      </c>
      <c r="S5" t="n">
        <v>529.1</v>
      </c>
      <c r="T5" t="n">
        <v>549.8</v>
      </c>
      <c r="U5" t="n">
        <v>534.9</v>
      </c>
      <c r="V5" t="n">
        <v>539</v>
      </c>
      <c r="W5" t="n">
        <v>555</v>
      </c>
      <c r="X5" t="n">
        <v>498.6</v>
      </c>
      <c r="Y5" t="n">
        <v>472.7</v>
      </c>
      <c r="Z5" t="n">
        <v>489.3</v>
      </c>
      <c r="AA5" t="n">
        <v>524.4</v>
      </c>
      <c r="AB5" t="n">
        <v>552.1</v>
      </c>
      <c r="AC5" t="n">
        <v>513</v>
      </c>
      <c r="AD5" t="n">
        <v>634.1</v>
      </c>
      <c r="AE5" t="n">
        <v>681.7</v>
      </c>
      <c r="AF5"/>
    </row>
    <row r="6">
      <c r="A6" t="s">
        <v>95</v>
      </c>
      <c r="B6" t="s">
        <v>282</v>
      </c>
      <c r="C6" t="s">
        <v>246</v>
      </c>
      <c r="D6" t="s">
        <v>283</v>
      </c>
      <c r="E6" t="s">
        <v>247</v>
      </c>
      <c r="F6" t="n">
        <v>123.3</v>
      </c>
      <c r="G6" t="n">
        <v>135.7</v>
      </c>
      <c r="H6" t="n">
        <v>130.5</v>
      </c>
      <c r="I6" t="n">
        <v>152.9</v>
      </c>
      <c r="J6" t="n">
        <v>172.9</v>
      </c>
      <c r="K6" t="n">
        <v>214.1</v>
      </c>
      <c r="L6" t="n">
        <v>240.1</v>
      </c>
      <c r="M6" t="n">
        <v>260.7</v>
      </c>
      <c r="N6" t="n">
        <v>250.6</v>
      </c>
      <c r="O6" t="n">
        <v>248.7</v>
      </c>
      <c r="P6" t="n">
        <v>254.9</v>
      </c>
      <c r="Q6" t="n">
        <v>263.8</v>
      </c>
      <c r="R6" t="n">
        <v>264.5</v>
      </c>
      <c r="S6" t="n">
        <v>244.5</v>
      </c>
      <c r="T6" t="n">
        <v>251.9</v>
      </c>
      <c r="U6" t="n">
        <v>246.6</v>
      </c>
      <c r="V6" t="n">
        <v>250.4</v>
      </c>
      <c r="W6" t="n">
        <v>287.3</v>
      </c>
      <c r="X6" t="n">
        <v>283.4</v>
      </c>
      <c r="Y6" t="n">
        <v>275.5</v>
      </c>
      <c r="Z6" t="n">
        <v>291.8</v>
      </c>
      <c r="AA6" t="n">
        <v>303</v>
      </c>
      <c r="AB6" t="n">
        <v>290.3</v>
      </c>
      <c r="AC6" t="n">
        <v>304.2</v>
      </c>
      <c r="AD6" t="n">
        <v>328</v>
      </c>
      <c r="AE6" t="n">
        <v>322.2</v>
      </c>
      <c r="AF6"/>
    </row>
    <row r="7">
      <c r="A7" t="s">
        <v>95</v>
      </c>
      <c r="B7" t="s">
        <v>284</v>
      </c>
      <c r="C7" t="s">
        <v>246</v>
      </c>
      <c r="D7" t="s">
        <v>285</v>
      </c>
      <c r="E7" t="s">
        <v>247</v>
      </c>
      <c r="F7" t="n">
        <v>609.2</v>
      </c>
      <c r="G7" t="n">
        <v>522.3</v>
      </c>
      <c r="H7" t="n">
        <v>447.2</v>
      </c>
      <c r="I7" t="n">
        <v>370</v>
      </c>
      <c r="J7" t="n">
        <v>381.8</v>
      </c>
      <c r="K7" t="n">
        <v>421.8</v>
      </c>
      <c r="L7" t="n">
        <v>451.2</v>
      </c>
      <c r="M7" t="n">
        <v>492.2</v>
      </c>
      <c r="N7" t="n">
        <v>462.7</v>
      </c>
      <c r="O7" t="n">
        <v>455.9</v>
      </c>
      <c r="P7" t="n">
        <v>470.9</v>
      </c>
      <c r="Q7" t="n">
        <v>455.4</v>
      </c>
      <c r="R7" t="n">
        <v>471.1</v>
      </c>
      <c r="S7" t="n">
        <v>448.2</v>
      </c>
      <c r="T7" t="n">
        <v>451</v>
      </c>
      <c r="U7" t="n">
        <v>440.7</v>
      </c>
      <c r="V7" t="n">
        <v>447.1</v>
      </c>
      <c r="W7" t="n">
        <v>420</v>
      </c>
      <c r="X7" t="n">
        <v>405.3</v>
      </c>
      <c r="Y7" t="n">
        <v>353</v>
      </c>
      <c r="Z7" t="n">
        <v>346.9</v>
      </c>
      <c r="AA7" t="n">
        <v>373</v>
      </c>
      <c r="AB7" t="n">
        <v>363.2</v>
      </c>
      <c r="AC7" t="n">
        <v>380.4</v>
      </c>
      <c r="AD7" t="n">
        <v>397.8</v>
      </c>
      <c r="AE7" t="n">
        <v>393</v>
      </c>
      <c r="AF7"/>
    </row>
    <row r="8">
      <c r="A8" t="s">
        <v>95</v>
      </c>
      <c r="B8" t="s">
        <v>286</v>
      </c>
      <c r="C8" t="s">
        <v>246</v>
      </c>
      <c r="D8" t="s">
        <v>287</v>
      </c>
      <c r="E8" t="s">
        <v>247</v>
      </c>
      <c r="F8" t="n">
        <v>5</v>
      </c>
      <c r="G8" t="n">
        <v>5.9</v>
      </c>
      <c r="H8" t="n">
        <v>8.4</v>
      </c>
      <c r="I8" t="n">
        <v>7.3</v>
      </c>
      <c r="J8" t="n">
        <v>7.7</v>
      </c>
      <c r="K8" t="n">
        <v>12.7</v>
      </c>
      <c r="L8" t="n">
        <v>15.2</v>
      </c>
      <c r="M8" t="n">
        <v>16.9</v>
      </c>
      <c r="N8" t="n">
        <v>16</v>
      </c>
      <c r="O8" t="n">
        <v>15.6</v>
      </c>
      <c r="P8" t="n">
        <v>14.1</v>
      </c>
      <c r="Q8" t="n">
        <v>15</v>
      </c>
      <c r="R8" t="n">
        <v>15.5</v>
      </c>
      <c r="S8" t="n">
        <v>24.9</v>
      </c>
      <c r="T8" t="n">
        <v>23.4</v>
      </c>
      <c r="U8" t="n">
        <v>21.7</v>
      </c>
      <c r="V8" t="n">
        <v>20.8</v>
      </c>
      <c r="W8" t="n">
        <v>19.3</v>
      </c>
      <c r="X8" t="n">
        <v>20.6</v>
      </c>
      <c r="Y8" t="n">
        <v>21.3</v>
      </c>
      <c r="Z8" t="n">
        <v>19.4</v>
      </c>
      <c r="AA8" t="n">
        <v>16.5</v>
      </c>
      <c r="AB8" t="n">
        <v>14.7</v>
      </c>
      <c r="AC8" t="n">
        <v>12.1</v>
      </c>
      <c r="AD8" t="n">
        <v>10</v>
      </c>
      <c r="AE8" t="n">
        <v>9.1</v>
      </c>
      <c r="AF8"/>
    </row>
    <row r="9">
      <c r="A9" t="s">
        <v>95</v>
      </c>
      <c r="B9" t="s">
        <v>288</v>
      </c>
      <c r="C9" t="s">
        <v>246</v>
      </c>
      <c r="D9" t="s">
        <v>289</v>
      </c>
      <c r="E9" t="s">
        <v>247</v>
      </c>
      <c r="F9" t="n">
        <v>102.5</v>
      </c>
      <c r="G9" t="n">
        <v>94.7</v>
      </c>
      <c r="H9" t="n">
        <v>100.4</v>
      </c>
      <c r="I9" t="n">
        <v>100</v>
      </c>
      <c r="J9" t="n">
        <v>110.3</v>
      </c>
      <c r="K9" t="n">
        <v>136.2</v>
      </c>
      <c r="L9" t="n">
        <v>164.1</v>
      </c>
      <c r="M9" t="n">
        <v>182.6</v>
      </c>
      <c r="N9" t="n">
        <v>172.1</v>
      </c>
      <c r="O9" t="n">
        <v>178.5</v>
      </c>
      <c r="P9" t="n">
        <v>178.5</v>
      </c>
      <c r="Q9" t="n">
        <v>186.9</v>
      </c>
      <c r="R9" t="n">
        <v>187.7</v>
      </c>
      <c r="S9" t="n">
        <v>176.7</v>
      </c>
      <c r="T9" t="n">
        <v>165.3</v>
      </c>
      <c r="U9" t="n">
        <v>162.3</v>
      </c>
      <c r="V9" t="n">
        <v>165.5</v>
      </c>
      <c r="W9" t="n">
        <v>160.4</v>
      </c>
      <c r="X9" t="n">
        <v>150.9</v>
      </c>
      <c r="Y9" t="n">
        <v>158.3</v>
      </c>
      <c r="Z9" t="n">
        <v>160</v>
      </c>
      <c r="AA9" t="n">
        <v>160</v>
      </c>
      <c r="AB9" t="n">
        <v>161.6</v>
      </c>
      <c r="AC9" t="n">
        <v>154.4</v>
      </c>
      <c r="AD9" t="n">
        <v>156</v>
      </c>
      <c r="AE9" t="n">
        <v>148.8</v>
      </c>
      <c r="AF9"/>
    </row>
    <row r="10">
      <c r="A10" t="s">
        <v>95</v>
      </c>
      <c r="B10" t="s">
        <v>290</v>
      </c>
      <c r="C10" t="s">
        <v>246</v>
      </c>
      <c r="D10" t="s">
        <v>291</v>
      </c>
      <c r="E10" t="s">
        <v>247</v>
      </c>
      <c r="F10" t="n">
        <v>134.4</v>
      </c>
      <c r="G10" t="n">
        <v>127.7</v>
      </c>
      <c r="H10" t="n">
        <v>130.5</v>
      </c>
      <c r="I10" t="n">
        <v>133.8</v>
      </c>
      <c r="J10" t="n">
        <v>150.4</v>
      </c>
      <c r="K10" t="n">
        <v>183.6</v>
      </c>
      <c r="L10" t="n">
        <v>217.6</v>
      </c>
      <c r="M10" t="n">
        <v>243.9</v>
      </c>
      <c r="N10" t="n">
        <v>227.7</v>
      </c>
      <c r="O10" t="n">
        <v>238.6</v>
      </c>
      <c r="P10" t="n">
        <v>235.1</v>
      </c>
      <c r="Q10" t="n">
        <v>248.4</v>
      </c>
      <c r="R10" t="n">
        <v>249.6</v>
      </c>
      <c r="S10" t="n">
        <v>231.1</v>
      </c>
      <c r="T10" t="n">
        <v>216</v>
      </c>
      <c r="U10" t="n">
        <v>212.2</v>
      </c>
      <c r="V10" t="n">
        <v>216.7</v>
      </c>
      <c r="W10" t="n">
        <v>224.7</v>
      </c>
      <c r="X10" t="n">
        <v>224</v>
      </c>
      <c r="Y10" t="n">
        <v>236.6</v>
      </c>
      <c r="Z10" t="n">
        <v>250.4</v>
      </c>
      <c r="AA10" t="n">
        <v>264.9</v>
      </c>
      <c r="AB10" t="n">
        <v>264.6</v>
      </c>
      <c r="AC10" t="n">
        <v>255.7</v>
      </c>
      <c r="AD10" t="n">
        <v>260.2</v>
      </c>
      <c r="AE10" t="n">
        <v>253.4</v>
      </c>
      <c r="AF10"/>
    </row>
    <row r="11">
      <c r="A11" t="s">
        <v>95</v>
      </c>
      <c r="B11" t="s">
        <v>292</v>
      </c>
      <c r="C11" t="s">
        <v>246</v>
      </c>
      <c r="D11" t="s">
        <v>293</v>
      </c>
      <c r="E11" t="s">
        <v>247</v>
      </c>
      <c r="F11" t="n">
        <v>31.9</v>
      </c>
      <c r="G11" t="n">
        <v>33</v>
      </c>
      <c r="H11" t="n">
        <v>30.1</v>
      </c>
      <c r="I11" t="n">
        <v>33.8</v>
      </c>
      <c r="J11" t="n">
        <v>40.1</v>
      </c>
      <c r="K11" t="n">
        <v>47.4</v>
      </c>
      <c r="L11" t="n">
        <v>53.5</v>
      </c>
      <c r="M11" t="n">
        <v>61.3</v>
      </c>
      <c r="N11" t="n">
        <v>55.6</v>
      </c>
      <c r="O11" t="n">
        <v>60.1</v>
      </c>
      <c r="P11" t="n">
        <v>56.6</v>
      </c>
      <c r="Q11" t="n">
        <v>61.5</v>
      </c>
      <c r="R11" t="n">
        <v>61.9</v>
      </c>
      <c r="S11" t="n">
        <v>54.4</v>
      </c>
      <c r="T11" t="n">
        <v>50.7</v>
      </c>
      <c r="U11" t="n">
        <v>49.9</v>
      </c>
      <c r="V11" t="n">
        <v>51.2</v>
      </c>
      <c r="W11" t="n">
        <v>64.3</v>
      </c>
      <c r="X11" t="n">
        <v>73.1</v>
      </c>
      <c r="Y11" t="n">
        <v>78.3</v>
      </c>
      <c r="Z11" t="n">
        <v>90.4</v>
      </c>
      <c r="AA11" t="n">
        <v>104.9</v>
      </c>
      <c r="AB11" t="n">
        <v>103</v>
      </c>
      <c r="AC11" t="n">
        <v>101.3</v>
      </c>
      <c r="AD11" t="n">
        <v>104.2</v>
      </c>
      <c r="AE11" t="n">
        <v>104.6</v>
      </c>
      <c r="AF11"/>
    </row>
    <row r="12">
      <c r="A12" t="s">
        <v>95</v>
      </c>
      <c r="B12" t="s">
        <v>294</v>
      </c>
      <c r="C12" t="s">
        <v>246</v>
      </c>
      <c r="D12" t="s">
        <v>295</v>
      </c>
      <c r="E12" t="s">
        <v>247</v>
      </c>
      <c r="F12" t="n">
        <v>145.4</v>
      </c>
      <c r="G12" t="n">
        <v>234.3</v>
      </c>
      <c r="H12" t="n">
        <v>422</v>
      </c>
      <c r="I12" t="n">
        <v>385.3</v>
      </c>
      <c r="J12" t="n">
        <v>382.4</v>
      </c>
      <c r="K12" t="n">
        <v>408.5</v>
      </c>
      <c r="L12" t="n">
        <v>403.8</v>
      </c>
      <c r="M12" t="n">
        <v>412.5</v>
      </c>
      <c r="N12" t="n">
        <v>360.6</v>
      </c>
      <c r="O12" t="n">
        <v>351.6</v>
      </c>
      <c r="P12" t="n">
        <v>360.8</v>
      </c>
      <c r="Q12" t="n">
        <v>360.5</v>
      </c>
      <c r="R12" t="n">
        <v>367.2</v>
      </c>
      <c r="S12" t="n">
        <v>361.4</v>
      </c>
      <c r="T12" t="n">
        <v>350.3</v>
      </c>
      <c r="U12" t="n">
        <v>341.2</v>
      </c>
      <c r="V12" t="n">
        <v>344.8</v>
      </c>
      <c r="W12" t="n">
        <v>358.7</v>
      </c>
      <c r="X12" t="n">
        <v>340.4</v>
      </c>
      <c r="Y12" t="n">
        <v>331</v>
      </c>
      <c r="Z12" t="n">
        <v>330.7</v>
      </c>
      <c r="AA12" t="n">
        <v>338.2</v>
      </c>
      <c r="AB12" t="n">
        <v>334.6</v>
      </c>
      <c r="AC12" t="n">
        <v>320.6</v>
      </c>
      <c r="AD12" t="n">
        <v>354.8</v>
      </c>
      <c r="AE12" t="n">
        <v>352.6</v>
      </c>
      <c r="AF12"/>
    </row>
    <row r="13">
      <c r="A13" t="s">
        <v>95</v>
      </c>
      <c r="B13" t="s">
        <v>296</v>
      </c>
      <c r="C13" t="s">
        <v>246</v>
      </c>
      <c r="D13" t="s">
        <v>297</v>
      </c>
      <c r="E13" t="s">
        <v>247</v>
      </c>
      <c r="F13" t="n">
        <v>212.1</v>
      </c>
      <c r="G13" t="n">
        <v>238.8</v>
      </c>
      <c r="H13" t="n">
        <v>223.2</v>
      </c>
      <c r="I13" t="n">
        <v>296.9</v>
      </c>
      <c r="J13" t="n">
        <v>339.1</v>
      </c>
      <c r="K13" t="n">
        <v>416.7</v>
      </c>
      <c r="L13" t="n">
        <v>464.4</v>
      </c>
      <c r="M13" t="n">
        <v>510.9</v>
      </c>
      <c r="N13" t="n">
        <v>482.3</v>
      </c>
      <c r="O13" t="n">
        <v>487.1</v>
      </c>
      <c r="P13" t="n">
        <v>498.4</v>
      </c>
      <c r="Q13" t="n">
        <v>516.5</v>
      </c>
      <c r="R13" t="n">
        <v>508.6</v>
      </c>
      <c r="S13" t="n">
        <v>518.8</v>
      </c>
      <c r="T13" t="n">
        <v>496.1</v>
      </c>
      <c r="U13" t="n">
        <v>484.3</v>
      </c>
      <c r="V13" t="n">
        <v>490.2</v>
      </c>
      <c r="W13" t="n">
        <v>477.2</v>
      </c>
      <c r="X13" t="n">
        <v>461.4</v>
      </c>
      <c r="Y13" t="n">
        <v>444.3</v>
      </c>
      <c r="Z13" t="n">
        <v>498.2</v>
      </c>
      <c r="AA13" t="n">
        <v>530.4</v>
      </c>
      <c r="AB13" t="n">
        <v>650</v>
      </c>
      <c r="AC13" t="n">
        <v>697.5</v>
      </c>
      <c r="AD13" t="n">
        <v>764.3</v>
      </c>
      <c r="AE13" t="n">
        <v>753.6</v>
      </c>
      <c r="AF13"/>
    </row>
    <row r="14">
      <c r="A14" t="s">
        <v>95</v>
      </c>
      <c r="B14" t="s">
        <v>298</v>
      </c>
      <c r="C14" t="s">
        <v>246</v>
      </c>
      <c r="D14" t="s">
        <v>299</v>
      </c>
      <c r="E14" t="s">
        <v>247</v>
      </c>
      <c r="F14" t="n">
        <v>30.8</v>
      </c>
      <c r="G14" t="n">
        <v>43</v>
      </c>
      <c r="H14" t="n">
        <v>48.4</v>
      </c>
      <c r="I14" t="n">
        <v>65.6</v>
      </c>
      <c r="J14" t="n">
        <v>79.6</v>
      </c>
      <c r="K14" t="n">
        <v>94.1</v>
      </c>
      <c r="L14" t="n">
        <v>116.4</v>
      </c>
      <c r="M14" t="n">
        <v>127.9</v>
      </c>
      <c r="N14" t="n">
        <v>126.1</v>
      </c>
      <c r="O14" t="n">
        <v>126.3</v>
      </c>
      <c r="P14" t="n">
        <v>131</v>
      </c>
      <c r="Q14" t="n">
        <v>135.7</v>
      </c>
      <c r="R14" t="n">
        <v>135.5</v>
      </c>
      <c r="S14" t="n">
        <v>128</v>
      </c>
      <c r="T14" t="n">
        <v>127</v>
      </c>
      <c r="U14" t="n">
        <v>124.1</v>
      </c>
      <c r="V14" t="n">
        <v>126</v>
      </c>
      <c r="W14" t="n">
        <v>131.6</v>
      </c>
      <c r="X14" t="n">
        <v>135</v>
      </c>
      <c r="Y14" t="n">
        <v>122.2</v>
      </c>
      <c r="Z14" t="n">
        <v>127.6</v>
      </c>
      <c r="AA14" t="n">
        <v>114.5</v>
      </c>
      <c r="AB14" t="n">
        <v>119.6</v>
      </c>
      <c r="AC14" t="n">
        <v>118.2</v>
      </c>
      <c r="AD14" t="n">
        <v>116.2</v>
      </c>
      <c r="AE14" t="n">
        <v>129.3</v>
      </c>
      <c r="AF14"/>
    </row>
    <row r="15">
      <c r="A15" t="s">
        <v>95</v>
      </c>
      <c r="B15" t="s">
        <v>300</v>
      </c>
      <c r="C15" t="s">
        <v>246</v>
      </c>
      <c r="D15" t="s">
        <v>301</v>
      </c>
      <c r="E15" t="s">
        <v>247</v>
      </c>
      <c r="F15" t="n">
        <v>158.3</v>
      </c>
      <c r="G15" t="n">
        <v>151.9</v>
      </c>
      <c r="H15" t="n">
        <v>165.5</v>
      </c>
      <c r="I15" t="n">
        <v>161.5</v>
      </c>
      <c r="J15" t="n">
        <v>191.4</v>
      </c>
      <c r="K15" t="n">
        <v>224</v>
      </c>
      <c r="L15" t="n">
        <v>259.6</v>
      </c>
      <c r="M15" t="n">
        <v>279.7</v>
      </c>
      <c r="N15" t="n">
        <v>272.6</v>
      </c>
      <c r="O15" t="n">
        <v>268.6</v>
      </c>
      <c r="P15" t="n">
        <v>279.5</v>
      </c>
      <c r="Q15" t="n">
        <v>290.1</v>
      </c>
      <c r="R15" t="n">
        <v>287.6</v>
      </c>
      <c r="S15" t="n">
        <v>274.5</v>
      </c>
      <c r="T15" t="n">
        <v>285.3</v>
      </c>
      <c r="U15" t="n">
        <v>276.8</v>
      </c>
      <c r="V15" t="n">
        <v>278.6</v>
      </c>
      <c r="W15" t="n">
        <v>285.7</v>
      </c>
      <c r="X15" t="n">
        <v>281.2</v>
      </c>
      <c r="Y15" t="n">
        <v>264.9</v>
      </c>
      <c r="Z15" t="n">
        <v>280.8</v>
      </c>
      <c r="AA15" t="n">
        <v>274.4</v>
      </c>
      <c r="AB15" t="n">
        <v>287.2</v>
      </c>
      <c r="AC15" t="n">
        <v>307.6</v>
      </c>
      <c r="AD15" t="n">
        <v>314.1</v>
      </c>
      <c r="AE15" t="n">
        <v>334.3</v>
      </c>
      <c r="AF15"/>
    </row>
    <row r="16">
      <c r="A16" t="s">
        <v>95</v>
      </c>
      <c r="B16" t="s">
        <v>302</v>
      </c>
      <c r="C16" t="s">
        <v>246</v>
      </c>
      <c r="D16" t="s">
        <v>303</v>
      </c>
      <c r="E16" t="s">
        <v>247</v>
      </c>
      <c r="F16" t="n">
        <v>127.5</v>
      </c>
      <c r="G16" t="n">
        <v>108.9</v>
      </c>
      <c r="H16" t="n">
        <v>117.1</v>
      </c>
      <c r="I16" t="n">
        <v>95.9</v>
      </c>
      <c r="J16" t="n">
        <v>111.8</v>
      </c>
      <c r="K16" t="n">
        <v>129.9</v>
      </c>
      <c r="L16" t="n">
        <v>143.2</v>
      </c>
      <c r="M16" t="n">
        <v>151.8</v>
      </c>
      <c r="N16" t="n">
        <v>146.5</v>
      </c>
      <c r="O16" t="n">
        <v>142.3</v>
      </c>
      <c r="P16" t="n">
        <v>148.5</v>
      </c>
      <c r="Q16" t="n">
        <v>154.4</v>
      </c>
      <c r="R16" t="n">
        <v>152.1</v>
      </c>
      <c r="S16" t="n">
        <v>146.5</v>
      </c>
      <c r="T16" t="n">
        <v>158.3</v>
      </c>
      <c r="U16" t="n">
        <v>152.7</v>
      </c>
      <c r="V16" t="n">
        <v>152.6</v>
      </c>
      <c r="W16" t="n">
        <v>154.1</v>
      </c>
      <c r="X16" t="n">
        <v>146.2</v>
      </c>
      <c r="Y16" t="n">
        <v>142.7</v>
      </c>
      <c r="Z16" t="n">
        <v>153.2</v>
      </c>
      <c r="AA16" t="n">
        <v>159.9</v>
      </c>
      <c r="AB16" t="n">
        <v>167.6</v>
      </c>
      <c r="AC16" t="n">
        <v>189.4</v>
      </c>
      <c r="AD16" t="n">
        <v>197.9</v>
      </c>
      <c r="AE16" t="n">
        <v>205</v>
      </c>
      <c r="AF16"/>
    </row>
    <row r="17">
      <c r="A17" t="s">
        <v>95</v>
      </c>
      <c r="B17" t="s">
        <v>304</v>
      </c>
      <c r="C17" t="s">
        <v>246</v>
      </c>
      <c r="D17" t="s">
        <v>305</v>
      </c>
      <c r="E17" t="s">
        <v>247</v>
      </c>
      <c r="F17" t="n">
        <v>216.7</v>
      </c>
      <c r="G17" t="n">
        <v>204.2</v>
      </c>
      <c r="H17" t="n">
        <v>213.5</v>
      </c>
      <c r="I17" t="n">
        <v>241.2</v>
      </c>
      <c r="J17" t="n">
        <v>270.6</v>
      </c>
      <c r="K17" t="n">
        <v>358.7</v>
      </c>
      <c r="L17" t="n">
        <v>405.5</v>
      </c>
      <c r="M17" t="n">
        <v>459.2</v>
      </c>
      <c r="N17" t="n">
        <v>433.9</v>
      </c>
      <c r="O17" t="n">
        <v>436.4</v>
      </c>
      <c r="P17" t="n">
        <v>428.8</v>
      </c>
      <c r="Q17" t="n">
        <v>448.6</v>
      </c>
      <c r="R17" t="n">
        <v>451.4</v>
      </c>
      <c r="S17" t="n">
        <v>454.1</v>
      </c>
      <c r="T17" t="n">
        <v>432.9</v>
      </c>
      <c r="U17" t="n">
        <v>423.7</v>
      </c>
      <c r="V17" t="n">
        <v>430.2</v>
      </c>
      <c r="W17" t="n">
        <v>511</v>
      </c>
      <c r="X17" t="n">
        <v>493</v>
      </c>
      <c r="Y17" t="n">
        <v>470.5</v>
      </c>
      <c r="Z17" t="n">
        <v>505</v>
      </c>
      <c r="AA17" t="n">
        <v>514.2</v>
      </c>
      <c r="AB17" t="n">
        <v>580.3</v>
      </c>
      <c r="AC17" t="n">
        <v>744.3</v>
      </c>
      <c r="AD17" t="n">
        <v>771.6</v>
      </c>
      <c r="AE17" t="n">
        <v>749.2</v>
      </c>
      <c r="AF17"/>
    </row>
    <row r="18">
      <c r="A18" t="s">
        <v>95</v>
      </c>
      <c r="B18" t="s">
        <v>306</v>
      </c>
      <c r="C18" t="s">
        <v>246</v>
      </c>
      <c r="D18" t="s">
        <v>307</v>
      </c>
      <c r="E18" t="s">
        <v>247</v>
      </c>
      <c r="F18" t="n">
        <v>114.9</v>
      </c>
      <c r="G18" t="n">
        <v>121.7</v>
      </c>
      <c r="H18" t="n">
        <v>112.5</v>
      </c>
      <c r="I18" t="n">
        <v>126.7</v>
      </c>
      <c r="J18" t="n">
        <v>132.1</v>
      </c>
      <c r="K18" t="n">
        <v>165.5</v>
      </c>
      <c r="L18" t="n">
        <v>184.2</v>
      </c>
      <c r="M18" t="n">
        <v>208.4</v>
      </c>
      <c r="N18" t="n">
        <v>192.6</v>
      </c>
      <c r="O18" t="n">
        <v>187.4</v>
      </c>
      <c r="P18" t="n">
        <v>183.6</v>
      </c>
      <c r="Q18" t="n">
        <v>185.1</v>
      </c>
      <c r="R18" t="n">
        <v>197.8</v>
      </c>
      <c r="S18" t="n">
        <v>206.5</v>
      </c>
      <c r="T18" t="n">
        <v>231.2</v>
      </c>
      <c r="U18" t="n">
        <v>221.6</v>
      </c>
      <c r="V18" t="n">
        <v>219.8</v>
      </c>
      <c r="W18" t="n">
        <v>207.1</v>
      </c>
      <c r="X18" t="n">
        <v>187.1</v>
      </c>
      <c r="Y18" t="n">
        <v>169.6</v>
      </c>
      <c r="Z18" t="n">
        <v>178</v>
      </c>
      <c r="AA18" t="n">
        <v>181.2</v>
      </c>
      <c r="AB18" t="n">
        <v>175.1</v>
      </c>
      <c r="AC18" t="n">
        <v>174.3</v>
      </c>
      <c r="AD18" t="n">
        <v>173.6</v>
      </c>
      <c r="AE18" t="n">
        <v>166.6</v>
      </c>
      <c r="AF18"/>
    </row>
    <row r="19">
      <c r="A19" t="s">
        <v>95</v>
      </c>
      <c r="B19" t="s">
        <v>308</v>
      </c>
      <c r="C19" t="s">
        <v>246</v>
      </c>
      <c r="D19" t="s">
        <v>309</v>
      </c>
      <c r="E19" t="s">
        <v>247</v>
      </c>
      <c r="F19" t="n">
        <v>232.9</v>
      </c>
      <c r="G19" t="n">
        <v>248.1</v>
      </c>
      <c r="H19" t="n">
        <v>246</v>
      </c>
      <c r="I19" t="n">
        <v>286.8</v>
      </c>
      <c r="J19" t="n">
        <v>327.6</v>
      </c>
      <c r="K19" t="n">
        <v>411.8</v>
      </c>
      <c r="L19" t="n">
        <v>461.5</v>
      </c>
      <c r="M19" t="n">
        <v>514.6</v>
      </c>
      <c r="N19" t="n">
        <v>496.2</v>
      </c>
      <c r="O19" t="n">
        <v>496.9</v>
      </c>
      <c r="P19" t="n">
        <v>497.8</v>
      </c>
      <c r="Q19" t="n">
        <v>511.9</v>
      </c>
      <c r="R19" t="n">
        <v>515.7</v>
      </c>
      <c r="S19" t="n">
        <v>487.6</v>
      </c>
      <c r="T19" t="n">
        <v>471.9</v>
      </c>
      <c r="U19" t="n">
        <v>465</v>
      </c>
      <c r="V19" t="n">
        <v>475.6</v>
      </c>
      <c r="W19" t="n">
        <v>465.9</v>
      </c>
      <c r="X19" t="n">
        <v>411.6</v>
      </c>
      <c r="Y19" t="n">
        <v>374.6</v>
      </c>
      <c r="Z19" t="n">
        <v>407.5</v>
      </c>
      <c r="AA19" t="n">
        <v>431.5</v>
      </c>
      <c r="AB19" t="n">
        <v>431.7</v>
      </c>
      <c r="AC19" t="n">
        <v>430.1</v>
      </c>
      <c r="AD19" t="n">
        <v>475.8</v>
      </c>
      <c r="AE19" t="n">
        <v>472.8</v>
      </c>
      <c r="AF19"/>
    </row>
    <row r="20">
      <c r="A20" t="s">
        <v>95</v>
      </c>
      <c r="B20" t="s">
        <v>310</v>
      </c>
      <c r="C20" t="s">
        <v>246</v>
      </c>
      <c r="D20" t="s">
        <v>311</v>
      </c>
      <c r="E20" t="s">
        <v>247</v>
      </c>
      <c r="F20" t="n">
        <v>165.6</v>
      </c>
      <c r="G20" t="n">
        <v>145.4</v>
      </c>
      <c r="H20" t="n">
        <v>129.5</v>
      </c>
      <c r="I20" t="n">
        <v>105</v>
      </c>
      <c r="J20" t="n">
        <v>108.8</v>
      </c>
      <c r="K20" t="n">
        <v>112.3</v>
      </c>
      <c r="L20" t="n">
        <v>116.8</v>
      </c>
      <c r="M20" t="n">
        <v>125.6</v>
      </c>
      <c r="N20" t="n">
        <v>125.5</v>
      </c>
      <c r="O20" t="n">
        <v>130.9</v>
      </c>
      <c r="P20" t="n">
        <v>127.6</v>
      </c>
      <c r="Q20" t="n">
        <v>130.8</v>
      </c>
      <c r="R20" t="n">
        <v>128.6</v>
      </c>
      <c r="S20" t="n">
        <v>121.5</v>
      </c>
      <c r="T20" t="n">
        <v>115.1</v>
      </c>
      <c r="U20" t="n">
        <v>112.2</v>
      </c>
      <c r="V20" t="n">
        <v>113.9</v>
      </c>
      <c r="W20" t="n">
        <v>115.6</v>
      </c>
      <c r="X20" t="n">
        <v>119</v>
      </c>
      <c r="Y20" t="n">
        <v>109.2</v>
      </c>
      <c r="Z20" t="n">
        <v>110.4</v>
      </c>
      <c r="AA20" t="n">
        <v>121.6</v>
      </c>
      <c r="AB20" t="n">
        <v>156.2</v>
      </c>
      <c r="AC20" t="n">
        <v>185</v>
      </c>
      <c r="AD20" t="n">
        <v>198.7</v>
      </c>
      <c r="AE20" t="n">
        <v>218</v>
      </c>
      <c r="AF20" t="n">
        <v>235.7</v>
      </c>
    </row>
    <row r="21">
      <c r="A21" t="s">
        <v>95</v>
      </c>
      <c r="B21" t="s">
        <v>312</v>
      </c>
      <c r="C21" t="s">
        <v>246</v>
      </c>
      <c r="D21" t="s">
        <v>313</v>
      </c>
      <c r="E21" t="s">
        <v>247</v>
      </c>
      <c r="F21" t="n">
        <v>220.8</v>
      </c>
      <c r="G21" t="n">
        <v>201</v>
      </c>
      <c r="H21" t="n">
        <v>180.6</v>
      </c>
      <c r="I21" t="n">
        <v>163.3</v>
      </c>
      <c r="J21" t="n">
        <v>171.7</v>
      </c>
      <c r="K21" t="n">
        <v>187.5</v>
      </c>
      <c r="L21" t="n">
        <v>197.3</v>
      </c>
      <c r="M21" t="n">
        <v>212.4</v>
      </c>
      <c r="N21" t="n">
        <v>211.5</v>
      </c>
      <c r="O21" t="n">
        <v>223</v>
      </c>
      <c r="P21" t="n">
        <v>218.9</v>
      </c>
      <c r="Q21" t="n">
        <v>226.7</v>
      </c>
      <c r="R21" t="n">
        <v>224.3</v>
      </c>
      <c r="S21" t="n">
        <v>209.1</v>
      </c>
      <c r="T21" t="n">
        <v>202.9</v>
      </c>
      <c r="U21" t="n">
        <v>198</v>
      </c>
      <c r="V21" t="n">
        <v>200.6</v>
      </c>
      <c r="W21" t="n">
        <v>241.7</v>
      </c>
      <c r="X21" t="n">
        <v>257.5</v>
      </c>
      <c r="Y21" t="n">
        <v>274.1</v>
      </c>
      <c r="Z21" t="n">
        <v>310.3</v>
      </c>
      <c r="AA21" t="n">
        <v>338.5</v>
      </c>
      <c r="AB21" t="n">
        <v>392.7</v>
      </c>
      <c r="AC21" t="n">
        <v>435.3</v>
      </c>
      <c r="AD21" t="n">
        <v>469.9</v>
      </c>
      <c r="AE21" t="n">
        <v>500.3</v>
      </c>
      <c r="AF21" t="n">
        <v>514.8</v>
      </c>
    </row>
    <row r="22">
      <c r="A22" t="s">
        <v>95</v>
      </c>
      <c r="B22" t="s">
        <v>314</v>
      </c>
      <c r="C22" t="s">
        <v>246</v>
      </c>
      <c r="D22" t="s">
        <v>315</v>
      </c>
      <c r="E22" t="s">
        <v>247</v>
      </c>
      <c r="F22" t="n">
        <v>55.2</v>
      </c>
      <c r="G22" t="n">
        <v>55.6</v>
      </c>
      <c r="H22" t="n">
        <v>51.1</v>
      </c>
      <c r="I22" t="n">
        <v>58.3</v>
      </c>
      <c r="J22" t="n">
        <v>62.9</v>
      </c>
      <c r="K22" t="n">
        <v>75.2</v>
      </c>
      <c r="L22" t="n">
        <v>80.5</v>
      </c>
      <c r="M22" t="n">
        <v>86.8</v>
      </c>
      <c r="N22" t="n">
        <v>86</v>
      </c>
      <c r="O22" t="n">
        <v>92.1</v>
      </c>
      <c r="P22" t="n">
        <v>91.3</v>
      </c>
      <c r="Q22" t="n">
        <v>95.9</v>
      </c>
      <c r="R22" t="n">
        <v>95.7</v>
      </c>
      <c r="S22" t="n">
        <v>87.6</v>
      </c>
      <c r="T22" t="n">
        <v>87.8</v>
      </c>
      <c r="U22" t="n">
        <v>85.8</v>
      </c>
      <c r="V22" t="n">
        <v>86.7</v>
      </c>
      <c r="W22" t="n">
        <v>126.1</v>
      </c>
      <c r="X22" t="n">
        <v>138.5</v>
      </c>
      <c r="Y22" t="n">
        <v>164.9</v>
      </c>
      <c r="Z22" t="n">
        <v>199.9</v>
      </c>
      <c r="AA22" t="n">
        <v>216.9</v>
      </c>
      <c r="AB22" t="n">
        <v>236.5</v>
      </c>
      <c r="AC22" t="n">
        <v>250.3</v>
      </c>
      <c r="AD22" t="n">
        <v>271.2</v>
      </c>
      <c r="AE22" t="n">
        <v>282.3</v>
      </c>
      <c r="AF22" t="n">
        <v>279.1</v>
      </c>
    </row>
    <row r="23">
      <c r="A23" t="s">
        <v>95</v>
      </c>
      <c r="B23" t="s">
        <v>316</v>
      </c>
      <c r="C23" t="s">
        <v>246</v>
      </c>
      <c r="D23" t="s">
        <v>317</v>
      </c>
      <c r="E23" t="s">
        <v>247</v>
      </c>
      <c r="F23" t="n">
        <v>238</v>
      </c>
      <c r="G23" t="n">
        <v>237.3</v>
      </c>
      <c r="H23" t="n">
        <v>244</v>
      </c>
      <c r="I23" t="n">
        <v>284.3</v>
      </c>
      <c r="J23" t="n">
        <v>341.6</v>
      </c>
      <c r="K23" t="n">
        <v>426.8</v>
      </c>
      <c r="L23" t="n">
        <v>462</v>
      </c>
      <c r="M23" t="n">
        <v>521</v>
      </c>
      <c r="N23" t="n">
        <v>525.3</v>
      </c>
      <c r="O23" t="n">
        <v>519.6</v>
      </c>
      <c r="P23" t="n">
        <v>491.6</v>
      </c>
      <c r="Q23" t="n">
        <v>479.6</v>
      </c>
      <c r="R23" t="n">
        <v>514.6</v>
      </c>
      <c r="S23" t="n">
        <v>492.6</v>
      </c>
      <c r="T23" t="n">
        <v>480.3</v>
      </c>
      <c r="U23" t="n">
        <v>475.2</v>
      </c>
      <c r="V23" t="n">
        <v>488.4</v>
      </c>
      <c r="W23" t="n">
        <v>505.8</v>
      </c>
      <c r="X23" t="n">
        <v>539.4</v>
      </c>
      <c r="Y23" t="n">
        <v>747.8</v>
      </c>
      <c r="Z23" t="n">
        <v>784.9</v>
      </c>
      <c r="AA23" t="n">
        <v>787.9</v>
      </c>
      <c r="AB23" t="n">
        <v>860</v>
      </c>
      <c r="AC23" t="n">
        <v>868.2</v>
      </c>
      <c r="AD23" t="n">
        <v>871.3</v>
      </c>
      <c r="AE23" t="n">
        <v>807</v>
      </c>
      <c r="AF23" t="n">
        <v>850.8</v>
      </c>
    </row>
    <row r="24">
      <c r="A24" t="s">
        <v>95</v>
      </c>
      <c r="B24" t="s">
        <v>318</v>
      </c>
      <c r="C24" t="s">
        <v>246</v>
      </c>
      <c r="D24" t="s">
        <v>319</v>
      </c>
      <c r="E24" t="s">
        <v>247</v>
      </c>
      <c r="F24" t="n">
        <v>1095.4</v>
      </c>
      <c r="G24" t="n">
        <v>1121.2</v>
      </c>
      <c r="H24" t="n">
        <v>1170.6</v>
      </c>
      <c r="I24" t="n">
        <v>1259.6</v>
      </c>
      <c r="J24" t="n">
        <v>1392.1</v>
      </c>
      <c r="K24" t="n">
        <v>1807</v>
      </c>
      <c r="L24" t="n">
        <v>2012.5</v>
      </c>
      <c r="M24" t="n">
        <v>2219.1</v>
      </c>
      <c r="N24" t="n">
        <v>2164.8</v>
      </c>
      <c r="O24" t="n">
        <v>2180.5</v>
      </c>
      <c r="P24" t="n">
        <v>2177.3</v>
      </c>
      <c r="Q24" t="n">
        <v>2221.2</v>
      </c>
      <c r="R24" t="n">
        <v>2272.4</v>
      </c>
      <c r="S24" t="n">
        <v>2217.9</v>
      </c>
      <c r="T24" t="n">
        <v>2139.5</v>
      </c>
      <c r="U24" t="n">
        <v>2096.9</v>
      </c>
      <c r="V24" t="n">
        <v>2134.5</v>
      </c>
      <c r="W24" t="n">
        <v>2369.8</v>
      </c>
      <c r="X24" t="n">
        <v>2235.1</v>
      </c>
      <c r="Y24" t="n">
        <v>2180.7</v>
      </c>
      <c r="Z24" t="n">
        <v>2242.7</v>
      </c>
      <c r="AA24" t="n">
        <v>2232.9</v>
      </c>
      <c r="AB24" t="n">
        <v>2309.2</v>
      </c>
      <c r="AC24" t="n">
        <v>2412</v>
      </c>
      <c r="AD24" t="n">
        <v>2502.2</v>
      </c>
      <c r="AE24" t="n">
        <v>2440.6</v>
      </c>
      <c r="AF24" t="n">
        <v>2424.1</v>
      </c>
    </row>
    <row r="25">
      <c r="A25" t="s">
        <v>95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95</v>
      </c>
      <c r="B28" t="s">
        <v>326</v>
      </c>
      <c r="C28" t="s">
        <v>246</v>
      </c>
      <c r="D28" t="s">
        <v>327</v>
      </c>
      <c r="E28" t="s">
        <v>247</v>
      </c>
      <c r="F28" t="n">
        <v>180.2</v>
      </c>
      <c r="G28" t="n">
        <v>252.7</v>
      </c>
      <c r="H28" t="n">
        <v>303.6</v>
      </c>
      <c r="I28" t="n">
        <v>276.3</v>
      </c>
      <c r="J28" t="n">
        <v>309.4</v>
      </c>
      <c r="K28" t="n">
        <v>379.3</v>
      </c>
      <c r="L28" t="n">
        <v>416.7</v>
      </c>
      <c r="M28" t="n">
        <v>468.4</v>
      </c>
      <c r="N28" t="n">
        <v>453.9</v>
      </c>
      <c r="O28" t="n">
        <v>442</v>
      </c>
      <c r="P28" t="n">
        <v>448.9</v>
      </c>
      <c r="Q28" t="n">
        <v>482.9</v>
      </c>
      <c r="R28" t="n">
        <v>481.5</v>
      </c>
      <c r="S28" t="n">
        <v>476.5</v>
      </c>
      <c r="T28" t="n">
        <v>485.2</v>
      </c>
      <c r="U28" t="n">
        <v>472.9</v>
      </c>
      <c r="V28" t="n">
        <v>474.9</v>
      </c>
      <c r="W28" t="n">
        <v>490</v>
      </c>
      <c r="X28" t="n">
        <v>478.5</v>
      </c>
      <c r="Y28" t="n">
        <v>432.2</v>
      </c>
      <c r="Z28" t="n">
        <v>490.3</v>
      </c>
      <c r="AA28" t="n">
        <v>470.3</v>
      </c>
      <c r="AB28" t="n">
        <v>434.5</v>
      </c>
      <c r="AC28" t="n">
        <v>398.4</v>
      </c>
      <c r="AD28" t="n">
        <v>411.5</v>
      </c>
      <c r="AE28" t="n">
        <v>433.5</v>
      </c>
      <c r="AF28" t="n">
        <v>525.7</v>
      </c>
    </row>
    <row r="29">
      <c r="A29" t="s">
        <v>95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95</v>
      </c>
      <c r="B34" t="s">
        <v>338</v>
      </c>
      <c r="C34" t="s">
        <v>246</v>
      </c>
      <c r="D34" t="s">
        <v>339</v>
      </c>
      <c r="E34" t="s">
        <v>247</v>
      </c>
      <c r="F34" t="n">
        <v>295.2</v>
      </c>
      <c r="G34" t="n">
        <v>290.2</v>
      </c>
      <c r="H34" t="n">
        <v>319.8</v>
      </c>
      <c r="I34" t="n">
        <v>383.5</v>
      </c>
      <c r="J34" t="n">
        <v>410.7</v>
      </c>
      <c r="K34" t="n">
        <v>502.7</v>
      </c>
      <c r="L34" t="n">
        <v>545.4</v>
      </c>
      <c r="M34" t="n">
        <v>634.1</v>
      </c>
      <c r="N34" t="n">
        <v>608.2</v>
      </c>
      <c r="O34" t="n">
        <v>636.4</v>
      </c>
      <c r="P34" t="n">
        <v>650.8</v>
      </c>
      <c r="Q34" t="n">
        <v>672.1</v>
      </c>
      <c r="R34" t="n">
        <v>673.5</v>
      </c>
      <c r="S34" t="n">
        <v>610.8</v>
      </c>
      <c r="T34" t="n">
        <v>603.9</v>
      </c>
      <c r="U34" t="n">
        <v>594.6</v>
      </c>
      <c r="V34" t="n">
        <v>608.7</v>
      </c>
      <c r="W34" t="n">
        <v>572.9</v>
      </c>
      <c r="X34" t="n">
        <v>527.6</v>
      </c>
      <c r="Y34" t="n">
        <v>479.9</v>
      </c>
      <c r="Z34" t="n">
        <v>486.9</v>
      </c>
      <c r="AA34" t="n">
        <v>526</v>
      </c>
      <c r="AB34" t="n">
        <v>530</v>
      </c>
      <c r="AC34" t="n">
        <v>616.8</v>
      </c>
      <c r="AD34" t="n">
        <v>619.6</v>
      </c>
      <c r="AE34" t="n">
        <v>574.7</v>
      </c>
      <c r="AF34" t="n">
        <v>575.1</v>
      </c>
    </row>
    <row r="35">
      <c r="A35" t="s">
        <v>95</v>
      </c>
      <c r="B35" t="s">
        <v>340</v>
      </c>
      <c r="C35" t="s">
        <v>246</v>
      </c>
      <c r="D35" t="s">
        <v>341</v>
      </c>
      <c r="E35" t="s">
        <v>247</v>
      </c>
      <c r="F35" t="n">
        <v>1461.8</v>
      </c>
      <c r="G35" t="n">
        <v>1676.2</v>
      </c>
      <c r="H35" t="n">
        <v>1922.4</v>
      </c>
      <c r="I35" t="n">
        <v>1945.2</v>
      </c>
      <c r="J35" t="n">
        <v>2188.4</v>
      </c>
      <c r="K35" t="n">
        <v>2949.6</v>
      </c>
      <c r="L35" t="n">
        <v>2938.9</v>
      </c>
      <c r="M35" t="n">
        <v>3205.3</v>
      </c>
      <c r="N35" t="n">
        <v>3176</v>
      </c>
      <c r="O35" t="n">
        <v>3353.4</v>
      </c>
      <c r="P35" t="n">
        <v>3584.7</v>
      </c>
      <c r="Q35" t="n">
        <v>3605</v>
      </c>
      <c r="R35" t="n">
        <v>3733.7</v>
      </c>
      <c r="S35" t="n">
        <v>3524.2</v>
      </c>
      <c r="T35" t="n">
        <v>3628.8</v>
      </c>
      <c r="U35" t="n">
        <v>3474.4</v>
      </c>
      <c r="V35" t="n">
        <v>3450.5</v>
      </c>
      <c r="W35" t="n">
        <v>3399.8</v>
      </c>
      <c r="X35" t="n">
        <v>3111.2</v>
      </c>
      <c r="Y35" t="n">
        <v>2936.7</v>
      </c>
      <c r="Z35" t="n">
        <v>3015.5</v>
      </c>
      <c r="AA35" t="n">
        <v>2994</v>
      </c>
      <c r="AB35" t="n">
        <v>2906.7</v>
      </c>
      <c r="AC35" t="n">
        <v>2769.9</v>
      </c>
      <c r="AD35" t="n">
        <v>2784.1</v>
      </c>
      <c r="AE35" t="n">
        <v>2787.6</v>
      </c>
      <c r="AF35" t="n">
        <v>2763.7</v>
      </c>
    </row>
    <row r="36">
      <c r="A36" t="s">
        <v>95</v>
      </c>
      <c r="B36" t="s">
        <v>342</v>
      </c>
      <c r="C36" t="s">
        <v>246</v>
      </c>
      <c r="D36" t="s">
        <v>343</v>
      </c>
      <c r="E36" t="s">
        <v>247</v>
      </c>
      <c r="F36" t="n">
        <v>52.8</v>
      </c>
      <c r="G36" t="n">
        <v>70.4</v>
      </c>
      <c r="H36" t="n">
        <v>71</v>
      </c>
      <c r="I36" t="n">
        <v>120.5</v>
      </c>
      <c r="J36" t="n">
        <v>133.3</v>
      </c>
      <c r="K36" t="n">
        <v>170.1</v>
      </c>
      <c r="L36" t="n">
        <v>189.4</v>
      </c>
      <c r="M36" t="n">
        <v>213.6</v>
      </c>
      <c r="N36" t="n">
        <v>205.1</v>
      </c>
      <c r="O36" t="n">
        <v>201.1</v>
      </c>
      <c r="P36" t="n">
        <v>208.3</v>
      </c>
      <c r="Q36" t="n">
        <v>205.4</v>
      </c>
      <c r="R36" t="n">
        <v>213</v>
      </c>
      <c r="S36" t="n">
        <v>214.8</v>
      </c>
      <c r="T36" t="n">
        <v>206.3</v>
      </c>
      <c r="U36" t="n">
        <v>200.1</v>
      </c>
      <c r="V36" t="n">
        <v>201.5</v>
      </c>
      <c r="W36" t="n">
        <v>261.8</v>
      </c>
      <c r="X36" t="n">
        <v>264.1</v>
      </c>
      <c r="Y36" t="n">
        <v>266.9</v>
      </c>
      <c r="Z36" t="n">
        <v>266.6</v>
      </c>
      <c r="AA36" t="n">
        <v>254.5</v>
      </c>
      <c r="AB36" t="n">
        <v>236.1</v>
      </c>
      <c r="AC36" t="n">
        <v>234.6</v>
      </c>
      <c r="AD36" t="n">
        <v>264</v>
      </c>
      <c r="AE36" t="n">
        <v>278.3</v>
      </c>
      <c r="AF36"/>
    </row>
    <row r="37">
      <c r="A37" t="s">
        <v>95</v>
      </c>
      <c r="B37" t="s">
        <v>344</v>
      </c>
      <c r="C37" t="s">
        <v>246</v>
      </c>
      <c r="D37" t="s">
        <v>345</v>
      </c>
      <c r="E37" t="s">
        <v>247</v>
      </c>
      <c r="F37" t="n">
        <v>560.9</v>
      </c>
      <c r="G37" t="n">
        <v>798.9</v>
      </c>
      <c r="H37" t="n">
        <v>1005.4</v>
      </c>
      <c r="I37" t="n">
        <v>901.5</v>
      </c>
      <c r="J37" t="n">
        <v>998.4</v>
      </c>
      <c r="K37" t="n">
        <v>1474.9</v>
      </c>
      <c r="L37" t="n">
        <v>1455.4</v>
      </c>
      <c r="M37" t="n">
        <v>1524.5</v>
      </c>
      <c r="N37" t="n">
        <v>1412.7</v>
      </c>
      <c r="O37" t="n">
        <v>1496</v>
      </c>
      <c r="P37" t="n">
        <v>1758.1</v>
      </c>
      <c r="Q37" t="n">
        <v>1749.1</v>
      </c>
      <c r="R37" t="n">
        <v>1803.4</v>
      </c>
      <c r="S37" t="n">
        <v>1635.8</v>
      </c>
      <c r="T37" t="n">
        <v>1640</v>
      </c>
      <c r="U37" t="n">
        <v>1550.6</v>
      </c>
      <c r="V37" t="n">
        <v>1524.7</v>
      </c>
      <c r="W37" t="n">
        <v>1389.2</v>
      </c>
      <c r="X37" t="n">
        <v>1226.7</v>
      </c>
      <c r="Y37" t="n">
        <v>1112.4</v>
      </c>
      <c r="Z37" t="n">
        <v>974.4</v>
      </c>
      <c r="AA37" t="n">
        <v>939.1</v>
      </c>
      <c r="AB37" t="n">
        <v>836.7</v>
      </c>
      <c r="AC37" t="n">
        <v>841.4</v>
      </c>
      <c r="AD37" t="n">
        <v>836.7</v>
      </c>
      <c r="AE37" t="n">
        <v>777.7</v>
      </c>
      <c r="AF37"/>
    </row>
    <row r="38">
      <c r="A38" t="s">
        <v>95</v>
      </c>
      <c r="B38" t="s">
        <v>346</v>
      </c>
      <c r="C38" t="s">
        <v>246</v>
      </c>
      <c r="D38" t="s">
        <v>347</v>
      </c>
      <c r="E38" t="s">
        <v>247</v>
      </c>
      <c r="F38" t="n">
        <v>848.1</v>
      </c>
      <c r="G38" t="n">
        <v>806.9</v>
      </c>
      <c r="H38" t="n">
        <v>846</v>
      </c>
      <c r="I38" t="n">
        <v>923.2</v>
      </c>
      <c r="J38" t="n">
        <v>1056.7</v>
      </c>
      <c r="K38" t="n">
        <v>1304.6</v>
      </c>
      <c r="L38" t="n">
        <v>1294.1</v>
      </c>
      <c r="M38" t="n">
        <v>1467.2</v>
      </c>
      <c r="N38" t="n">
        <v>1558.2</v>
      </c>
      <c r="O38" t="n">
        <v>1656.3</v>
      </c>
      <c r="P38" t="n">
        <v>1618.3</v>
      </c>
      <c r="Q38" t="n">
        <v>1650.5</v>
      </c>
      <c r="R38" t="n">
        <v>1717.3</v>
      </c>
      <c r="S38" t="n">
        <v>1673.6</v>
      </c>
      <c r="T38" t="n">
        <v>1782.5</v>
      </c>
      <c r="U38" t="n">
        <v>1723.7</v>
      </c>
      <c r="V38" t="n">
        <v>1724.3</v>
      </c>
      <c r="W38" t="n">
        <v>1748.8</v>
      </c>
      <c r="X38" t="n">
        <v>1620.4</v>
      </c>
      <c r="Y38" t="n">
        <v>1557.4</v>
      </c>
      <c r="Z38" t="n">
        <v>1774.5</v>
      </c>
      <c r="AA38" t="n">
        <v>1800.4</v>
      </c>
      <c r="AB38" t="n">
        <v>1833.9</v>
      </c>
      <c r="AC38" t="n">
        <v>1693.9</v>
      </c>
      <c r="AD38" t="n">
        <v>1683.4</v>
      </c>
      <c r="AE38" t="n">
        <v>1731.6</v>
      </c>
      <c r="AF38"/>
    </row>
    <row r="39">
      <c r="A39" t="s">
        <v>95</v>
      </c>
      <c r="B39" t="s">
        <v>348</v>
      </c>
      <c r="C39" t="s">
        <v>246</v>
      </c>
      <c r="D39" t="s">
        <v>349</v>
      </c>
      <c r="E39" t="s">
        <v>247</v>
      </c>
      <c r="F39" t="n">
        <v>601.9</v>
      </c>
      <c r="G39" t="n">
        <v>600.4</v>
      </c>
      <c r="H39" t="n">
        <v>569.2</v>
      </c>
      <c r="I39" t="n">
        <v>645.4</v>
      </c>
      <c r="J39" t="n">
        <v>729.4</v>
      </c>
      <c r="K39" t="n">
        <v>856.2</v>
      </c>
      <c r="L39" t="n">
        <v>920.1</v>
      </c>
      <c r="M39" t="n">
        <v>1011.1</v>
      </c>
      <c r="N39" t="n">
        <v>1020.2</v>
      </c>
      <c r="O39" t="n">
        <v>1072.1</v>
      </c>
      <c r="P39" t="n">
        <v>1081</v>
      </c>
      <c r="Q39" t="n">
        <v>1078.4</v>
      </c>
      <c r="R39" t="n">
        <v>1029.7</v>
      </c>
      <c r="S39" t="n">
        <v>1173.5</v>
      </c>
      <c r="T39" t="n">
        <v>1068.9</v>
      </c>
      <c r="U39" t="n">
        <v>1227.7</v>
      </c>
      <c r="V39" t="n">
        <v>1189.2</v>
      </c>
      <c r="W39" t="n">
        <v>1110.5</v>
      </c>
      <c r="X39" t="n">
        <v>1004.9</v>
      </c>
      <c r="Y39" t="n">
        <v>856.8</v>
      </c>
      <c r="Z39" t="n">
        <v>821.9</v>
      </c>
      <c r="AA39" t="n">
        <v>803.9</v>
      </c>
      <c r="AB39" t="n">
        <v>732</v>
      </c>
      <c r="AC39" t="n">
        <v>656.2</v>
      </c>
      <c r="AD39" t="n">
        <v>643.1</v>
      </c>
      <c r="AE39" t="n">
        <v>639.1</v>
      </c>
      <c r="AF39" t="n">
        <v>649.7</v>
      </c>
    </row>
    <row r="40">
      <c r="A40" t="s">
        <v>95</v>
      </c>
      <c r="B40" t="s">
        <v>350</v>
      </c>
      <c r="C40" t="s">
        <v>246</v>
      </c>
      <c r="D40" t="s">
        <v>351</v>
      </c>
      <c r="E40" t="s">
        <v>247</v>
      </c>
      <c r="F40" t="n">
        <v>67.6</v>
      </c>
      <c r="G40" t="n">
        <v>66.4</v>
      </c>
      <c r="H40" t="n">
        <v>64.7</v>
      </c>
      <c r="I40" t="n">
        <v>69.8</v>
      </c>
      <c r="J40" t="n">
        <v>81.5</v>
      </c>
      <c r="K40" t="n">
        <v>97.1</v>
      </c>
      <c r="L40" t="n">
        <v>103.5</v>
      </c>
      <c r="M40" t="n">
        <v>110.4</v>
      </c>
      <c r="N40" t="n">
        <v>112.2</v>
      </c>
      <c r="O40" t="n">
        <v>116.3</v>
      </c>
      <c r="P40" t="n">
        <v>138.3</v>
      </c>
      <c r="Q40" t="n">
        <v>132.9</v>
      </c>
      <c r="R40" t="n">
        <v>119.6</v>
      </c>
      <c r="S40" t="n">
        <v>107</v>
      </c>
      <c r="T40" t="n">
        <v>100.7</v>
      </c>
      <c r="U40" t="n">
        <v>120.2</v>
      </c>
      <c r="V40" t="n">
        <v>118.7</v>
      </c>
      <c r="W40" t="n">
        <v>139.7</v>
      </c>
      <c r="X40" t="n">
        <v>139.5</v>
      </c>
      <c r="Y40" t="n">
        <v>127.3</v>
      </c>
      <c r="Z40" t="n">
        <v>128.1</v>
      </c>
      <c r="AA40" t="n">
        <v>162.8</v>
      </c>
      <c r="AB40" t="n">
        <v>163</v>
      </c>
      <c r="AC40" t="n">
        <v>155.3</v>
      </c>
      <c r="AD40" t="n">
        <v>268.9</v>
      </c>
      <c r="AE40" t="n">
        <v>317.9</v>
      </c>
      <c r="AF40" t="n">
        <v>357.3</v>
      </c>
    </row>
    <row r="41">
      <c r="A41" t="s">
        <v>95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95</v>
      </c>
      <c r="B42" t="s">
        <v>354</v>
      </c>
      <c r="C42" t="s">
        <v>246</v>
      </c>
      <c r="D42" t="s">
        <v>355</v>
      </c>
      <c r="E42" t="s">
        <v>247</v>
      </c>
      <c r="F42" t="n">
        <v>1130.3</v>
      </c>
      <c r="G42" t="n">
        <v>1082.5</v>
      </c>
      <c r="H42" t="n">
        <v>1113.2</v>
      </c>
      <c r="I42" t="n">
        <v>1191</v>
      </c>
      <c r="J42" t="n">
        <v>1337.9</v>
      </c>
      <c r="K42" t="n">
        <v>1677.9</v>
      </c>
      <c r="L42" t="n">
        <v>1872.2</v>
      </c>
      <c r="M42" t="n">
        <v>2084.8</v>
      </c>
      <c r="N42" t="n">
        <v>2033.6</v>
      </c>
      <c r="O42" t="n">
        <v>1971.1</v>
      </c>
      <c r="P42" t="n">
        <v>1977.4</v>
      </c>
      <c r="Q42" t="n">
        <v>2066.1</v>
      </c>
      <c r="R42" t="n">
        <v>2057.9</v>
      </c>
      <c r="S42" t="n">
        <v>1990.4</v>
      </c>
      <c r="T42" t="n">
        <v>2008.9</v>
      </c>
      <c r="U42" t="n">
        <v>1966.9</v>
      </c>
      <c r="V42" t="n">
        <v>1975.9</v>
      </c>
      <c r="W42" t="n">
        <v>1901.6</v>
      </c>
      <c r="X42" t="n">
        <v>1873.2</v>
      </c>
      <c r="Y42" t="n">
        <v>1833.6</v>
      </c>
      <c r="Z42" t="n">
        <v>1878.4</v>
      </c>
      <c r="AA42" t="n">
        <v>2049.2</v>
      </c>
      <c r="AB42" t="n">
        <v>1965.8</v>
      </c>
      <c r="AC42" t="n">
        <v>1829.1</v>
      </c>
      <c r="AD42" t="n">
        <v>1796.4</v>
      </c>
      <c r="AE42" t="n">
        <v>1747.2</v>
      </c>
      <c r="AF42" t="n">
        <v>1755.9</v>
      </c>
    </row>
    <row r="43">
      <c r="A43" t="s">
        <v>95</v>
      </c>
      <c r="B43" t="s">
        <v>356</v>
      </c>
      <c r="C43" t="s">
        <v>246</v>
      </c>
      <c r="D43" t="s">
        <v>357</v>
      </c>
      <c r="E43" t="s">
        <v>247</v>
      </c>
      <c r="F43" t="n">
        <v>1310.1</v>
      </c>
      <c r="G43" t="n">
        <v>1262.8</v>
      </c>
      <c r="H43" t="n">
        <v>1305.8</v>
      </c>
      <c r="I43" t="n">
        <v>1397.4</v>
      </c>
      <c r="J43" t="n">
        <v>1574.2</v>
      </c>
      <c r="K43" t="n">
        <v>1977.4</v>
      </c>
      <c r="L43" t="n">
        <v>2204.2</v>
      </c>
      <c r="M43" t="n">
        <v>2457.9</v>
      </c>
      <c r="N43" t="n">
        <v>2395.7</v>
      </c>
      <c r="O43" t="n">
        <v>2322.2</v>
      </c>
      <c r="P43" t="n">
        <v>2324.4</v>
      </c>
      <c r="Q43" t="n">
        <v>2427.4</v>
      </c>
      <c r="R43" t="n">
        <v>2423.9</v>
      </c>
      <c r="S43" t="n">
        <v>2364.9</v>
      </c>
      <c r="T43" t="n">
        <v>2378.3</v>
      </c>
      <c r="U43" t="n">
        <v>2328.8</v>
      </c>
      <c r="V43" t="n">
        <v>2341</v>
      </c>
      <c r="W43" t="n">
        <v>2318.2</v>
      </c>
      <c r="X43" t="n">
        <v>2295.1</v>
      </c>
      <c r="Y43" t="n">
        <v>2262.2</v>
      </c>
      <c r="Z43" t="n">
        <v>2361</v>
      </c>
      <c r="AA43" t="n">
        <v>2552.4</v>
      </c>
      <c r="AB43" t="n">
        <v>2433.7</v>
      </c>
      <c r="AC43" t="n">
        <v>2287.1</v>
      </c>
      <c r="AD43" t="n">
        <v>2286.7</v>
      </c>
      <c r="AE43" t="n">
        <v>2232.9</v>
      </c>
      <c r="AF43" t="n">
        <v>2205.2</v>
      </c>
    </row>
    <row r="44">
      <c r="A44" t="s">
        <v>95</v>
      </c>
      <c r="B44" t="s">
        <v>358</v>
      </c>
      <c r="C44" t="s">
        <v>246</v>
      </c>
      <c r="D44" t="s">
        <v>359</v>
      </c>
      <c r="E44" t="s">
        <v>247</v>
      </c>
      <c r="F44" t="n">
        <v>7806.4</v>
      </c>
      <c r="G44" t="n">
        <v>8139.5</v>
      </c>
      <c r="H44" t="n">
        <v>8870.2</v>
      </c>
      <c r="I44" t="n">
        <v>9344.6</v>
      </c>
      <c r="J44" t="n">
        <v>10377.8</v>
      </c>
      <c r="K44" t="n">
        <v>12960.4</v>
      </c>
      <c r="L44" t="n">
        <v>13942.1</v>
      </c>
      <c r="M44" t="n">
        <v>15340.2</v>
      </c>
      <c r="N44" t="n">
        <v>14890.3</v>
      </c>
      <c r="O44" t="n">
        <v>15042.8</v>
      </c>
      <c r="P44" t="n">
        <v>15314.6</v>
      </c>
      <c r="Q44" t="n">
        <v>15618.4</v>
      </c>
      <c r="R44" t="n">
        <v>15821.8</v>
      </c>
      <c r="S44" t="n">
        <v>15439.5</v>
      </c>
      <c r="T44" t="n">
        <v>15345.6</v>
      </c>
      <c r="U44" t="n">
        <v>15117.2</v>
      </c>
      <c r="V44" t="n">
        <v>15186.1</v>
      </c>
      <c r="W44" t="n">
        <v>15402.6</v>
      </c>
      <c r="X44" t="n">
        <v>14593.3</v>
      </c>
      <c r="Y44" t="n">
        <v>14198.1</v>
      </c>
      <c r="Z44" t="n">
        <v>14728.8</v>
      </c>
      <c r="AA44" t="n">
        <v>15073.3</v>
      </c>
      <c r="AB44" t="n">
        <v>15154.4</v>
      </c>
      <c r="AC44" t="n">
        <v>15176.7</v>
      </c>
      <c r="AD44" t="n">
        <v>15733.9</v>
      </c>
      <c r="AE44" t="n">
        <v>15593.9</v>
      </c>
      <c r="AF44" t="n">
        <v>15761.7</v>
      </c>
    </row>
    <row r="45">
      <c r="A45" t="s">
        <v>95</v>
      </c>
      <c r="B45" t="s">
        <v>360</v>
      </c>
      <c r="C45" t="s">
        <v>246</v>
      </c>
      <c r="D45" t="s">
        <v>361</v>
      </c>
      <c r="E45" t="s">
        <v>247</v>
      </c>
      <c r="F45" t="n">
        <v>7738.1</v>
      </c>
      <c r="G45" t="n">
        <v>8068.1</v>
      </c>
      <c r="H45" t="n">
        <v>8802.7</v>
      </c>
      <c r="I45" t="n">
        <v>9273</v>
      </c>
      <c r="J45" t="n">
        <v>10299.8</v>
      </c>
      <c r="K45" t="n">
        <v>12868.1</v>
      </c>
      <c r="L45" t="n">
        <v>13841.1</v>
      </c>
      <c r="M45" t="n">
        <v>15231.4</v>
      </c>
      <c r="N45" t="n">
        <v>14776.7</v>
      </c>
      <c r="O45" t="n">
        <v>14925.5</v>
      </c>
      <c r="P45" t="n">
        <v>15194.3</v>
      </c>
      <c r="Q45" t="n">
        <v>15494.1</v>
      </c>
      <c r="R45" t="n">
        <v>15698</v>
      </c>
      <c r="S45" t="n">
        <v>15319.3</v>
      </c>
      <c r="T45" t="n">
        <v>15209.4</v>
      </c>
      <c r="U45" t="n">
        <v>14990.4</v>
      </c>
      <c r="V45" t="n">
        <v>15058.7</v>
      </c>
      <c r="W45" t="n">
        <v>15284.5</v>
      </c>
      <c r="X45" t="n">
        <v>14491.1</v>
      </c>
      <c r="Y45" t="n">
        <v>14110.5</v>
      </c>
      <c r="Z45" t="n">
        <v>14645</v>
      </c>
      <c r="AA45" t="n">
        <v>14990.3</v>
      </c>
      <c r="AB45" t="n">
        <v>15073.8</v>
      </c>
      <c r="AC45" t="n">
        <v>15096.6</v>
      </c>
      <c r="AD45" t="n">
        <v>15648.2</v>
      </c>
      <c r="AE45" t="n">
        <v>15507.5</v>
      </c>
      <c r="AF45" t="n">
        <v>15670.6</v>
      </c>
    </row>
    <row r="46">
      <c r="A46" t="s">
        <v>95</v>
      </c>
      <c r="B46" t="s">
        <v>362</v>
      </c>
      <c r="C46" t="s">
        <v>246</v>
      </c>
      <c r="D46" t="s">
        <v>363</v>
      </c>
      <c r="E46" t="s">
        <v>247</v>
      </c>
      <c r="F46" t="n">
        <v>179.8</v>
      </c>
      <c r="G46" t="n">
        <v>180.3</v>
      </c>
      <c r="H46" t="n">
        <v>192.6</v>
      </c>
      <c r="I46" t="n">
        <v>206.4</v>
      </c>
      <c r="J46" t="n">
        <v>236.3</v>
      </c>
      <c r="K46" t="n">
        <v>299.5</v>
      </c>
      <c r="L46" t="n">
        <v>332</v>
      </c>
      <c r="M46" t="n">
        <v>373.1</v>
      </c>
      <c r="N46" t="n">
        <v>362.1</v>
      </c>
      <c r="O46" t="n">
        <v>351.1</v>
      </c>
      <c r="P46" t="n">
        <v>347</v>
      </c>
      <c r="Q46" t="n">
        <v>361.3</v>
      </c>
      <c r="R46" t="n">
        <v>366</v>
      </c>
      <c r="S46" t="n">
        <v>374.5</v>
      </c>
      <c r="T46" t="n">
        <v>369.4</v>
      </c>
      <c r="U46" t="n">
        <v>361.9</v>
      </c>
      <c r="V46" t="n">
        <v>365.1</v>
      </c>
      <c r="W46" t="n">
        <v>416.6</v>
      </c>
      <c r="X46" t="n">
        <v>421.9</v>
      </c>
      <c r="Y46" t="n">
        <v>428.6</v>
      </c>
      <c r="Z46" t="n">
        <v>482.6</v>
      </c>
      <c r="AA46" t="n">
        <v>503.2</v>
      </c>
      <c r="AB46" t="n">
        <v>467.9</v>
      </c>
      <c r="AC46" t="n">
        <v>458</v>
      </c>
      <c r="AD46" t="n">
        <v>490.3</v>
      </c>
      <c r="AE46" t="n">
        <v>485.7</v>
      </c>
      <c r="AF46" t="n">
        <v>449.3</v>
      </c>
    </row>
    <row r="47">
      <c r="A47" t="s">
        <v>95</v>
      </c>
      <c r="B47" t="s">
        <v>364</v>
      </c>
      <c r="C47" t="s">
        <v>246</v>
      </c>
      <c r="D47" t="s">
        <v>365</v>
      </c>
      <c r="E47" t="s">
        <v>247</v>
      </c>
      <c r="F47" t="n">
        <v>635</v>
      </c>
      <c r="G47" t="n">
        <v>659.7</v>
      </c>
      <c r="H47" t="n">
        <v>707.1</v>
      </c>
      <c r="I47" t="n">
        <v>748.1</v>
      </c>
      <c r="J47" t="n">
        <v>866.5</v>
      </c>
      <c r="K47" t="n">
        <v>983.9</v>
      </c>
      <c r="L47" t="n">
        <v>1025.9</v>
      </c>
      <c r="M47" t="n">
        <v>1123.9</v>
      </c>
      <c r="N47" t="n">
        <v>1228.3</v>
      </c>
      <c r="O47" t="n">
        <v>1256.3</v>
      </c>
      <c r="P47" t="n">
        <v>1323.1</v>
      </c>
      <c r="Q47" t="n">
        <v>1413.5</v>
      </c>
      <c r="R47" t="n">
        <v>1505.2</v>
      </c>
      <c r="S47" t="n">
        <v>1623.9</v>
      </c>
      <c r="T47" t="n">
        <v>1905.7</v>
      </c>
      <c r="U47" t="n">
        <v>1847.8</v>
      </c>
      <c r="V47" t="n">
        <v>1811.6</v>
      </c>
      <c r="W47" t="n">
        <v>1685.1</v>
      </c>
      <c r="X47" t="n">
        <v>1457.5</v>
      </c>
      <c r="Y47" t="n">
        <v>1213.9</v>
      </c>
      <c r="Z47" t="n">
        <v>1120.1</v>
      </c>
      <c r="AA47" t="n">
        <v>1081.1</v>
      </c>
      <c r="AB47" t="n">
        <v>1034.6</v>
      </c>
      <c r="AC47" t="n">
        <v>991.5</v>
      </c>
      <c r="AD47" t="n">
        <v>1017.7</v>
      </c>
      <c r="AE47" t="n">
        <v>1038.9</v>
      </c>
      <c r="AF47" t="n">
        <v>1099.1</v>
      </c>
    </row>
    <row r="48">
      <c r="A48" t="s">
        <v>95</v>
      </c>
      <c r="B48" t="s">
        <v>366</v>
      </c>
      <c r="C48" t="s">
        <v>246</v>
      </c>
      <c r="D48" t="s">
        <v>367</v>
      </c>
      <c r="E48" t="s">
        <v>247</v>
      </c>
      <c r="F48" t="n">
        <v>1007.1</v>
      </c>
      <c r="G48" t="n">
        <v>999.6</v>
      </c>
      <c r="H48" t="n">
        <v>1021.2</v>
      </c>
      <c r="I48" t="n">
        <v>1072.1</v>
      </c>
      <c r="J48" t="n">
        <v>1232.4</v>
      </c>
      <c r="K48" t="n">
        <v>1424.3</v>
      </c>
      <c r="L48" t="n">
        <v>1517.2</v>
      </c>
      <c r="M48" t="n">
        <v>1676.2</v>
      </c>
      <c r="N48" t="n">
        <v>1772.5</v>
      </c>
      <c r="O48" t="n">
        <v>1808.6</v>
      </c>
      <c r="P48" t="n">
        <v>1898.2</v>
      </c>
      <c r="Q48" t="n">
        <v>2027</v>
      </c>
      <c r="R48" t="n">
        <v>2115.7</v>
      </c>
      <c r="S48" t="n">
        <v>2205</v>
      </c>
      <c r="T48" t="n">
        <v>2515.3</v>
      </c>
      <c r="U48" t="n">
        <v>2469.7</v>
      </c>
      <c r="V48" t="n">
        <v>2456.3</v>
      </c>
      <c r="W48" t="n">
        <v>2336.6</v>
      </c>
      <c r="X48" t="n">
        <v>2096.1</v>
      </c>
      <c r="Y48" t="n">
        <v>1855.5</v>
      </c>
      <c r="Z48" t="n">
        <v>1898.2</v>
      </c>
      <c r="AA48" t="n">
        <v>1901.7</v>
      </c>
      <c r="AB48" t="n">
        <v>2020.6</v>
      </c>
      <c r="AC48" t="n">
        <v>1996.5</v>
      </c>
      <c r="AD48" t="n">
        <v>2219</v>
      </c>
      <c r="AE48" t="n">
        <v>2559</v>
      </c>
      <c r="AF48" t="n">
        <v>2733.9</v>
      </c>
    </row>
    <row r="49">
      <c r="A49" t="s">
        <v>95</v>
      </c>
      <c r="B49" t="s">
        <v>368</v>
      </c>
      <c r="C49" t="s">
        <v>246</v>
      </c>
      <c r="D49" t="s">
        <v>369</v>
      </c>
      <c r="E49" t="s">
        <v>247</v>
      </c>
      <c r="F49" t="n">
        <v>56.2</v>
      </c>
      <c r="G49" t="n">
        <v>63.8</v>
      </c>
      <c r="H49" t="n">
        <v>71.1</v>
      </c>
      <c r="I49" t="n">
        <v>84.3</v>
      </c>
      <c r="J49" t="n">
        <v>97.1</v>
      </c>
      <c r="K49" t="n">
        <v>118</v>
      </c>
      <c r="L49" t="n">
        <v>129.9</v>
      </c>
      <c r="M49" t="n">
        <v>158.2</v>
      </c>
      <c r="N49" t="n">
        <v>154.5</v>
      </c>
      <c r="O49" t="n">
        <v>167.4</v>
      </c>
      <c r="P49" t="n">
        <v>170.3</v>
      </c>
      <c r="Q49" t="n">
        <v>191.1</v>
      </c>
      <c r="R49" t="n">
        <v>187.9</v>
      </c>
      <c r="S49" t="n">
        <v>180.3</v>
      </c>
      <c r="T49" t="n">
        <v>185.8</v>
      </c>
      <c r="U49" t="n">
        <v>180.7</v>
      </c>
      <c r="V49" t="n">
        <v>179.4</v>
      </c>
      <c r="W49" t="n">
        <v>173.2</v>
      </c>
      <c r="X49" t="n">
        <v>153.3</v>
      </c>
      <c r="Y49" t="n">
        <v>156.4</v>
      </c>
      <c r="Z49" t="n">
        <v>176.7</v>
      </c>
      <c r="AA49" t="n">
        <v>168.6</v>
      </c>
      <c r="AB49" t="n">
        <v>205.4</v>
      </c>
      <c r="AC49" t="n">
        <v>237.7</v>
      </c>
      <c r="AD49" t="n">
        <v>244.4</v>
      </c>
      <c r="AE49" t="n">
        <v>456.7</v>
      </c>
      <c r="AF49" t="n">
        <v>403.4</v>
      </c>
    </row>
    <row r="50">
      <c r="A50" t="s">
        <v>95</v>
      </c>
      <c r="B50" t="s">
        <v>370</v>
      </c>
      <c r="C50" t="s">
        <v>246</v>
      </c>
      <c r="D50" t="s">
        <v>371</v>
      </c>
      <c r="E50" t="s">
        <v>247</v>
      </c>
      <c r="F50" t="n">
        <v>315.9</v>
      </c>
      <c r="G50" t="n">
        <v>276.1</v>
      </c>
      <c r="H50" t="n">
        <v>243</v>
      </c>
      <c r="I50" t="n">
        <v>239.8</v>
      </c>
      <c r="J50" t="n">
        <v>268.8</v>
      </c>
      <c r="K50" t="n">
        <v>322.4</v>
      </c>
      <c r="L50" t="n">
        <v>361.4</v>
      </c>
      <c r="M50" t="n">
        <v>394.2</v>
      </c>
      <c r="N50" t="n">
        <v>389.8</v>
      </c>
      <c r="O50" t="n">
        <v>384.9</v>
      </c>
      <c r="P50" t="n">
        <v>404.8</v>
      </c>
      <c r="Q50" t="n">
        <v>422.4</v>
      </c>
      <c r="R50" t="n">
        <v>422.7</v>
      </c>
      <c r="S50" t="n">
        <v>400.8</v>
      </c>
      <c r="T50" t="n">
        <v>423.9</v>
      </c>
      <c r="U50" t="n">
        <v>441.2</v>
      </c>
      <c r="V50" t="n">
        <v>465.3</v>
      </c>
      <c r="W50" t="n">
        <v>478.3</v>
      </c>
      <c r="X50" t="n">
        <v>485.3</v>
      </c>
      <c r="Y50" t="n">
        <v>485.2</v>
      </c>
      <c r="Z50" t="n">
        <v>601.4</v>
      </c>
      <c r="AA50" t="n">
        <v>652.1</v>
      </c>
      <c r="AB50" t="n">
        <v>780.6</v>
      </c>
      <c r="AC50" t="n">
        <v>767.3</v>
      </c>
      <c r="AD50" t="n">
        <v>956.8</v>
      </c>
      <c r="AE50" t="n">
        <v>1063.4</v>
      </c>
      <c r="AF50" t="n">
        <v>1231.5</v>
      </c>
    </row>
    <row r="51">
      <c r="A51" t="s">
        <v>95</v>
      </c>
      <c r="B51" t="s">
        <v>372</v>
      </c>
      <c r="C51" t="s">
        <v>246</v>
      </c>
      <c r="D51" t="s">
        <v>373</v>
      </c>
      <c r="E51" t="s">
        <v>247</v>
      </c>
      <c r="F51" t="n">
        <v>297.8</v>
      </c>
      <c r="G51" t="n">
        <v>261.1</v>
      </c>
      <c r="H51" t="n">
        <v>230.4</v>
      </c>
      <c r="I51" t="n">
        <v>227.6</v>
      </c>
      <c r="J51" t="n">
        <v>254.3</v>
      </c>
      <c r="K51" t="n">
        <v>304.7</v>
      </c>
      <c r="L51" t="n">
        <v>340.6</v>
      </c>
      <c r="M51" t="n">
        <v>370.6</v>
      </c>
      <c r="N51" t="n">
        <v>367.5</v>
      </c>
      <c r="O51" t="n">
        <v>362.5</v>
      </c>
      <c r="P51" t="n">
        <v>381.6</v>
      </c>
      <c r="Q51" t="n">
        <v>398.1</v>
      </c>
      <c r="R51" t="n">
        <v>397.3</v>
      </c>
      <c r="S51" t="n">
        <v>376.7</v>
      </c>
      <c r="T51" t="n">
        <v>399.2</v>
      </c>
      <c r="U51" t="n">
        <v>418.4</v>
      </c>
      <c r="V51" t="n">
        <v>442.2</v>
      </c>
      <c r="W51" t="n">
        <v>451.5</v>
      </c>
      <c r="X51" t="n">
        <v>452.1</v>
      </c>
      <c r="Y51" t="n">
        <v>440.1</v>
      </c>
      <c r="Z51" t="n">
        <v>550.3</v>
      </c>
      <c r="AA51" t="n">
        <v>591.4</v>
      </c>
      <c r="AB51" t="n">
        <v>718.6</v>
      </c>
      <c r="AC51" t="n">
        <v>708.5</v>
      </c>
      <c r="AD51" t="n">
        <v>893.1</v>
      </c>
      <c r="AE51" t="n">
        <v>999.2</v>
      </c>
      <c r="AF51"/>
    </row>
    <row r="52">
      <c r="A52" t="s">
        <v>95</v>
      </c>
      <c r="B52" t="s">
        <v>374</v>
      </c>
      <c r="C52" t="s">
        <v>246</v>
      </c>
      <c r="D52" t="s">
        <v>375</v>
      </c>
      <c r="E52" t="s">
        <v>247</v>
      </c>
      <c r="F52" t="n">
        <v>18.1</v>
      </c>
      <c r="G52" t="n">
        <v>15</v>
      </c>
      <c r="H52" t="n">
        <v>12.6</v>
      </c>
      <c r="I52" t="n">
        <v>12.2</v>
      </c>
      <c r="J52" t="n">
        <v>14.5</v>
      </c>
      <c r="K52" t="n">
        <v>17.7</v>
      </c>
      <c r="L52" t="n">
        <v>20.8</v>
      </c>
      <c r="M52" t="n">
        <v>23.6</v>
      </c>
      <c r="N52" t="n">
        <v>22.3</v>
      </c>
      <c r="O52" t="n">
        <v>22.4</v>
      </c>
      <c r="P52" t="n">
        <v>23.2</v>
      </c>
      <c r="Q52" t="n">
        <v>24.3</v>
      </c>
      <c r="R52" t="n">
        <v>25.4</v>
      </c>
      <c r="S52" t="n">
        <v>24.1</v>
      </c>
      <c r="T52" t="n">
        <v>24.7</v>
      </c>
      <c r="U52" t="n">
        <v>22.8</v>
      </c>
      <c r="V52" t="n">
        <v>23.1</v>
      </c>
      <c r="W52" t="n">
        <v>26.8</v>
      </c>
      <c r="X52" t="n">
        <v>33.2</v>
      </c>
      <c r="Y52" t="n">
        <v>45.1</v>
      </c>
      <c r="Z52" t="n">
        <v>51.1</v>
      </c>
      <c r="AA52" t="n">
        <v>60.7</v>
      </c>
      <c r="AB52" t="n">
        <v>62</v>
      </c>
      <c r="AC52" t="n">
        <v>58.8</v>
      </c>
      <c r="AD52" t="n">
        <v>63.7</v>
      </c>
      <c r="AE52" t="n">
        <v>64.2</v>
      </c>
      <c r="AF52"/>
    </row>
    <row r="53">
      <c r="A53" t="s">
        <v>95</v>
      </c>
      <c r="B53" t="s">
        <v>376</v>
      </c>
      <c r="C53" t="s">
        <v>246</v>
      </c>
      <c r="D53" t="s">
        <v>377</v>
      </c>
      <c r="E53" t="s">
        <v>247</v>
      </c>
      <c r="F53" t="n">
        <v>74.8</v>
      </c>
      <c r="G53" t="n">
        <v>108.4</v>
      </c>
      <c r="H53" t="n">
        <v>113.7</v>
      </c>
      <c r="I53" t="n">
        <v>192.6</v>
      </c>
      <c r="J53" t="n">
        <v>215.2</v>
      </c>
      <c r="K53" t="n">
        <v>251.5</v>
      </c>
      <c r="L53" t="n">
        <v>279.2</v>
      </c>
      <c r="M53" t="n">
        <v>304.5</v>
      </c>
      <c r="N53" t="n">
        <v>292</v>
      </c>
      <c r="O53" t="n">
        <v>275.8</v>
      </c>
      <c r="P53" t="n">
        <v>293</v>
      </c>
      <c r="Q53" t="n">
        <v>288.4</v>
      </c>
      <c r="R53" t="n">
        <v>296.5</v>
      </c>
      <c r="S53" t="n">
        <v>280.2</v>
      </c>
      <c r="T53" t="n">
        <v>279.7</v>
      </c>
      <c r="U53" t="n">
        <v>273.5</v>
      </c>
      <c r="V53" t="n">
        <v>273.3</v>
      </c>
      <c r="W53" t="n">
        <v>263.7</v>
      </c>
      <c r="X53" t="n">
        <v>244.5</v>
      </c>
      <c r="Y53" t="n">
        <v>249.3</v>
      </c>
      <c r="Z53" t="n">
        <v>266.5</v>
      </c>
      <c r="AA53" t="n">
        <v>276.9</v>
      </c>
      <c r="AB53" t="n">
        <v>265.6</v>
      </c>
      <c r="AC53" t="n">
        <v>263.1</v>
      </c>
      <c r="AD53" t="n">
        <v>293.4</v>
      </c>
      <c r="AE53" t="n">
        <v>291.5</v>
      </c>
      <c r="AF53" t="n">
        <v>403.7</v>
      </c>
    </row>
    <row r="54">
      <c r="A54" t="s">
        <v>95</v>
      </c>
      <c r="B54" t="s">
        <v>378</v>
      </c>
      <c r="C54" t="s">
        <v>246</v>
      </c>
      <c r="D54" t="s">
        <v>379</v>
      </c>
      <c r="E54" t="s">
        <v>247</v>
      </c>
      <c r="F54" t="n">
        <v>92.6</v>
      </c>
      <c r="G54" t="n">
        <v>132.7</v>
      </c>
      <c r="H54" t="n">
        <v>137.9</v>
      </c>
      <c r="I54" t="n">
        <v>236.2</v>
      </c>
      <c r="J54" t="n">
        <v>264.1</v>
      </c>
      <c r="K54" t="n">
        <v>314.4</v>
      </c>
      <c r="L54" t="n">
        <v>351.1</v>
      </c>
      <c r="M54" t="n">
        <v>378.2</v>
      </c>
      <c r="N54" t="n">
        <v>366.2</v>
      </c>
      <c r="O54" t="n">
        <v>348</v>
      </c>
      <c r="P54" t="n">
        <v>364</v>
      </c>
      <c r="Q54" t="n">
        <v>360.8</v>
      </c>
      <c r="R54" t="n">
        <v>369.4</v>
      </c>
      <c r="S54" t="n">
        <v>361.3</v>
      </c>
      <c r="T54" t="n">
        <v>356.8</v>
      </c>
      <c r="U54" t="n">
        <v>347.2</v>
      </c>
      <c r="V54" t="n">
        <v>346.5</v>
      </c>
      <c r="W54" t="n">
        <v>355.4</v>
      </c>
      <c r="X54" t="n">
        <v>344.8</v>
      </c>
      <c r="Y54" t="n">
        <v>364.7</v>
      </c>
      <c r="Z54" t="n">
        <v>386.1</v>
      </c>
      <c r="AA54" t="n">
        <v>405.4</v>
      </c>
      <c r="AB54" t="n">
        <v>421.3</v>
      </c>
      <c r="AC54" t="n">
        <v>417.5</v>
      </c>
      <c r="AD54" t="n">
        <v>453.5</v>
      </c>
      <c r="AE54" t="n">
        <v>475.4</v>
      </c>
      <c r="AF54" t="n">
        <v>584.6</v>
      </c>
    </row>
    <row r="55">
      <c r="A55" t="s">
        <v>95</v>
      </c>
      <c r="B55" t="s">
        <v>380</v>
      </c>
      <c r="C55" t="s">
        <v>246</v>
      </c>
      <c r="D55" t="s">
        <v>381</v>
      </c>
      <c r="E55" t="s">
        <v>247</v>
      </c>
      <c r="F55" t="n">
        <v>17.8</v>
      </c>
      <c r="G55" t="n">
        <v>24.3</v>
      </c>
      <c r="H55" t="n">
        <v>24.2</v>
      </c>
      <c r="I55" t="n">
        <v>43.6</v>
      </c>
      <c r="J55" t="n">
        <v>48.9</v>
      </c>
      <c r="K55" t="n">
        <v>62.9</v>
      </c>
      <c r="L55" t="n">
        <v>71.9</v>
      </c>
      <c r="M55" t="n">
        <v>73.7</v>
      </c>
      <c r="N55" t="n">
        <v>74.2</v>
      </c>
      <c r="O55" t="n">
        <v>72.2</v>
      </c>
      <c r="P55" t="n">
        <v>71</v>
      </c>
      <c r="Q55" t="n">
        <v>72.4</v>
      </c>
      <c r="R55" t="n">
        <v>72.9</v>
      </c>
      <c r="S55" t="n">
        <v>81.1</v>
      </c>
      <c r="T55" t="n">
        <v>77.1</v>
      </c>
      <c r="U55" t="n">
        <v>73.7</v>
      </c>
      <c r="V55" t="n">
        <v>73.2</v>
      </c>
      <c r="W55" t="n">
        <v>91.7</v>
      </c>
      <c r="X55" t="n">
        <v>100.3</v>
      </c>
      <c r="Y55" t="n">
        <v>115.4</v>
      </c>
      <c r="Z55" t="n">
        <v>119.6</v>
      </c>
      <c r="AA55" t="n">
        <v>128.5</v>
      </c>
      <c r="AB55" t="n">
        <v>155.7</v>
      </c>
      <c r="AC55" t="n">
        <v>154.4</v>
      </c>
      <c r="AD55" t="n">
        <v>160.1</v>
      </c>
      <c r="AE55" t="n">
        <v>183.9</v>
      </c>
      <c r="AF55" t="n">
        <v>180.9</v>
      </c>
    </row>
    <row r="56">
      <c r="A56" t="s">
        <v>95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95</v>
      </c>
      <c r="B57" t="s">
        <v>384</v>
      </c>
      <c r="C57" t="s">
        <v>246</v>
      </c>
      <c r="D57" t="s">
        <v>385</v>
      </c>
      <c r="E57" t="s">
        <v>247</v>
      </c>
      <c r="F57" t="n">
        <v>8881.1</v>
      </c>
      <c r="G57" t="n">
        <v>9205.5</v>
      </c>
      <c r="H57" t="n">
        <v>9956.1</v>
      </c>
      <c r="I57" t="n">
        <v>10486.6</v>
      </c>
      <c r="J57" t="n">
        <v>11691.7</v>
      </c>
      <c r="K57" t="n">
        <v>14481.8</v>
      </c>
      <c r="L57" t="n">
        <v>15562.8</v>
      </c>
      <c r="M57" t="n">
        <v>17126.9</v>
      </c>
      <c r="N57" t="n">
        <v>16775.1</v>
      </c>
      <c r="O57" t="n">
        <v>16967.7</v>
      </c>
      <c r="P57" t="n">
        <v>17351.1</v>
      </c>
      <c r="Q57" t="n">
        <v>17778.3</v>
      </c>
      <c r="R57" t="n">
        <v>18057.2</v>
      </c>
      <c r="S57" t="n">
        <v>17751.5</v>
      </c>
      <c r="T57" t="n">
        <v>17961.7</v>
      </c>
      <c r="U57" t="n">
        <v>17707.1</v>
      </c>
      <c r="V57" t="n">
        <v>17761.1</v>
      </c>
      <c r="W57" t="n">
        <v>17878.9</v>
      </c>
      <c r="X57" t="n">
        <v>16828.9</v>
      </c>
      <c r="Y57" t="n">
        <v>16180.9</v>
      </c>
      <c r="Z57" t="n">
        <v>16755.1</v>
      </c>
      <c r="AA57" t="n">
        <v>17137.9</v>
      </c>
      <c r="AB57" t="n">
        <v>17338</v>
      </c>
      <c r="AC57" t="n">
        <v>17328.5</v>
      </c>
      <c r="AD57" t="n">
        <v>18221.7</v>
      </c>
      <c r="AE57" t="n">
        <v>18470.8</v>
      </c>
      <c r="AF57" t="n">
        <v>18853</v>
      </c>
    </row>
    <row r="58">
      <c r="A58" t="s">
        <v>95</v>
      </c>
      <c r="B58" t="s">
        <v>386</v>
      </c>
      <c r="C58" t="s">
        <v>246</v>
      </c>
      <c r="D58" t="s">
        <v>387</v>
      </c>
      <c r="E58" t="s">
        <v>247</v>
      </c>
      <c r="F58" t="n">
        <v>8881.1</v>
      </c>
      <c r="G58" t="n">
        <v>9205.5</v>
      </c>
      <c r="H58" t="n">
        <v>9956.1</v>
      </c>
      <c r="I58" t="n">
        <v>10486.6</v>
      </c>
      <c r="J58" t="n">
        <v>11691.7</v>
      </c>
      <c r="K58" t="n">
        <v>14481.8</v>
      </c>
      <c r="L58" t="n">
        <v>15562.8</v>
      </c>
      <c r="M58" t="n">
        <v>17126.9</v>
      </c>
      <c r="N58" t="n">
        <v>16775.1</v>
      </c>
      <c r="O58" t="n">
        <v>16967.7</v>
      </c>
      <c r="P58" t="n">
        <v>17351.1</v>
      </c>
      <c r="Q58" t="n">
        <v>17778.3</v>
      </c>
      <c r="R58" t="n">
        <v>18057.2</v>
      </c>
      <c r="S58" t="n">
        <v>17751.5</v>
      </c>
      <c r="T58" t="n">
        <v>17961.7</v>
      </c>
      <c r="U58" t="n">
        <v>17707.1</v>
      </c>
      <c r="V58" t="n">
        <v>17761.1</v>
      </c>
      <c r="W58" t="n">
        <v>17878.9</v>
      </c>
      <c r="X58" t="n">
        <v>16828.9</v>
      </c>
      <c r="Y58" t="n">
        <v>16180.9</v>
      </c>
      <c r="Z58" t="n">
        <v>16755.1</v>
      </c>
      <c r="AA58" t="n">
        <v>17137.9</v>
      </c>
      <c r="AB58" t="n">
        <v>17338</v>
      </c>
      <c r="AC58" t="n">
        <v>17328.5</v>
      </c>
      <c r="AD58" t="n">
        <v>18221.7</v>
      </c>
      <c r="AE58" t="n">
        <v>18470.8</v>
      </c>
      <c r="AF58" t="n">
        <v>18853</v>
      </c>
    </row>
    <row r="59">
      <c r="A59" t="s">
        <v>95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97</v>
      </c>
      <c r="B2" t="s">
        <v>197</v>
      </c>
      <c r="C2" t="s">
        <v>246</v>
      </c>
      <c r="D2" t="s">
        <v>199</v>
      </c>
      <c r="E2" t="s">
        <v>247</v>
      </c>
      <c r="F2" t="n">
        <v>6.7</v>
      </c>
      <c r="G2" t="n">
        <v>7.8</v>
      </c>
      <c r="H2" t="n">
        <v>10.1</v>
      </c>
      <c r="I2" t="n">
        <v>10.9</v>
      </c>
      <c r="J2" t="n">
        <v>11.4</v>
      </c>
      <c r="K2" t="n">
        <v>13.4</v>
      </c>
      <c r="L2" t="n">
        <v>15</v>
      </c>
      <c r="M2" t="n">
        <v>16</v>
      </c>
      <c r="N2" t="n">
        <v>17.5</v>
      </c>
      <c r="O2" t="n">
        <v>19.6</v>
      </c>
      <c r="P2" t="n">
        <v>20.7</v>
      </c>
      <c r="Q2" t="n">
        <v>20.1</v>
      </c>
      <c r="R2" t="n">
        <v>19.3</v>
      </c>
      <c r="S2" t="n">
        <v>20.5</v>
      </c>
      <c r="T2" t="n">
        <v>21</v>
      </c>
      <c r="U2" t="n">
        <v>21.3</v>
      </c>
      <c r="V2" t="n">
        <v>21.6</v>
      </c>
      <c r="W2" t="n">
        <v>21.9</v>
      </c>
      <c r="X2" t="n">
        <v>20.5</v>
      </c>
      <c r="Y2" t="n">
        <v>19.1</v>
      </c>
      <c r="Z2" t="n">
        <v>18.6</v>
      </c>
      <c r="AA2" t="n">
        <v>19</v>
      </c>
      <c r="AB2" t="n">
        <v>18.8</v>
      </c>
      <c r="AC2" t="n">
        <v>18.4</v>
      </c>
      <c r="AD2" t="n">
        <v>18.2</v>
      </c>
      <c r="AE2" t="n">
        <v>17.6</v>
      </c>
      <c r="AF2" t="n">
        <v>17.3</v>
      </c>
    </row>
    <row r="3">
      <c r="A3" t="s">
        <v>97</v>
      </c>
      <c r="B3" t="s">
        <v>276</v>
      </c>
      <c r="C3" t="s">
        <v>246</v>
      </c>
      <c r="D3" t="s">
        <v>277</v>
      </c>
      <c r="E3" t="s">
        <v>247</v>
      </c>
      <c r="F3" t="n">
        <v>43.9</v>
      </c>
      <c r="G3" t="n">
        <v>40.6</v>
      </c>
      <c r="H3" t="n">
        <v>36.4</v>
      </c>
      <c r="I3" t="n">
        <v>31.9</v>
      </c>
      <c r="J3" t="n">
        <v>31.7</v>
      </c>
      <c r="K3" t="n">
        <v>35.9</v>
      </c>
      <c r="L3" t="n">
        <v>36.6</v>
      </c>
      <c r="M3" t="n">
        <v>32.7</v>
      </c>
      <c r="N3" t="n">
        <v>28.6</v>
      </c>
      <c r="O3" t="n">
        <v>35.1</v>
      </c>
      <c r="P3" t="n">
        <v>37.9</v>
      </c>
      <c r="Q3" t="n">
        <v>35.1</v>
      </c>
      <c r="R3" t="n">
        <v>32.7</v>
      </c>
      <c r="S3" t="n">
        <v>28.7</v>
      </c>
      <c r="T3" t="n">
        <v>26.4</v>
      </c>
      <c r="U3" t="n">
        <v>27.6</v>
      </c>
      <c r="V3" t="n">
        <v>28.7</v>
      </c>
      <c r="W3" t="n">
        <v>43.7</v>
      </c>
      <c r="X3" t="n">
        <v>52.3</v>
      </c>
      <c r="Y3" t="n">
        <v>143.9</v>
      </c>
      <c r="Z3" t="n">
        <v>159.2</v>
      </c>
      <c r="AA3" t="n">
        <v>213.3</v>
      </c>
      <c r="AB3" t="n">
        <v>230.2</v>
      </c>
      <c r="AC3" t="n">
        <v>400.4</v>
      </c>
      <c r="AD3" t="n">
        <v>644.2</v>
      </c>
      <c r="AE3" t="n">
        <v>683.3</v>
      </c>
      <c r="AF3" t="n">
        <v>796.9</v>
      </c>
    </row>
    <row r="4">
      <c r="A4" t="s">
        <v>97</v>
      </c>
      <c r="B4" t="s">
        <v>278</v>
      </c>
      <c r="C4" t="s">
        <v>246</v>
      </c>
      <c r="D4" t="s">
        <v>279</v>
      </c>
      <c r="E4" t="s">
        <v>247</v>
      </c>
      <c r="F4" t="n">
        <v>826.9</v>
      </c>
      <c r="G4" t="n">
        <v>929.3</v>
      </c>
      <c r="H4" t="n">
        <v>1205.9</v>
      </c>
      <c r="I4" t="n">
        <v>1352.5</v>
      </c>
      <c r="J4" t="n">
        <v>1393.2</v>
      </c>
      <c r="K4" t="n">
        <v>1555.2</v>
      </c>
      <c r="L4" t="n">
        <v>1752.6</v>
      </c>
      <c r="M4" t="n">
        <v>1754</v>
      </c>
      <c r="N4" t="n">
        <v>1738.8</v>
      </c>
      <c r="O4" t="n">
        <v>1801.6</v>
      </c>
      <c r="P4" t="n">
        <v>1787.8</v>
      </c>
      <c r="Q4" t="n">
        <v>1773.2</v>
      </c>
      <c r="R4" t="n">
        <v>1795.2</v>
      </c>
      <c r="S4" t="n">
        <v>1764.1</v>
      </c>
      <c r="T4" t="n">
        <v>1642.1</v>
      </c>
      <c r="U4" t="n">
        <v>1670.7</v>
      </c>
      <c r="V4" t="n">
        <v>1697.9</v>
      </c>
      <c r="W4" t="n">
        <v>1667.5</v>
      </c>
      <c r="X4" t="n">
        <v>1523.4</v>
      </c>
      <c r="Y4" t="n">
        <v>1425</v>
      </c>
      <c r="Z4" t="n">
        <v>1385.1</v>
      </c>
      <c r="AA4" t="n">
        <v>1470.5</v>
      </c>
      <c r="AB4" t="n">
        <v>1440.6</v>
      </c>
      <c r="AC4" t="n">
        <v>1428.2</v>
      </c>
      <c r="AD4" t="n">
        <v>1421.8</v>
      </c>
      <c r="AE4" t="n">
        <v>1368.7</v>
      </c>
      <c r="AF4" t="n">
        <v>1307</v>
      </c>
    </row>
    <row r="5">
      <c r="A5" t="s">
        <v>97</v>
      </c>
      <c r="B5" t="s">
        <v>280</v>
      </c>
      <c r="C5" t="s">
        <v>246</v>
      </c>
      <c r="D5" t="s">
        <v>281</v>
      </c>
      <c r="E5" t="s">
        <v>247</v>
      </c>
      <c r="F5" t="n">
        <v>83.7</v>
      </c>
      <c r="G5" t="n">
        <v>102.4</v>
      </c>
      <c r="H5" t="n">
        <v>126.6</v>
      </c>
      <c r="I5" t="n">
        <v>139.9</v>
      </c>
      <c r="J5" t="n">
        <v>160.1</v>
      </c>
      <c r="K5" t="n">
        <v>181.5</v>
      </c>
      <c r="L5" t="n">
        <v>206.5</v>
      </c>
      <c r="M5" t="n">
        <v>204</v>
      </c>
      <c r="N5" t="n">
        <v>206.2</v>
      </c>
      <c r="O5" t="n">
        <v>221.2</v>
      </c>
      <c r="P5" t="n">
        <v>223.8</v>
      </c>
      <c r="Q5" t="n">
        <v>228</v>
      </c>
      <c r="R5" t="n">
        <v>233.4</v>
      </c>
      <c r="S5" t="n">
        <v>233.1</v>
      </c>
      <c r="T5" t="n">
        <v>225.1</v>
      </c>
      <c r="U5" t="n">
        <v>223.3</v>
      </c>
      <c r="V5" t="n">
        <v>221.8</v>
      </c>
      <c r="W5" t="n">
        <v>226.4</v>
      </c>
      <c r="X5" t="n">
        <v>212</v>
      </c>
      <c r="Y5" t="n">
        <v>203.1</v>
      </c>
      <c r="Z5" t="n">
        <v>212.5</v>
      </c>
      <c r="AA5" t="n">
        <v>242.3</v>
      </c>
      <c r="AB5" t="n">
        <v>238.6</v>
      </c>
      <c r="AC5" t="n">
        <v>227.8</v>
      </c>
      <c r="AD5" t="n">
        <v>248.7</v>
      </c>
      <c r="AE5" t="n">
        <v>258.3</v>
      </c>
      <c r="AF5"/>
    </row>
    <row r="6">
      <c r="A6" t="s">
        <v>97</v>
      </c>
      <c r="B6" t="s">
        <v>282</v>
      </c>
      <c r="C6" t="s">
        <v>246</v>
      </c>
      <c r="D6" t="s">
        <v>283</v>
      </c>
      <c r="E6" t="s">
        <v>247</v>
      </c>
      <c r="F6" t="n">
        <v>64.7</v>
      </c>
      <c r="G6" t="n">
        <v>75.2</v>
      </c>
      <c r="H6" t="n">
        <v>100.5</v>
      </c>
      <c r="I6" t="n">
        <v>126.8</v>
      </c>
      <c r="J6" t="n">
        <v>132.3</v>
      </c>
      <c r="K6" t="n">
        <v>153.4</v>
      </c>
      <c r="L6" t="n">
        <v>180.9</v>
      </c>
      <c r="M6" t="n">
        <v>179.8</v>
      </c>
      <c r="N6" t="n">
        <v>177.8</v>
      </c>
      <c r="O6" t="n">
        <v>176.6</v>
      </c>
      <c r="P6" t="n">
        <v>173.4</v>
      </c>
      <c r="Q6" t="n">
        <v>172.3</v>
      </c>
      <c r="R6" t="n">
        <v>192.5</v>
      </c>
      <c r="S6" t="n">
        <v>170.2</v>
      </c>
      <c r="T6" t="n">
        <v>162.8</v>
      </c>
      <c r="U6" t="n">
        <v>163.4</v>
      </c>
      <c r="V6" t="n">
        <v>164.1</v>
      </c>
      <c r="W6" t="n">
        <v>164.5</v>
      </c>
      <c r="X6" t="n">
        <v>154.8</v>
      </c>
      <c r="Y6" t="n">
        <v>139.2</v>
      </c>
      <c r="Z6" t="n">
        <v>131.4</v>
      </c>
      <c r="AA6" t="n">
        <v>131.7</v>
      </c>
      <c r="AB6" t="n">
        <v>134.6</v>
      </c>
      <c r="AC6" t="n">
        <v>141.6</v>
      </c>
      <c r="AD6" t="n">
        <v>138</v>
      </c>
      <c r="AE6" t="n">
        <v>126.4</v>
      </c>
      <c r="AF6"/>
    </row>
    <row r="7">
      <c r="A7" t="s">
        <v>97</v>
      </c>
      <c r="B7" t="s">
        <v>284</v>
      </c>
      <c r="C7" t="s">
        <v>246</v>
      </c>
      <c r="D7" t="s">
        <v>285</v>
      </c>
      <c r="E7" t="s">
        <v>247</v>
      </c>
      <c r="F7" t="n">
        <v>69.6</v>
      </c>
      <c r="G7" t="n">
        <v>95.3</v>
      </c>
      <c r="H7" t="n">
        <v>107.6</v>
      </c>
      <c r="I7" t="n">
        <v>130</v>
      </c>
      <c r="J7" t="n">
        <v>131.2</v>
      </c>
      <c r="K7" t="n">
        <v>155.7</v>
      </c>
      <c r="L7" t="n">
        <v>181.4</v>
      </c>
      <c r="M7" t="n">
        <v>195.3</v>
      </c>
      <c r="N7" t="n">
        <v>200</v>
      </c>
      <c r="O7" t="n">
        <v>193.8</v>
      </c>
      <c r="P7" t="n">
        <v>203.6</v>
      </c>
      <c r="Q7" t="n">
        <v>191.7</v>
      </c>
      <c r="R7" t="n">
        <v>185.9</v>
      </c>
      <c r="S7" t="n">
        <v>172.2</v>
      </c>
      <c r="T7" t="n">
        <v>159.5</v>
      </c>
      <c r="U7" t="n">
        <v>165.7</v>
      </c>
      <c r="V7" t="n">
        <v>171.8</v>
      </c>
      <c r="W7" t="n">
        <v>161</v>
      </c>
      <c r="X7" t="n">
        <v>139.4</v>
      </c>
      <c r="Y7" t="n">
        <v>119.7</v>
      </c>
      <c r="Z7" t="n">
        <v>105.7</v>
      </c>
      <c r="AA7" t="n">
        <v>114</v>
      </c>
      <c r="AB7" t="n">
        <v>107.7</v>
      </c>
      <c r="AC7" t="n">
        <v>105.4</v>
      </c>
      <c r="AD7" t="n">
        <v>98.9</v>
      </c>
      <c r="AE7" t="n">
        <v>92.7</v>
      </c>
      <c r="AF7"/>
    </row>
    <row r="8">
      <c r="A8" t="s">
        <v>97</v>
      </c>
      <c r="B8" t="s">
        <v>286</v>
      </c>
      <c r="C8" t="s">
        <v>246</v>
      </c>
      <c r="D8" t="s">
        <v>287</v>
      </c>
      <c r="E8" t="s">
        <v>247</v>
      </c>
      <c r="F8" t="n">
        <v>31.6</v>
      </c>
      <c r="G8" t="n">
        <v>27.2</v>
      </c>
      <c r="H8" t="n">
        <v>26.1</v>
      </c>
      <c r="I8" t="n">
        <v>24.3</v>
      </c>
      <c r="J8" t="n">
        <v>20.2</v>
      </c>
      <c r="K8" t="n">
        <v>25.2</v>
      </c>
      <c r="L8" t="n">
        <v>29.3</v>
      </c>
      <c r="M8" t="n">
        <v>27.6</v>
      </c>
      <c r="N8" t="n">
        <v>26.6</v>
      </c>
      <c r="O8" t="n">
        <v>23.2</v>
      </c>
      <c r="P8" t="n">
        <v>20.2</v>
      </c>
      <c r="Q8" t="n">
        <v>19.7</v>
      </c>
      <c r="R8" t="n">
        <v>19.4</v>
      </c>
      <c r="S8" t="n">
        <v>20.4</v>
      </c>
      <c r="T8" t="n">
        <v>19.3</v>
      </c>
      <c r="U8" t="n">
        <v>20.7</v>
      </c>
      <c r="V8" t="n">
        <v>21.9</v>
      </c>
      <c r="W8" t="n">
        <v>21.9</v>
      </c>
      <c r="X8" t="n">
        <v>19.7</v>
      </c>
      <c r="Y8" t="n">
        <v>16.8</v>
      </c>
      <c r="Z8" t="n">
        <v>15.8</v>
      </c>
      <c r="AA8" t="n">
        <v>15.1</v>
      </c>
      <c r="AB8" t="n">
        <v>13.7</v>
      </c>
      <c r="AC8" t="n">
        <v>12.6</v>
      </c>
      <c r="AD8" t="n">
        <v>12.8</v>
      </c>
      <c r="AE8" t="n">
        <v>12.3</v>
      </c>
      <c r="AF8"/>
    </row>
    <row r="9">
      <c r="A9" t="s">
        <v>97</v>
      </c>
      <c r="B9" t="s">
        <v>288</v>
      </c>
      <c r="C9" t="s">
        <v>246</v>
      </c>
      <c r="D9" t="s">
        <v>289</v>
      </c>
      <c r="E9" t="s">
        <v>247</v>
      </c>
      <c r="F9" t="n">
        <v>22.2</v>
      </c>
      <c r="G9" t="n">
        <v>29.6</v>
      </c>
      <c r="H9" t="n">
        <v>56</v>
      </c>
      <c r="I9" t="n">
        <v>71.1</v>
      </c>
      <c r="J9" t="n">
        <v>74.1</v>
      </c>
      <c r="K9" t="n">
        <v>82.6</v>
      </c>
      <c r="L9" t="n">
        <v>89.3</v>
      </c>
      <c r="M9" t="n">
        <v>88.7</v>
      </c>
      <c r="N9" t="n">
        <v>88.2</v>
      </c>
      <c r="O9" t="n">
        <v>93.6</v>
      </c>
      <c r="P9" t="n">
        <v>89.5</v>
      </c>
      <c r="Q9" t="n">
        <v>101.6</v>
      </c>
      <c r="R9" t="n">
        <v>102</v>
      </c>
      <c r="S9" t="n">
        <v>105.9</v>
      </c>
      <c r="T9" t="n">
        <v>93.5</v>
      </c>
      <c r="U9" t="n">
        <v>94.1</v>
      </c>
      <c r="V9" t="n">
        <v>94.5</v>
      </c>
      <c r="W9" t="n">
        <v>86.6</v>
      </c>
      <c r="X9" t="n">
        <v>76.1</v>
      </c>
      <c r="Y9" t="n">
        <v>75.5</v>
      </c>
      <c r="Z9" t="n">
        <v>69.7</v>
      </c>
      <c r="AA9" t="n">
        <v>68.7</v>
      </c>
      <c r="AB9" t="n">
        <v>59.5</v>
      </c>
      <c r="AC9" t="n">
        <v>52.7</v>
      </c>
      <c r="AD9" t="n">
        <v>47.4</v>
      </c>
      <c r="AE9" t="n">
        <v>43.1</v>
      </c>
      <c r="AF9"/>
    </row>
    <row r="10">
      <c r="A10" t="s">
        <v>97</v>
      </c>
      <c r="B10" t="s">
        <v>290</v>
      </c>
      <c r="C10" t="s">
        <v>246</v>
      </c>
      <c r="D10" t="s">
        <v>291</v>
      </c>
      <c r="E10" t="s">
        <v>247</v>
      </c>
      <c r="F10" t="n">
        <v>60.5</v>
      </c>
      <c r="G10" t="n">
        <v>67</v>
      </c>
      <c r="H10" t="n">
        <v>107.2</v>
      </c>
      <c r="I10" t="n">
        <v>117.7</v>
      </c>
      <c r="J10" t="n">
        <v>118.7</v>
      </c>
      <c r="K10" t="n">
        <v>129.4</v>
      </c>
      <c r="L10" t="n">
        <v>139.8</v>
      </c>
      <c r="M10" t="n">
        <v>138</v>
      </c>
      <c r="N10" t="n">
        <v>133.7</v>
      </c>
      <c r="O10" t="n">
        <v>145.4</v>
      </c>
      <c r="P10" t="n">
        <v>135.6</v>
      </c>
      <c r="Q10" t="n">
        <v>149.2</v>
      </c>
      <c r="R10" t="n">
        <v>149.4</v>
      </c>
      <c r="S10" t="n">
        <v>146.9</v>
      </c>
      <c r="T10" t="n">
        <v>129.8</v>
      </c>
      <c r="U10" t="n">
        <v>131.1</v>
      </c>
      <c r="V10" t="n">
        <v>132.3</v>
      </c>
      <c r="W10" t="n">
        <v>125.6</v>
      </c>
      <c r="X10" t="n">
        <v>111.9</v>
      </c>
      <c r="Y10" t="n">
        <v>110.6</v>
      </c>
      <c r="Z10" t="n">
        <v>106.8</v>
      </c>
      <c r="AA10" t="n">
        <v>111.2</v>
      </c>
      <c r="AB10" t="n">
        <v>104.2</v>
      </c>
      <c r="AC10" t="n">
        <v>96.7</v>
      </c>
      <c r="AD10" t="n">
        <v>91.7</v>
      </c>
      <c r="AE10" t="n">
        <v>87.5</v>
      </c>
      <c r="AF10"/>
    </row>
    <row r="11">
      <c r="A11" t="s">
        <v>97</v>
      </c>
      <c r="B11" t="s">
        <v>292</v>
      </c>
      <c r="C11" t="s">
        <v>246</v>
      </c>
      <c r="D11" t="s">
        <v>293</v>
      </c>
      <c r="E11" t="s">
        <v>247</v>
      </c>
      <c r="F11" t="n">
        <v>38.3</v>
      </c>
      <c r="G11" t="n">
        <v>37.4</v>
      </c>
      <c r="H11" t="n">
        <v>51.2</v>
      </c>
      <c r="I11" t="n">
        <v>46.6</v>
      </c>
      <c r="J11" t="n">
        <v>44.6</v>
      </c>
      <c r="K11" t="n">
        <v>46.8</v>
      </c>
      <c r="L11" t="n">
        <v>50.5</v>
      </c>
      <c r="M11" t="n">
        <v>49.3</v>
      </c>
      <c r="N11" t="n">
        <v>45.5</v>
      </c>
      <c r="O11" t="n">
        <v>51.8</v>
      </c>
      <c r="P11" t="n">
        <v>46.1</v>
      </c>
      <c r="Q11" t="n">
        <v>47.6</v>
      </c>
      <c r="R11" t="n">
        <v>47.4</v>
      </c>
      <c r="S11" t="n">
        <v>41</v>
      </c>
      <c r="T11" t="n">
        <v>36.3</v>
      </c>
      <c r="U11" t="n">
        <v>37</v>
      </c>
      <c r="V11" t="n">
        <v>37.8</v>
      </c>
      <c r="W11" t="n">
        <v>39</v>
      </c>
      <c r="X11" t="n">
        <v>35.8</v>
      </c>
      <c r="Y11" t="n">
        <v>35.1</v>
      </c>
      <c r="Z11" t="n">
        <v>37.1</v>
      </c>
      <c r="AA11" t="n">
        <v>42.5</v>
      </c>
      <c r="AB11" t="n">
        <v>44.7</v>
      </c>
      <c r="AC11" t="n">
        <v>44</v>
      </c>
      <c r="AD11" t="n">
        <v>44.3</v>
      </c>
      <c r="AE11" t="n">
        <v>44.4</v>
      </c>
      <c r="AF11"/>
    </row>
    <row r="12">
      <c r="A12" t="s">
        <v>97</v>
      </c>
      <c r="B12" t="s">
        <v>294</v>
      </c>
      <c r="C12" t="s">
        <v>246</v>
      </c>
      <c r="D12" t="s">
        <v>295</v>
      </c>
      <c r="E12" t="s">
        <v>247</v>
      </c>
      <c r="F12" t="n">
        <v>94.8</v>
      </c>
      <c r="G12" t="n">
        <v>97.6</v>
      </c>
      <c r="H12" t="n">
        <v>114.7</v>
      </c>
      <c r="I12" t="n">
        <v>125.3</v>
      </c>
      <c r="J12" t="n">
        <v>132.4</v>
      </c>
      <c r="K12" t="n">
        <v>141.5</v>
      </c>
      <c r="L12" t="n">
        <v>156.1</v>
      </c>
      <c r="M12" t="n">
        <v>153.5</v>
      </c>
      <c r="N12" t="n">
        <v>157.3</v>
      </c>
      <c r="O12" t="n">
        <v>170.1</v>
      </c>
      <c r="P12" t="n">
        <v>168.1</v>
      </c>
      <c r="Q12" t="n">
        <v>161.7</v>
      </c>
      <c r="R12" t="n">
        <v>159.7</v>
      </c>
      <c r="S12" t="n">
        <v>160.6</v>
      </c>
      <c r="T12" t="n">
        <v>143.4</v>
      </c>
      <c r="U12" t="n">
        <v>145.1</v>
      </c>
      <c r="V12" t="n">
        <v>147.1</v>
      </c>
      <c r="W12" t="n">
        <v>147.7</v>
      </c>
      <c r="X12" t="n">
        <v>137.5</v>
      </c>
      <c r="Y12" t="n">
        <v>125.6</v>
      </c>
      <c r="Z12" t="n">
        <v>118.4</v>
      </c>
      <c r="AA12" t="n">
        <v>117.2</v>
      </c>
      <c r="AB12" t="n">
        <v>112.2</v>
      </c>
      <c r="AC12" t="n">
        <v>102</v>
      </c>
      <c r="AD12" t="n">
        <v>100.9</v>
      </c>
      <c r="AE12" t="n">
        <v>94.6</v>
      </c>
      <c r="AF12"/>
    </row>
    <row r="13">
      <c r="A13" t="s">
        <v>97</v>
      </c>
      <c r="B13" t="s">
        <v>296</v>
      </c>
      <c r="C13" t="s">
        <v>246</v>
      </c>
      <c r="D13" t="s">
        <v>297</v>
      </c>
      <c r="E13" t="s">
        <v>247</v>
      </c>
      <c r="F13" t="n">
        <v>80.7</v>
      </c>
      <c r="G13" t="n">
        <v>104.5</v>
      </c>
      <c r="H13" t="n">
        <v>164.4</v>
      </c>
      <c r="I13" t="n">
        <v>193.3</v>
      </c>
      <c r="J13" t="n">
        <v>210.6</v>
      </c>
      <c r="K13" t="n">
        <v>228.6</v>
      </c>
      <c r="L13" t="n">
        <v>258.6</v>
      </c>
      <c r="M13" t="n">
        <v>260.4</v>
      </c>
      <c r="N13" t="n">
        <v>253.6</v>
      </c>
      <c r="O13" t="n">
        <v>273.1</v>
      </c>
      <c r="P13" t="n">
        <v>266.1</v>
      </c>
      <c r="Q13" t="n">
        <v>250.3</v>
      </c>
      <c r="R13" t="n">
        <v>243.8</v>
      </c>
      <c r="S13" t="n">
        <v>243.7</v>
      </c>
      <c r="T13" t="n">
        <v>221.1</v>
      </c>
      <c r="U13" t="n">
        <v>229.5</v>
      </c>
      <c r="V13" t="n">
        <v>237.5</v>
      </c>
      <c r="W13" t="n">
        <v>225.9</v>
      </c>
      <c r="X13" t="n">
        <v>205.3</v>
      </c>
      <c r="Y13" t="n">
        <v>204.4</v>
      </c>
      <c r="Z13" t="n">
        <v>211.6</v>
      </c>
      <c r="AA13" t="n">
        <v>210.9</v>
      </c>
      <c r="AB13" t="n">
        <v>196</v>
      </c>
      <c r="AC13" t="n">
        <v>179.4</v>
      </c>
      <c r="AD13" t="n">
        <v>167.4</v>
      </c>
      <c r="AE13" t="n">
        <v>147.7</v>
      </c>
      <c r="AF13"/>
    </row>
    <row r="14">
      <c r="A14" t="s">
        <v>97</v>
      </c>
      <c r="B14" t="s">
        <v>298</v>
      </c>
      <c r="C14" t="s">
        <v>246</v>
      </c>
      <c r="D14" t="s">
        <v>299</v>
      </c>
      <c r="E14" t="s">
        <v>247</v>
      </c>
      <c r="F14" t="n">
        <v>43.8</v>
      </c>
      <c r="G14" t="n">
        <v>49.9</v>
      </c>
      <c r="H14" t="n">
        <v>54.3</v>
      </c>
      <c r="I14" t="n">
        <v>60.1</v>
      </c>
      <c r="J14" t="n">
        <v>62.1</v>
      </c>
      <c r="K14" t="n">
        <v>59.1</v>
      </c>
      <c r="L14" t="n">
        <v>71.2</v>
      </c>
      <c r="M14" t="n">
        <v>70.3</v>
      </c>
      <c r="N14" t="n">
        <v>69.5</v>
      </c>
      <c r="O14" t="n">
        <v>72.7</v>
      </c>
      <c r="P14" t="n">
        <v>72.4</v>
      </c>
      <c r="Q14" t="n">
        <v>77.4</v>
      </c>
      <c r="R14" t="n">
        <v>84.5</v>
      </c>
      <c r="S14" t="n">
        <v>76</v>
      </c>
      <c r="T14" t="n">
        <v>70.7</v>
      </c>
      <c r="U14" t="n">
        <v>71.8</v>
      </c>
      <c r="V14" t="n">
        <v>72.7</v>
      </c>
      <c r="W14" t="n">
        <v>67.2</v>
      </c>
      <c r="X14" t="n">
        <v>58.7</v>
      </c>
      <c r="Y14" t="n">
        <v>49.5</v>
      </c>
      <c r="Z14" t="n">
        <v>43.4</v>
      </c>
      <c r="AA14" t="n">
        <v>42.3</v>
      </c>
      <c r="AB14" t="n">
        <v>43.2</v>
      </c>
      <c r="AC14" t="n">
        <v>48.9</v>
      </c>
      <c r="AD14" t="n">
        <v>51.4</v>
      </c>
      <c r="AE14" t="n">
        <v>55.5</v>
      </c>
      <c r="AF14"/>
    </row>
    <row r="15">
      <c r="A15" t="s">
        <v>97</v>
      </c>
      <c r="B15" t="s">
        <v>300</v>
      </c>
      <c r="C15" t="s">
        <v>246</v>
      </c>
      <c r="D15" t="s">
        <v>301</v>
      </c>
      <c r="E15" t="s">
        <v>247</v>
      </c>
      <c r="F15" t="n">
        <v>60.1</v>
      </c>
      <c r="G15" t="n">
        <v>80.1</v>
      </c>
      <c r="H15" t="n">
        <v>108.2</v>
      </c>
      <c r="I15" t="n">
        <v>123.5</v>
      </c>
      <c r="J15" t="n">
        <v>122.8</v>
      </c>
      <c r="K15" t="n">
        <v>130.2</v>
      </c>
      <c r="L15" t="n">
        <v>159.3</v>
      </c>
      <c r="M15" t="n">
        <v>154.6</v>
      </c>
      <c r="N15" t="n">
        <v>153.2</v>
      </c>
      <c r="O15" t="n">
        <v>157.8</v>
      </c>
      <c r="P15" t="n">
        <v>161</v>
      </c>
      <c r="Q15" t="n">
        <v>160.9</v>
      </c>
      <c r="R15" t="n">
        <v>169.4</v>
      </c>
      <c r="S15" t="n">
        <v>153.8</v>
      </c>
      <c r="T15" t="n">
        <v>148</v>
      </c>
      <c r="U15" t="n">
        <v>151.1</v>
      </c>
      <c r="V15" t="n">
        <v>153.9</v>
      </c>
      <c r="W15" t="n">
        <v>142.6</v>
      </c>
      <c r="X15" t="n">
        <v>120.5</v>
      </c>
      <c r="Y15" t="n">
        <v>104.7</v>
      </c>
      <c r="Z15" t="n">
        <v>92.8</v>
      </c>
      <c r="AA15" t="n">
        <v>87.7</v>
      </c>
      <c r="AB15" t="n">
        <v>84</v>
      </c>
      <c r="AC15" t="n">
        <v>86.2</v>
      </c>
      <c r="AD15" t="n">
        <v>86.1</v>
      </c>
      <c r="AE15" t="n">
        <v>87.8</v>
      </c>
      <c r="AF15"/>
    </row>
    <row r="16">
      <c r="A16" t="s">
        <v>97</v>
      </c>
      <c r="B16" t="s">
        <v>302</v>
      </c>
      <c r="C16" t="s">
        <v>246</v>
      </c>
      <c r="D16" t="s">
        <v>303</v>
      </c>
      <c r="E16" t="s">
        <v>247</v>
      </c>
      <c r="F16" t="n">
        <v>16.3</v>
      </c>
      <c r="G16" t="n">
        <v>30.2</v>
      </c>
      <c r="H16" t="n">
        <v>53.9</v>
      </c>
      <c r="I16" t="n">
        <v>63.4</v>
      </c>
      <c r="J16" t="n">
        <v>60.7</v>
      </c>
      <c r="K16" t="n">
        <v>71.1</v>
      </c>
      <c r="L16" t="n">
        <v>88.1</v>
      </c>
      <c r="M16" t="n">
        <v>84.3</v>
      </c>
      <c r="N16" t="n">
        <v>83.7</v>
      </c>
      <c r="O16" t="n">
        <v>85.1</v>
      </c>
      <c r="P16" t="n">
        <v>88.6</v>
      </c>
      <c r="Q16" t="n">
        <v>83.5</v>
      </c>
      <c r="R16" t="n">
        <v>84.9</v>
      </c>
      <c r="S16" t="n">
        <v>77.8</v>
      </c>
      <c r="T16" t="n">
        <v>77.3</v>
      </c>
      <c r="U16" t="n">
        <v>79.3</v>
      </c>
      <c r="V16" t="n">
        <v>81.2</v>
      </c>
      <c r="W16" t="n">
        <v>75.4</v>
      </c>
      <c r="X16" t="n">
        <v>61.8</v>
      </c>
      <c r="Y16" t="n">
        <v>55.2</v>
      </c>
      <c r="Z16" t="n">
        <v>49.4</v>
      </c>
      <c r="AA16" t="n">
        <v>45.4</v>
      </c>
      <c r="AB16" t="n">
        <v>40.8</v>
      </c>
      <c r="AC16" t="n">
        <v>37.3</v>
      </c>
      <c r="AD16" t="n">
        <v>34.7</v>
      </c>
      <c r="AE16" t="n">
        <v>32.3</v>
      </c>
      <c r="AF16"/>
    </row>
    <row r="17">
      <c r="A17" t="s">
        <v>97</v>
      </c>
      <c r="B17" t="s">
        <v>304</v>
      </c>
      <c r="C17" t="s">
        <v>246</v>
      </c>
      <c r="D17" t="s">
        <v>305</v>
      </c>
      <c r="E17" t="s">
        <v>247</v>
      </c>
      <c r="F17" t="n">
        <v>116.9</v>
      </c>
      <c r="G17" t="n">
        <v>110.9</v>
      </c>
      <c r="H17" t="n">
        <v>134.6</v>
      </c>
      <c r="I17" t="n">
        <v>133.2</v>
      </c>
      <c r="J17" t="n">
        <v>137.7</v>
      </c>
      <c r="K17" t="n">
        <v>163</v>
      </c>
      <c r="L17" t="n">
        <v>180.1</v>
      </c>
      <c r="M17" t="n">
        <v>183.8</v>
      </c>
      <c r="N17" t="n">
        <v>176.5</v>
      </c>
      <c r="O17" t="n">
        <v>186</v>
      </c>
      <c r="P17" t="n">
        <v>186.4</v>
      </c>
      <c r="Q17" t="n">
        <v>185.8</v>
      </c>
      <c r="R17" t="n">
        <v>187.5</v>
      </c>
      <c r="S17" t="n">
        <v>206.7</v>
      </c>
      <c r="T17" t="n">
        <v>185.7</v>
      </c>
      <c r="U17" t="n">
        <v>188.3</v>
      </c>
      <c r="V17" t="n">
        <v>190.4</v>
      </c>
      <c r="W17" t="n">
        <v>190.9</v>
      </c>
      <c r="X17" t="n">
        <v>179.8</v>
      </c>
      <c r="Y17" t="n">
        <v>175.8</v>
      </c>
      <c r="Z17" t="n">
        <v>172.6</v>
      </c>
      <c r="AA17" t="n">
        <v>225.2</v>
      </c>
      <c r="AB17" t="n">
        <v>248.2</v>
      </c>
      <c r="AC17" t="n">
        <v>285.4</v>
      </c>
      <c r="AD17" t="n">
        <v>282</v>
      </c>
      <c r="AE17" t="n">
        <v>272.1</v>
      </c>
      <c r="AF17"/>
    </row>
    <row r="18">
      <c r="A18" t="s">
        <v>97</v>
      </c>
      <c r="B18" t="s">
        <v>306</v>
      </c>
      <c r="C18" t="s">
        <v>246</v>
      </c>
      <c r="D18" t="s">
        <v>307</v>
      </c>
      <c r="E18" t="s">
        <v>247</v>
      </c>
      <c r="F18" t="n">
        <v>77.1</v>
      </c>
      <c r="G18" t="n">
        <v>72.7</v>
      </c>
      <c r="H18" t="n">
        <v>93.2</v>
      </c>
      <c r="I18" t="n">
        <v>90.9</v>
      </c>
      <c r="J18" t="n">
        <v>87.5</v>
      </c>
      <c r="K18" t="n">
        <v>98.2</v>
      </c>
      <c r="L18" t="n">
        <v>104.9</v>
      </c>
      <c r="M18" t="n">
        <v>103.1</v>
      </c>
      <c r="N18" t="n">
        <v>99.5</v>
      </c>
      <c r="O18" t="n">
        <v>97.6</v>
      </c>
      <c r="P18" t="n">
        <v>97</v>
      </c>
      <c r="Q18" t="n">
        <v>103.2</v>
      </c>
      <c r="R18" t="n">
        <v>100.8</v>
      </c>
      <c r="S18" t="n">
        <v>104.1</v>
      </c>
      <c r="T18" t="n">
        <v>107.4</v>
      </c>
      <c r="U18" t="n">
        <v>108.4</v>
      </c>
      <c r="V18" t="n">
        <v>109.2</v>
      </c>
      <c r="W18" t="n">
        <v>113.9</v>
      </c>
      <c r="X18" t="n">
        <v>112.4</v>
      </c>
      <c r="Y18" t="n">
        <v>106.1</v>
      </c>
      <c r="Z18" t="n">
        <v>101.7</v>
      </c>
      <c r="AA18" t="n">
        <v>103.3</v>
      </c>
      <c r="AB18" t="n">
        <v>91</v>
      </c>
      <c r="AC18" t="n">
        <v>84.9</v>
      </c>
      <c r="AD18" t="n">
        <v>78.8</v>
      </c>
      <c r="AE18" t="n">
        <v>73.5</v>
      </c>
      <c r="AF18"/>
    </row>
    <row r="19">
      <c r="A19" t="s">
        <v>97</v>
      </c>
      <c r="B19" t="s">
        <v>308</v>
      </c>
      <c r="C19" t="s">
        <v>246</v>
      </c>
      <c r="D19" t="s">
        <v>309</v>
      </c>
      <c r="E19" t="s">
        <v>247</v>
      </c>
      <c r="F19" t="n">
        <v>87.2</v>
      </c>
      <c r="G19" t="n">
        <v>96.4</v>
      </c>
      <c r="H19" t="n">
        <v>122.8</v>
      </c>
      <c r="I19" t="n">
        <v>147.6</v>
      </c>
      <c r="J19" t="n">
        <v>139.7</v>
      </c>
      <c r="K19" t="n">
        <v>148.5</v>
      </c>
      <c r="L19" t="n">
        <v>155.7</v>
      </c>
      <c r="M19" t="n">
        <v>153.9</v>
      </c>
      <c r="N19" t="n">
        <v>154.4</v>
      </c>
      <c r="O19" t="n">
        <v>156.8</v>
      </c>
      <c r="P19" t="n">
        <v>152.6</v>
      </c>
      <c r="Q19" t="n">
        <v>150.4</v>
      </c>
      <c r="R19" t="n">
        <v>153.4</v>
      </c>
      <c r="S19" t="n">
        <v>152.4</v>
      </c>
      <c r="T19" t="n">
        <v>140</v>
      </c>
      <c r="U19" t="n">
        <v>144.1</v>
      </c>
      <c r="V19" t="n">
        <v>147.9</v>
      </c>
      <c r="W19" t="n">
        <v>147.1</v>
      </c>
      <c r="X19" t="n">
        <v>130.1</v>
      </c>
      <c r="Y19" t="n">
        <v>119</v>
      </c>
      <c r="Z19" t="n">
        <v>115.8</v>
      </c>
      <c r="AA19" t="n">
        <v>111.9</v>
      </c>
      <c r="AB19" t="n">
        <v>110.4</v>
      </c>
      <c r="AC19" t="n">
        <v>106.2</v>
      </c>
      <c r="AD19" t="n">
        <v>116.5</v>
      </c>
      <c r="AE19" t="n">
        <v>115.8</v>
      </c>
      <c r="AF19"/>
    </row>
    <row r="20">
      <c r="A20" t="s">
        <v>97</v>
      </c>
      <c r="B20" t="s">
        <v>310</v>
      </c>
      <c r="C20" t="s">
        <v>246</v>
      </c>
      <c r="D20" t="s">
        <v>311</v>
      </c>
      <c r="E20" t="s">
        <v>247</v>
      </c>
      <c r="F20" t="n">
        <v>116.1</v>
      </c>
      <c r="G20" t="n">
        <v>143</v>
      </c>
      <c r="H20" t="n">
        <v>150.7</v>
      </c>
      <c r="I20" t="n">
        <v>158.4</v>
      </c>
      <c r="J20" t="n">
        <v>154.5</v>
      </c>
      <c r="K20" t="n">
        <v>174.6</v>
      </c>
      <c r="L20" t="n">
        <v>224.3</v>
      </c>
      <c r="M20" t="n">
        <v>214.4</v>
      </c>
      <c r="N20" t="n">
        <v>250.6</v>
      </c>
      <c r="O20" t="n">
        <v>266</v>
      </c>
      <c r="P20" t="n">
        <v>258</v>
      </c>
      <c r="Q20" t="n">
        <v>225.5</v>
      </c>
      <c r="R20" t="n">
        <v>199.9</v>
      </c>
      <c r="S20" t="n">
        <v>214.2</v>
      </c>
      <c r="T20" t="n">
        <v>197.3</v>
      </c>
      <c r="U20" t="n">
        <v>203.8</v>
      </c>
      <c r="V20" t="n">
        <v>211.3</v>
      </c>
      <c r="W20" t="n">
        <v>207</v>
      </c>
      <c r="X20" t="n">
        <v>199.5</v>
      </c>
      <c r="Y20" t="n">
        <v>183.5</v>
      </c>
      <c r="Z20" t="n">
        <v>169.8</v>
      </c>
      <c r="AA20" t="n">
        <v>183.6</v>
      </c>
      <c r="AB20" t="n">
        <v>176.9</v>
      </c>
      <c r="AC20" t="n">
        <v>170.9</v>
      </c>
      <c r="AD20" t="n">
        <v>178.5</v>
      </c>
      <c r="AE20" t="n">
        <v>183.5</v>
      </c>
      <c r="AF20" t="n">
        <v>197.1</v>
      </c>
    </row>
    <row r="21">
      <c r="A21" t="s">
        <v>97</v>
      </c>
      <c r="B21" t="s">
        <v>312</v>
      </c>
      <c r="C21" t="s">
        <v>246</v>
      </c>
      <c r="D21" t="s">
        <v>313</v>
      </c>
      <c r="E21" t="s">
        <v>247</v>
      </c>
      <c r="F21" t="n">
        <v>169.7</v>
      </c>
      <c r="G21" t="n">
        <v>202.8</v>
      </c>
      <c r="H21" t="n">
        <v>219.7</v>
      </c>
      <c r="I21" t="n">
        <v>233.6</v>
      </c>
      <c r="J21" t="n">
        <v>238.1</v>
      </c>
      <c r="K21" t="n">
        <v>266.9</v>
      </c>
      <c r="L21" t="n">
        <v>324.9</v>
      </c>
      <c r="M21" t="n">
        <v>315</v>
      </c>
      <c r="N21" t="n">
        <v>357.1</v>
      </c>
      <c r="O21" t="n">
        <v>382.5</v>
      </c>
      <c r="P21" t="n">
        <v>367.1</v>
      </c>
      <c r="Q21" t="n">
        <v>341.5</v>
      </c>
      <c r="R21" t="n">
        <v>327.2</v>
      </c>
      <c r="S21" t="n">
        <v>334.6</v>
      </c>
      <c r="T21" t="n">
        <v>312.1</v>
      </c>
      <c r="U21" t="n">
        <v>319.5</v>
      </c>
      <c r="V21" t="n">
        <v>327.8</v>
      </c>
      <c r="W21" t="n">
        <v>338</v>
      </c>
      <c r="X21" t="n">
        <v>317.1</v>
      </c>
      <c r="Y21" t="n">
        <v>293.3</v>
      </c>
      <c r="Z21" t="n">
        <v>276.6</v>
      </c>
      <c r="AA21" t="n">
        <v>295.9</v>
      </c>
      <c r="AB21" t="n">
        <v>286.5</v>
      </c>
      <c r="AC21" t="n">
        <v>282.2</v>
      </c>
      <c r="AD21" t="n">
        <v>299.1</v>
      </c>
      <c r="AE21" t="n">
        <v>311.8</v>
      </c>
      <c r="AF21" t="n">
        <v>330</v>
      </c>
    </row>
    <row r="22">
      <c r="A22" t="s">
        <v>97</v>
      </c>
      <c r="B22" t="s">
        <v>314</v>
      </c>
      <c r="C22" t="s">
        <v>246</v>
      </c>
      <c r="D22" t="s">
        <v>315</v>
      </c>
      <c r="E22" t="s">
        <v>247</v>
      </c>
      <c r="F22" t="n">
        <v>53.6</v>
      </c>
      <c r="G22" t="n">
        <v>59.8</v>
      </c>
      <c r="H22" t="n">
        <v>69</v>
      </c>
      <c r="I22" t="n">
        <v>75.2</v>
      </c>
      <c r="J22" t="n">
        <v>83.6</v>
      </c>
      <c r="K22" t="n">
        <v>92.3</v>
      </c>
      <c r="L22" t="n">
        <v>100.6</v>
      </c>
      <c r="M22" t="n">
        <v>100.6</v>
      </c>
      <c r="N22" t="n">
        <v>106.5</v>
      </c>
      <c r="O22" t="n">
        <v>116.5</v>
      </c>
      <c r="P22" t="n">
        <v>109.1</v>
      </c>
      <c r="Q22" t="n">
        <v>116</v>
      </c>
      <c r="R22" t="n">
        <v>127.3</v>
      </c>
      <c r="S22" t="n">
        <v>120.4</v>
      </c>
      <c r="T22" t="n">
        <v>114.8</v>
      </c>
      <c r="U22" t="n">
        <v>115.7</v>
      </c>
      <c r="V22" t="n">
        <v>116.5</v>
      </c>
      <c r="W22" t="n">
        <v>131</v>
      </c>
      <c r="X22" t="n">
        <v>117.6</v>
      </c>
      <c r="Y22" t="n">
        <v>109.8</v>
      </c>
      <c r="Z22" t="n">
        <v>106.8</v>
      </c>
      <c r="AA22" t="n">
        <v>112.3</v>
      </c>
      <c r="AB22" t="n">
        <v>109.6</v>
      </c>
      <c r="AC22" t="n">
        <v>111.3</v>
      </c>
      <c r="AD22" t="n">
        <v>120.6</v>
      </c>
      <c r="AE22" t="n">
        <v>128.3</v>
      </c>
      <c r="AF22" t="n">
        <v>132.9</v>
      </c>
    </row>
    <row r="23">
      <c r="A23" t="s">
        <v>97</v>
      </c>
      <c r="B23" t="s">
        <v>316</v>
      </c>
      <c r="C23" t="s">
        <v>246</v>
      </c>
      <c r="D23" t="s">
        <v>317</v>
      </c>
      <c r="E23" t="s">
        <v>247</v>
      </c>
      <c r="F23" t="n">
        <v>164.5</v>
      </c>
      <c r="G23" t="n">
        <v>168.2</v>
      </c>
      <c r="H23" t="n">
        <v>216.8</v>
      </c>
      <c r="I23" t="n">
        <v>233.5</v>
      </c>
      <c r="J23" t="n">
        <v>204.2</v>
      </c>
      <c r="K23" t="n">
        <v>203.4</v>
      </c>
      <c r="L23" t="n">
        <v>229.6</v>
      </c>
      <c r="M23" t="n">
        <v>219.4</v>
      </c>
      <c r="N23" t="n">
        <v>239.7</v>
      </c>
      <c r="O23" t="n">
        <v>231.3</v>
      </c>
      <c r="P23" t="n">
        <v>219.6</v>
      </c>
      <c r="Q23" t="n">
        <v>214.3</v>
      </c>
      <c r="R23" t="n">
        <v>221.3</v>
      </c>
      <c r="S23" t="n">
        <v>213.7</v>
      </c>
      <c r="T23" t="n">
        <v>192.2</v>
      </c>
      <c r="U23" t="n">
        <v>207.2</v>
      </c>
      <c r="V23" t="n">
        <v>218.9</v>
      </c>
      <c r="W23" t="n">
        <v>205.8</v>
      </c>
      <c r="X23" t="n">
        <v>175.3</v>
      </c>
      <c r="Y23" t="n">
        <v>167.6</v>
      </c>
      <c r="Z23" t="n">
        <v>227.9</v>
      </c>
      <c r="AA23" t="n">
        <v>302.9</v>
      </c>
      <c r="AB23" t="n">
        <v>344.3</v>
      </c>
      <c r="AC23" t="n">
        <v>374</v>
      </c>
      <c r="AD23" t="n">
        <v>357.7</v>
      </c>
      <c r="AE23" t="n">
        <v>313.7</v>
      </c>
      <c r="AF23" t="n">
        <v>290.7</v>
      </c>
    </row>
    <row r="24">
      <c r="A24" t="s">
        <v>97</v>
      </c>
      <c r="B24" t="s">
        <v>318</v>
      </c>
      <c r="C24" t="s">
        <v>246</v>
      </c>
      <c r="D24" t="s">
        <v>319</v>
      </c>
      <c r="E24" t="s">
        <v>247</v>
      </c>
      <c r="F24" t="n">
        <v>494.2</v>
      </c>
      <c r="G24" t="n">
        <v>554.1</v>
      </c>
      <c r="H24" t="n">
        <v>800.1</v>
      </c>
      <c r="I24" t="n">
        <v>895.7</v>
      </c>
      <c r="J24" t="n">
        <v>888.1</v>
      </c>
      <c r="K24" t="n">
        <v>942.9</v>
      </c>
      <c r="L24" t="n">
        <v>965.4</v>
      </c>
      <c r="M24" t="n">
        <v>927.1</v>
      </c>
      <c r="N24" t="n">
        <v>1007.9</v>
      </c>
      <c r="O24" t="n">
        <v>1017</v>
      </c>
      <c r="P24" t="n">
        <v>1031.1</v>
      </c>
      <c r="Q24" t="n">
        <v>1021</v>
      </c>
      <c r="R24" t="n">
        <v>1053.2</v>
      </c>
      <c r="S24" t="n">
        <v>1027.8</v>
      </c>
      <c r="T24" t="n">
        <v>884</v>
      </c>
      <c r="U24" t="n">
        <v>921.6</v>
      </c>
      <c r="V24" t="n">
        <v>957.2</v>
      </c>
      <c r="W24" t="n">
        <v>926</v>
      </c>
      <c r="X24" t="n">
        <v>797.3</v>
      </c>
      <c r="Y24" t="n">
        <v>689.5</v>
      </c>
      <c r="Z24" t="n">
        <v>629.2</v>
      </c>
      <c r="AA24" t="n">
        <v>622.5</v>
      </c>
      <c r="AB24" t="n">
        <v>598.9</v>
      </c>
      <c r="AC24" t="n">
        <v>618.7</v>
      </c>
      <c r="AD24" t="n">
        <v>623.4</v>
      </c>
      <c r="AE24" t="n">
        <v>588.7</v>
      </c>
      <c r="AF24" t="n">
        <v>541.8</v>
      </c>
    </row>
    <row r="25">
      <c r="A25" t="s">
        <v>97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97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97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97</v>
      </c>
      <c r="B28" t="s">
        <v>326</v>
      </c>
      <c r="C28" t="s">
        <v>246</v>
      </c>
      <c r="D28" t="s">
        <v>327</v>
      </c>
      <c r="E28" t="s">
        <v>247</v>
      </c>
      <c r="F28" t="n">
        <v>549.7</v>
      </c>
      <c r="G28" t="n">
        <v>565.5</v>
      </c>
      <c r="H28" t="n">
        <v>645.3</v>
      </c>
      <c r="I28" t="n">
        <v>707.4</v>
      </c>
      <c r="J28" t="n">
        <v>747.5</v>
      </c>
      <c r="K28" t="n">
        <v>758.3</v>
      </c>
      <c r="L28" t="n">
        <v>784.2</v>
      </c>
      <c r="M28" t="n">
        <v>857</v>
      </c>
      <c r="N28" t="n">
        <v>784.1</v>
      </c>
      <c r="O28" t="n">
        <v>738.8</v>
      </c>
      <c r="P28" t="n">
        <v>799.6</v>
      </c>
      <c r="Q28" t="n">
        <v>896.3</v>
      </c>
      <c r="R28" t="n">
        <v>1041</v>
      </c>
      <c r="S28" t="n">
        <v>1039.4</v>
      </c>
      <c r="T28" t="n">
        <v>918.9</v>
      </c>
      <c r="U28" t="n">
        <v>897.4</v>
      </c>
      <c r="V28" t="n">
        <v>872.6</v>
      </c>
      <c r="W28" t="n">
        <v>743.1</v>
      </c>
      <c r="X28" t="n">
        <v>604.3</v>
      </c>
      <c r="Y28" t="n">
        <v>572.7</v>
      </c>
      <c r="Z28" t="n">
        <v>597</v>
      </c>
      <c r="AA28" t="n">
        <v>581.7</v>
      </c>
      <c r="AB28" t="n">
        <v>550.6</v>
      </c>
      <c r="AC28" t="n">
        <v>578.3</v>
      </c>
      <c r="AD28" t="n">
        <v>727.4</v>
      </c>
      <c r="AE28" t="n">
        <v>830.2</v>
      </c>
      <c r="AF28" t="n">
        <v>1027.2</v>
      </c>
    </row>
    <row r="29">
      <c r="A29" t="s">
        <v>97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97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97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97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97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97</v>
      </c>
      <c r="B34" t="s">
        <v>338</v>
      </c>
      <c r="C34" t="s">
        <v>246</v>
      </c>
      <c r="D34" t="s">
        <v>339</v>
      </c>
      <c r="E34" t="s">
        <v>247</v>
      </c>
      <c r="F34" t="n">
        <v>1294.2</v>
      </c>
      <c r="G34" t="n">
        <v>1588.3</v>
      </c>
      <c r="H34" t="n">
        <v>1384.3</v>
      </c>
      <c r="I34" t="n">
        <v>1453.9</v>
      </c>
      <c r="J34" t="n">
        <v>1454.8</v>
      </c>
      <c r="K34" t="n">
        <v>1692.7</v>
      </c>
      <c r="L34" t="n">
        <v>2207</v>
      </c>
      <c r="M34" t="n">
        <v>2005.9</v>
      </c>
      <c r="N34" t="n">
        <v>1923.8</v>
      </c>
      <c r="O34" t="n">
        <v>2106.3</v>
      </c>
      <c r="P34" t="n">
        <v>2141.5</v>
      </c>
      <c r="Q34" t="n">
        <v>1980.2</v>
      </c>
      <c r="R34" t="n">
        <v>1950.7</v>
      </c>
      <c r="S34" t="n">
        <v>1739.9</v>
      </c>
      <c r="T34" t="n">
        <v>1716.2</v>
      </c>
      <c r="U34" t="n">
        <v>1782.3</v>
      </c>
      <c r="V34" t="n">
        <v>1855.2</v>
      </c>
      <c r="W34" t="n">
        <v>1703.8</v>
      </c>
      <c r="X34" t="n">
        <v>1358.8</v>
      </c>
      <c r="Y34" t="n">
        <v>1067.5</v>
      </c>
      <c r="Z34" t="n">
        <v>877.8</v>
      </c>
      <c r="AA34" t="n">
        <v>739.5</v>
      </c>
      <c r="AB34" t="n">
        <v>669</v>
      </c>
      <c r="AC34" t="n">
        <v>676.7</v>
      </c>
      <c r="AD34" t="n">
        <v>683.9</v>
      </c>
      <c r="AE34" t="n">
        <v>658.9</v>
      </c>
      <c r="AF34" t="n">
        <v>630.9</v>
      </c>
    </row>
    <row r="35">
      <c r="A35" t="s">
        <v>97</v>
      </c>
      <c r="B35" t="s">
        <v>340</v>
      </c>
      <c r="C35" t="s">
        <v>246</v>
      </c>
      <c r="D35" t="s">
        <v>341</v>
      </c>
      <c r="E35" t="s">
        <v>247</v>
      </c>
      <c r="F35" t="n">
        <v>3792.3</v>
      </c>
      <c r="G35" t="n">
        <v>4079.7</v>
      </c>
      <c r="H35" t="n">
        <v>4908.9</v>
      </c>
      <c r="I35" t="n">
        <v>5360.1</v>
      </c>
      <c r="J35" t="n">
        <v>5746.4</v>
      </c>
      <c r="K35" t="n">
        <v>6333.2</v>
      </c>
      <c r="L35" t="n">
        <v>6310.9</v>
      </c>
      <c r="M35" t="n">
        <v>6995.6</v>
      </c>
      <c r="N35" t="n">
        <v>6647.9</v>
      </c>
      <c r="O35" t="n">
        <v>6473.5</v>
      </c>
      <c r="P35" t="n">
        <v>6830.1</v>
      </c>
      <c r="Q35" t="n">
        <v>6251.9</v>
      </c>
      <c r="R35" t="n">
        <v>6105.1</v>
      </c>
      <c r="S35" t="n">
        <v>6197.7</v>
      </c>
      <c r="T35" t="n">
        <v>5937.8</v>
      </c>
      <c r="U35" t="n">
        <v>6267.6</v>
      </c>
      <c r="V35" t="n">
        <v>6548.8</v>
      </c>
      <c r="W35" t="n">
        <v>7540.4</v>
      </c>
      <c r="X35" t="n">
        <v>8199</v>
      </c>
      <c r="Y35" t="n">
        <v>8542</v>
      </c>
      <c r="Z35" t="n">
        <v>9338.6</v>
      </c>
      <c r="AA35" t="n">
        <v>9316.8</v>
      </c>
      <c r="AB35" t="n">
        <v>10178.7</v>
      </c>
      <c r="AC35" t="n">
        <v>10857.2</v>
      </c>
      <c r="AD35" t="n">
        <v>11082.4</v>
      </c>
      <c r="AE35" t="n">
        <v>11014.4</v>
      </c>
      <c r="AF35" t="n">
        <v>10914.3</v>
      </c>
    </row>
    <row r="36">
      <c r="A36" t="s">
        <v>97</v>
      </c>
      <c r="B36" t="s">
        <v>342</v>
      </c>
      <c r="C36" t="s">
        <v>246</v>
      </c>
      <c r="D36" t="s">
        <v>343</v>
      </c>
      <c r="E36" t="s">
        <v>247</v>
      </c>
      <c r="F36" t="n">
        <v>465.9</v>
      </c>
      <c r="G36" t="n">
        <v>623.3</v>
      </c>
      <c r="H36" t="n">
        <v>866</v>
      </c>
      <c r="I36" t="n">
        <v>935.4</v>
      </c>
      <c r="J36" t="n">
        <v>1116.4</v>
      </c>
      <c r="K36" t="n">
        <v>1248.5</v>
      </c>
      <c r="L36" t="n">
        <v>1331.7</v>
      </c>
      <c r="M36" t="n">
        <v>1675.4</v>
      </c>
      <c r="N36" t="n">
        <v>1583.8</v>
      </c>
      <c r="O36" t="n">
        <v>1518.2</v>
      </c>
      <c r="P36" t="n">
        <v>1615.2</v>
      </c>
      <c r="Q36" t="n">
        <v>1403.8</v>
      </c>
      <c r="R36" t="n">
        <v>1273.3</v>
      </c>
      <c r="S36" t="n">
        <v>1321.9</v>
      </c>
      <c r="T36" t="n">
        <v>1149.9</v>
      </c>
      <c r="U36" t="n">
        <v>1254</v>
      </c>
      <c r="V36" t="n">
        <v>1348.3</v>
      </c>
      <c r="W36" t="n">
        <v>1524.3</v>
      </c>
      <c r="X36" t="n">
        <v>1419.6</v>
      </c>
      <c r="Y36" t="n">
        <v>1259.6</v>
      </c>
      <c r="Z36" t="n">
        <v>1104.3</v>
      </c>
      <c r="AA36" t="n">
        <v>924.7</v>
      </c>
      <c r="AB36" t="n">
        <v>742.1</v>
      </c>
      <c r="AC36" t="n">
        <v>679.1</v>
      </c>
      <c r="AD36" t="n">
        <v>718</v>
      </c>
      <c r="AE36" t="n">
        <v>723.5</v>
      </c>
      <c r="AF36"/>
    </row>
    <row r="37">
      <c r="A37" t="s">
        <v>97</v>
      </c>
      <c r="B37" t="s">
        <v>344</v>
      </c>
      <c r="C37" t="s">
        <v>246</v>
      </c>
      <c r="D37" t="s">
        <v>345</v>
      </c>
      <c r="E37" t="s">
        <v>247</v>
      </c>
      <c r="F37" t="n">
        <v>2950.8</v>
      </c>
      <c r="G37" t="n">
        <v>3028.8</v>
      </c>
      <c r="H37" t="n">
        <v>3477.5</v>
      </c>
      <c r="I37" t="n">
        <v>3830</v>
      </c>
      <c r="J37" t="n">
        <v>4041.4</v>
      </c>
      <c r="K37" t="n">
        <v>4494.5</v>
      </c>
      <c r="L37" t="n">
        <v>4393.8</v>
      </c>
      <c r="M37" t="n">
        <v>4800.6</v>
      </c>
      <c r="N37" t="n">
        <v>4198.7</v>
      </c>
      <c r="O37" t="n">
        <v>4068.9</v>
      </c>
      <c r="P37" t="n">
        <v>4255.4</v>
      </c>
      <c r="Q37" t="n">
        <v>3957.8</v>
      </c>
      <c r="R37" t="n">
        <v>3950</v>
      </c>
      <c r="S37" t="n">
        <v>4105.4</v>
      </c>
      <c r="T37" t="n">
        <v>4035.5</v>
      </c>
      <c r="U37" t="n">
        <v>4235.3</v>
      </c>
      <c r="V37" t="n">
        <v>4399.3</v>
      </c>
      <c r="W37" t="n">
        <v>5205.5</v>
      </c>
      <c r="X37" t="n">
        <v>6023.2</v>
      </c>
      <c r="Y37" t="n">
        <v>6539.7</v>
      </c>
      <c r="Z37" t="n">
        <v>7284.6</v>
      </c>
      <c r="AA37" t="n">
        <v>7284</v>
      </c>
      <c r="AB37" t="n">
        <v>8314</v>
      </c>
      <c r="AC37" t="n">
        <v>9111.1</v>
      </c>
      <c r="AD37" t="n">
        <v>9308</v>
      </c>
      <c r="AE37" t="n">
        <v>9242.8</v>
      </c>
      <c r="AF37"/>
    </row>
    <row r="38">
      <c r="A38" t="s">
        <v>97</v>
      </c>
      <c r="B38" t="s">
        <v>346</v>
      </c>
      <c r="C38" t="s">
        <v>246</v>
      </c>
      <c r="D38" t="s">
        <v>347</v>
      </c>
      <c r="E38" t="s">
        <v>247</v>
      </c>
      <c r="F38" t="n">
        <v>375.6</v>
      </c>
      <c r="G38" t="n">
        <v>427.6</v>
      </c>
      <c r="H38" t="n">
        <v>565.4</v>
      </c>
      <c r="I38" t="n">
        <v>594.7</v>
      </c>
      <c r="J38" t="n">
        <v>588.6</v>
      </c>
      <c r="K38" t="n">
        <v>590.2</v>
      </c>
      <c r="L38" t="n">
        <v>585.4</v>
      </c>
      <c r="M38" t="n">
        <v>519.6</v>
      </c>
      <c r="N38" t="n">
        <v>865.4</v>
      </c>
      <c r="O38" t="n">
        <v>886.4</v>
      </c>
      <c r="P38" t="n">
        <v>959.5</v>
      </c>
      <c r="Q38" t="n">
        <v>890.3</v>
      </c>
      <c r="R38" t="n">
        <v>881.8</v>
      </c>
      <c r="S38" t="n">
        <v>770.4</v>
      </c>
      <c r="T38" t="n">
        <v>752.4</v>
      </c>
      <c r="U38" t="n">
        <v>778.3</v>
      </c>
      <c r="V38" t="n">
        <v>801.2</v>
      </c>
      <c r="W38" t="n">
        <v>810.6</v>
      </c>
      <c r="X38" t="n">
        <v>756.2</v>
      </c>
      <c r="Y38" t="n">
        <v>742.7</v>
      </c>
      <c r="Z38" t="n">
        <v>949.7</v>
      </c>
      <c r="AA38" t="n">
        <v>1108.1</v>
      </c>
      <c r="AB38" t="n">
        <v>1122.6</v>
      </c>
      <c r="AC38" t="n">
        <v>1067</v>
      </c>
      <c r="AD38" t="n">
        <v>1056.4</v>
      </c>
      <c r="AE38" t="n">
        <v>1048.1</v>
      </c>
      <c r="AF38"/>
    </row>
    <row r="39">
      <c r="A39" t="s">
        <v>97</v>
      </c>
      <c r="B39" t="s">
        <v>348</v>
      </c>
      <c r="C39" t="s">
        <v>246</v>
      </c>
      <c r="D39" t="s">
        <v>349</v>
      </c>
      <c r="E39" t="s">
        <v>247</v>
      </c>
      <c r="F39" t="n">
        <v>673</v>
      </c>
      <c r="G39" t="n">
        <v>703.7</v>
      </c>
      <c r="H39" t="n">
        <v>782.4</v>
      </c>
      <c r="I39" t="n">
        <v>810.9</v>
      </c>
      <c r="J39" t="n">
        <v>813.1</v>
      </c>
      <c r="K39" t="n">
        <v>773.3</v>
      </c>
      <c r="L39" t="n">
        <v>742.8</v>
      </c>
      <c r="M39" t="n">
        <v>794.8</v>
      </c>
      <c r="N39" t="n">
        <v>757.7</v>
      </c>
      <c r="O39" t="n">
        <v>811.9</v>
      </c>
      <c r="P39" t="n">
        <v>794.5</v>
      </c>
      <c r="Q39" t="n">
        <v>720.3</v>
      </c>
      <c r="R39" t="n">
        <v>743.1</v>
      </c>
      <c r="S39" t="n">
        <v>807.9</v>
      </c>
      <c r="T39" t="n">
        <v>1179.1</v>
      </c>
      <c r="U39" t="n">
        <v>991.1</v>
      </c>
      <c r="V39" t="n">
        <v>989.6</v>
      </c>
      <c r="W39" t="n">
        <v>996.8</v>
      </c>
      <c r="X39" t="n">
        <v>963.9</v>
      </c>
      <c r="Y39" t="n">
        <v>919.8</v>
      </c>
      <c r="Z39" t="n">
        <v>930.5</v>
      </c>
      <c r="AA39" t="n">
        <v>1055.2</v>
      </c>
      <c r="AB39" t="n">
        <v>1164.5</v>
      </c>
      <c r="AC39" t="n">
        <v>1207.6</v>
      </c>
      <c r="AD39" t="n">
        <v>1411.3</v>
      </c>
      <c r="AE39" t="n">
        <v>1526.4</v>
      </c>
      <c r="AF39" t="n">
        <v>1687.5</v>
      </c>
    </row>
    <row r="40">
      <c r="A40" t="s">
        <v>97</v>
      </c>
      <c r="B40" t="s">
        <v>350</v>
      </c>
      <c r="C40" t="s">
        <v>246</v>
      </c>
      <c r="D40" t="s">
        <v>351</v>
      </c>
      <c r="E40" t="s">
        <v>247</v>
      </c>
      <c r="F40" t="n">
        <v>68.2</v>
      </c>
      <c r="G40" t="n">
        <v>63.1</v>
      </c>
      <c r="H40" t="n">
        <v>65.1</v>
      </c>
      <c r="I40" t="n">
        <v>65.5</v>
      </c>
      <c r="J40" t="n">
        <v>65.9</v>
      </c>
      <c r="K40" t="n">
        <v>66.3</v>
      </c>
      <c r="L40" t="n">
        <v>71</v>
      </c>
      <c r="M40" t="n">
        <v>68.8</v>
      </c>
      <c r="N40" t="n">
        <v>76.3</v>
      </c>
      <c r="O40" t="n">
        <v>78.1</v>
      </c>
      <c r="P40" t="n">
        <v>180.9</v>
      </c>
      <c r="Q40" t="n">
        <v>147.3</v>
      </c>
      <c r="R40" t="n">
        <v>114.6</v>
      </c>
      <c r="S40" t="n">
        <v>96.1</v>
      </c>
      <c r="T40" t="n">
        <v>78.7</v>
      </c>
      <c r="U40" t="n">
        <v>78.8</v>
      </c>
      <c r="V40" t="n">
        <v>77</v>
      </c>
      <c r="W40" t="n">
        <v>101.3</v>
      </c>
      <c r="X40" t="n">
        <v>95.4</v>
      </c>
      <c r="Y40" t="n">
        <v>93.2</v>
      </c>
      <c r="Z40" t="n">
        <v>81.1</v>
      </c>
      <c r="AA40" t="n">
        <v>112.8</v>
      </c>
      <c r="AB40" t="n">
        <v>105.3</v>
      </c>
      <c r="AC40" t="n">
        <v>109.7</v>
      </c>
      <c r="AD40" t="n">
        <v>139</v>
      </c>
      <c r="AE40" t="n">
        <v>142.9</v>
      </c>
      <c r="AF40" t="n">
        <v>166.7</v>
      </c>
    </row>
    <row r="41">
      <c r="A41" t="s">
        <v>97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97</v>
      </c>
      <c r="B42" t="s">
        <v>354</v>
      </c>
      <c r="C42" t="s">
        <v>246</v>
      </c>
      <c r="D42" t="s">
        <v>355</v>
      </c>
      <c r="E42" t="s">
        <v>247</v>
      </c>
      <c r="F42" t="n">
        <v>527.9</v>
      </c>
      <c r="G42" t="n">
        <v>546.8</v>
      </c>
      <c r="H42" t="n">
        <v>627.4</v>
      </c>
      <c r="I42" t="n">
        <v>647.3</v>
      </c>
      <c r="J42" t="n">
        <v>649</v>
      </c>
      <c r="K42" t="n">
        <v>752.6</v>
      </c>
      <c r="L42" t="n">
        <v>810.5</v>
      </c>
      <c r="M42" t="n">
        <v>800.3</v>
      </c>
      <c r="N42" t="n">
        <v>825</v>
      </c>
      <c r="O42" t="n">
        <v>836.4</v>
      </c>
      <c r="P42" t="n">
        <v>829.1</v>
      </c>
      <c r="Q42" t="n">
        <v>859.9</v>
      </c>
      <c r="R42" t="n">
        <v>875</v>
      </c>
      <c r="S42" t="n">
        <v>804.4</v>
      </c>
      <c r="T42" t="n">
        <v>741</v>
      </c>
      <c r="U42" t="n">
        <v>769.1</v>
      </c>
      <c r="V42" t="n">
        <v>777.7</v>
      </c>
      <c r="W42" t="n">
        <v>910.2</v>
      </c>
      <c r="X42" t="n">
        <v>916</v>
      </c>
      <c r="Y42" t="n">
        <v>941</v>
      </c>
      <c r="Z42" t="n">
        <v>1183.2</v>
      </c>
      <c r="AA42" t="n">
        <v>1340.4</v>
      </c>
      <c r="AB42" t="n">
        <v>1425.4</v>
      </c>
      <c r="AC42" t="n">
        <v>1369.9</v>
      </c>
      <c r="AD42" t="n">
        <v>1298.9</v>
      </c>
      <c r="AE42" t="n">
        <v>1256.5</v>
      </c>
      <c r="AF42" t="n">
        <v>1217</v>
      </c>
    </row>
    <row r="43">
      <c r="A43" t="s">
        <v>97</v>
      </c>
      <c r="B43" t="s">
        <v>356</v>
      </c>
      <c r="C43" t="s">
        <v>246</v>
      </c>
      <c r="D43" t="s">
        <v>357</v>
      </c>
      <c r="E43" t="s">
        <v>247</v>
      </c>
      <c r="F43" t="n">
        <v>620</v>
      </c>
      <c r="G43" t="n">
        <v>648</v>
      </c>
      <c r="H43" t="n">
        <v>753.1</v>
      </c>
      <c r="I43" t="n">
        <v>781.8</v>
      </c>
      <c r="J43" t="n">
        <v>785.9</v>
      </c>
      <c r="K43" t="n">
        <v>899.5</v>
      </c>
      <c r="L43" t="n">
        <v>974.8</v>
      </c>
      <c r="M43" t="n">
        <v>965.2</v>
      </c>
      <c r="N43" t="n">
        <v>993.8</v>
      </c>
      <c r="O43" t="n">
        <v>1012.2</v>
      </c>
      <c r="P43" t="n">
        <v>1000.3</v>
      </c>
      <c r="Q43" t="n">
        <v>1028.4</v>
      </c>
      <c r="R43" t="n">
        <v>1045.8</v>
      </c>
      <c r="S43" t="n">
        <v>986.6</v>
      </c>
      <c r="T43" t="n">
        <v>906.9</v>
      </c>
      <c r="U43" t="n">
        <v>941.9</v>
      </c>
      <c r="V43" t="n">
        <v>954.4</v>
      </c>
      <c r="W43" t="n">
        <v>1117.7</v>
      </c>
      <c r="X43" t="n">
        <v>1113.3</v>
      </c>
      <c r="Y43" t="n">
        <v>1137.2</v>
      </c>
      <c r="Z43" t="n">
        <v>1400.9</v>
      </c>
      <c r="AA43" t="n">
        <v>1579</v>
      </c>
      <c r="AB43" t="n">
        <v>1645.4</v>
      </c>
      <c r="AC43" t="n">
        <v>1590</v>
      </c>
      <c r="AD43" t="n">
        <v>1524.1</v>
      </c>
      <c r="AE43" t="n">
        <v>1497</v>
      </c>
      <c r="AF43" t="n">
        <v>1454.2</v>
      </c>
    </row>
    <row r="44">
      <c r="A44" t="s">
        <v>97</v>
      </c>
      <c r="B44" t="s">
        <v>358</v>
      </c>
      <c r="C44" t="s">
        <v>246</v>
      </c>
      <c r="D44" t="s">
        <v>359</v>
      </c>
      <c r="E44" t="s">
        <v>247</v>
      </c>
      <c r="F44" t="n">
        <v>8700.1</v>
      </c>
      <c r="G44" t="n">
        <v>9572.7</v>
      </c>
      <c r="H44" t="n">
        <v>11069.9</v>
      </c>
      <c r="I44" t="n">
        <v>11996</v>
      </c>
      <c r="J44" t="n">
        <v>12451.5</v>
      </c>
      <c r="K44" t="n">
        <v>13620.2</v>
      </c>
      <c r="L44" t="n">
        <v>14498</v>
      </c>
      <c r="M44" t="n">
        <v>15027.2</v>
      </c>
      <c r="N44" t="n">
        <v>14650.8</v>
      </c>
      <c r="O44" t="n">
        <v>14782.3</v>
      </c>
      <c r="P44" t="n">
        <v>15233.4</v>
      </c>
      <c r="Q44" t="n">
        <v>14463.3</v>
      </c>
      <c r="R44" t="n">
        <v>14502.6</v>
      </c>
      <c r="S44" t="n">
        <v>14317.3</v>
      </c>
      <c r="T44" t="n">
        <v>13890.3</v>
      </c>
      <c r="U44" t="n">
        <v>14198.3</v>
      </c>
      <c r="V44" t="n">
        <v>14619.6</v>
      </c>
      <c r="W44" t="n">
        <v>15457.1</v>
      </c>
      <c r="X44" t="n">
        <v>15295.5</v>
      </c>
      <c r="Y44" t="n">
        <v>15137.2</v>
      </c>
      <c r="Z44" t="n">
        <v>16058.5</v>
      </c>
      <c r="AA44" t="n">
        <v>16447.5</v>
      </c>
      <c r="AB44" t="n">
        <v>17385.4</v>
      </c>
      <c r="AC44" t="n">
        <v>18275.7</v>
      </c>
      <c r="AD44" t="n">
        <v>19030.1</v>
      </c>
      <c r="AE44" t="n">
        <v>19038</v>
      </c>
      <c r="AF44" t="n">
        <v>19215.6</v>
      </c>
    </row>
    <row r="45">
      <c r="A45" t="s">
        <v>97</v>
      </c>
      <c r="B45" t="s">
        <v>360</v>
      </c>
      <c r="C45" t="s">
        <v>246</v>
      </c>
      <c r="D45" t="s">
        <v>361</v>
      </c>
      <c r="E45" t="s">
        <v>247</v>
      </c>
      <c r="F45" t="n">
        <v>8693.4</v>
      </c>
      <c r="G45" t="n">
        <v>9564.9</v>
      </c>
      <c r="H45" t="n">
        <v>11059.8</v>
      </c>
      <c r="I45" t="n">
        <v>11985.1</v>
      </c>
      <c r="J45" t="n">
        <v>12440.1</v>
      </c>
      <c r="K45" t="n">
        <v>13606.8</v>
      </c>
      <c r="L45" t="n">
        <v>14483</v>
      </c>
      <c r="M45" t="n">
        <v>15011.2</v>
      </c>
      <c r="N45" t="n">
        <v>14633.3</v>
      </c>
      <c r="O45" t="n">
        <v>14762.7</v>
      </c>
      <c r="P45" t="n">
        <v>15212.7</v>
      </c>
      <c r="Q45" t="n">
        <v>14443.2</v>
      </c>
      <c r="R45" t="n">
        <v>14483.3</v>
      </c>
      <c r="S45" t="n">
        <v>14296.8</v>
      </c>
      <c r="T45" t="n">
        <v>13869.3</v>
      </c>
      <c r="U45" t="n">
        <v>14177</v>
      </c>
      <c r="V45" t="n">
        <v>14598</v>
      </c>
      <c r="W45" t="n">
        <v>15435.2</v>
      </c>
      <c r="X45" t="n">
        <v>15275</v>
      </c>
      <c r="Y45" t="n">
        <v>15118.1</v>
      </c>
      <c r="Z45" t="n">
        <v>16039.9</v>
      </c>
      <c r="AA45" t="n">
        <v>16428.5</v>
      </c>
      <c r="AB45" t="n">
        <v>17366.6</v>
      </c>
      <c r="AC45" t="n">
        <v>18257.3</v>
      </c>
      <c r="AD45" t="n">
        <v>19011.9</v>
      </c>
      <c r="AE45" t="n">
        <v>19020.4</v>
      </c>
      <c r="AF45" t="n">
        <v>19198.3</v>
      </c>
    </row>
    <row r="46">
      <c r="A46" t="s">
        <v>97</v>
      </c>
      <c r="B46" t="s">
        <v>362</v>
      </c>
      <c r="C46" t="s">
        <v>246</v>
      </c>
      <c r="D46" t="s">
        <v>363</v>
      </c>
      <c r="E46" t="s">
        <v>247</v>
      </c>
      <c r="F46" t="n">
        <v>92.1</v>
      </c>
      <c r="G46" t="n">
        <v>101.2</v>
      </c>
      <c r="H46" t="n">
        <v>125.7</v>
      </c>
      <c r="I46" t="n">
        <v>134.5</v>
      </c>
      <c r="J46" t="n">
        <v>136.9</v>
      </c>
      <c r="K46" t="n">
        <v>146.9</v>
      </c>
      <c r="L46" t="n">
        <v>164.3</v>
      </c>
      <c r="M46" t="n">
        <v>164.9</v>
      </c>
      <c r="N46" t="n">
        <v>168.8</v>
      </c>
      <c r="O46" t="n">
        <v>175.8</v>
      </c>
      <c r="P46" t="n">
        <v>171.2</v>
      </c>
      <c r="Q46" t="n">
        <v>168.5</v>
      </c>
      <c r="R46" t="n">
        <v>170.8</v>
      </c>
      <c r="S46" t="n">
        <v>182.2</v>
      </c>
      <c r="T46" t="n">
        <v>165.9</v>
      </c>
      <c r="U46" t="n">
        <v>172.8</v>
      </c>
      <c r="V46" t="n">
        <v>176.7</v>
      </c>
      <c r="W46" t="n">
        <v>207.5</v>
      </c>
      <c r="X46" t="n">
        <v>197.3</v>
      </c>
      <c r="Y46" t="n">
        <v>196.2</v>
      </c>
      <c r="Z46" t="n">
        <v>217.7</v>
      </c>
      <c r="AA46" t="n">
        <v>238.6</v>
      </c>
      <c r="AB46" t="n">
        <v>220</v>
      </c>
      <c r="AC46" t="n">
        <v>220.1</v>
      </c>
      <c r="AD46" t="n">
        <v>225.2</v>
      </c>
      <c r="AE46" t="n">
        <v>240.5</v>
      </c>
      <c r="AF46" t="n">
        <v>237.2</v>
      </c>
    </row>
    <row r="47">
      <c r="A47" t="s">
        <v>97</v>
      </c>
      <c r="B47" t="s">
        <v>364</v>
      </c>
      <c r="C47" t="s">
        <v>246</v>
      </c>
      <c r="D47" t="s">
        <v>365</v>
      </c>
      <c r="E47" t="s">
        <v>247</v>
      </c>
      <c r="F47" t="n">
        <v>569.8</v>
      </c>
      <c r="G47" t="n">
        <v>591.3</v>
      </c>
      <c r="H47" t="n">
        <v>626.6</v>
      </c>
      <c r="I47" t="n">
        <v>697.3</v>
      </c>
      <c r="J47" t="n">
        <v>809.7</v>
      </c>
      <c r="K47" t="n">
        <v>864.1</v>
      </c>
      <c r="L47" t="n">
        <v>927.4</v>
      </c>
      <c r="M47" t="n">
        <v>1006.2</v>
      </c>
      <c r="N47" t="n">
        <v>1143.1</v>
      </c>
      <c r="O47" t="n">
        <v>1162</v>
      </c>
      <c r="P47" t="n">
        <v>1207.8</v>
      </c>
      <c r="Q47" t="n">
        <v>1251.7</v>
      </c>
      <c r="R47" t="n">
        <v>1373.8</v>
      </c>
      <c r="S47" t="n">
        <v>1529.2</v>
      </c>
      <c r="T47" t="n">
        <v>1715.2</v>
      </c>
      <c r="U47" t="n">
        <v>1577.3</v>
      </c>
      <c r="V47" t="n">
        <v>1635.8</v>
      </c>
      <c r="W47" t="n">
        <v>1529</v>
      </c>
      <c r="X47" t="n">
        <v>1406.2</v>
      </c>
      <c r="Y47" t="n">
        <v>1202.8</v>
      </c>
      <c r="Z47" t="n">
        <v>1130.3</v>
      </c>
      <c r="AA47" t="n">
        <v>1296.5</v>
      </c>
      <c r="AB47" t="n">
        <v>1274.1</v>
      </c>
      <c r="AC47" t="n">
        <v>1105.2</v>
      </c>
      <c r="AD47" t="n">
        <v>972.8</v>
      </c>
      <c r="AE47" t="n">
        <v>883.7</v>
      </c>
      <c r="AF47" t="n">
        <v>973.4</v>
      </c>
    </row>
    <row r="48">
      <c r="A48" t="s">
        <v>97</v>
      </c>
      <c r="B48" t="s">
        <v>366</v>
      </c>
      <c r="C48" t="s">
        <v>246</v>
      </c>
      <c r="D48" t="s">
        <v>367</v>
      </c>
      <c r="E48" t="s">
        <v>247</v>
      </c>
      <c r="F48" t="n">
        <v>763</v>
      </c>
      <c r="G48" t="n">
        <v>805.5</v>
      </c>
      <c r="H48" t="n">
        <v>867</v>
      </c>
      <c r="I48" t="n">
        <v>959.2</v>
      </c>
      <c r="J48" t="n">
        <v>1089.2</v>
      </c>
      <c r="K48" t="n">
        <v>1158.9</v>
      </c>
      <c r="L48" t="n">
        <v>1251.5</v>
      </c>
      <c r="M48" t="n">
        <v>1354.2</v>
      </c>
      <c r="N48" t="n">
        <v>1490.2</v>
      </c>
      <c r="O48" t="n">
        <v>1528.7</v>
      </c>
      <c r="P48" t="n">
        <v>1587.8</v>
      </c>
      <c r="Q48" t="n">
        <v>1627.2</v>
      </c>
      <c r="R48" t="n">
        <v>1734.7</v>
      </c>
      <c r="S48" t="n">
        <v>1887.9</v>
      </c>
      <c r="T48" t="n">
        <v>2072.3</v>
      </c>
      <c r="U48" t="n">
        <v>1960.1</v>
      </c>
      <c r="V48" t="n">
        <v>2039.7</v>
      </c>
      <c r="W48" t="n">
        <v>1952</v>
      </c>
      <c r="X48" t="n">
        <v>1789.4</v>
      </c>
      <c r="Y48" t="n">
        <v>1587</v>
      </c>
      <c r="Z48" t="n">
        <v>1533</v>
      </c>
      <c r="AA48" t="n">
        <v>1776.2</v>
      </c>
      <c r="AB48" t="n">
        <v>1830.8</v>
      </c>
      <c r="AC48" t="n">
        <v>1696.2</v>
      </c>
      <c r="AD48" t="n">
        <v>1652.6</v>
      </c>
      <c r="AE48" t="n">
        <v>1760.8</v>
      </c>
      <c r="AF48" t="n">
        <v>1867.5</v>
      </c>
    </row>
    <row r="49">
      <c r="A49" t="s">
        <v>97</v>
      </c>
      <c r="B49" t="s">
        <v>368</v>
      </c>
      <c r="C49" t="s">
        <v>246</v>
      </c>
      <c r="D49" t="s">
        <v>369</v>
      </c>
      <c r="E49" t="s">
        <v>247</v>
      </c>
      <c r="F49" t="n">
        <v>57.8</v>
      </c>
      <c r="G49" t="n">
        <v>67.7</v>
      </c>
      <c r="H49" t="n">
        <v>79.2</v>
      </c>
      <c r="I49" t="n">
        <v>80.2</v>
      </c>
      <c r="J49" t="n">
        <v>83</v>
      </c>
      <c r="K49" t="n">
        <v>83.7</v>
      </c>
      <c r="L49" t="n">
        <v>92</v>
      </c>
      <c r="M49" t="n">
        <v>110.9</v>
      </c>
      <c r="N49" t="n">
        <v>114.1</v>
      </c>
      <c r="O49" t="n">
        <v>126</v>
      </c>
      <c r="P49" t="n">
        <v>126.1</v>
      </c>
      <c r="Q49" t="n">
        <v>128.7</v>
      </c>
      <c r="R49" t="n">
        <v>116.5</v>
      </c>
      <c r="S49" t="n">
        <v>120.7</v>
      </c>
      <c r="T49" t="n">
        <v>117</v>
      </c>
      <c r="U49" t="n">
        <v>121.5</v>
      </c>
      <c r="V49" t="n">
        <v>123.9</v>
      </c>
      <c r="W49" t="n">
        <v>161.7</v>
      </c>
      <c r="X49" t="n">
        <v>148.3</v>
      </c>
      <c r="Y49" t="n">
        <v>151.7</v>
      </c>
      <c r="Z49" t="n">
        <v>181</v>
      </c>
      <c r="AA49" t="n">
        <v>204.4</v>
      </c>
      <c r="AB49" t="n">
        <v>230.5</v>
      </c>
      <c r="AC49" t="n">
        <v>243.6</v>
      </c>
      <c r="AD49" t="n">
        <v>252.4</v>
      </c>
      <c r="AE49" t="n">
        <v>414.6</v>
      </c>
      <c r="AF49" t="n">
        <v>414.1</v>
      </c>
    </row>
    <row r="50">
      <c r="A50" t="s">
        <v>97</v>
      </c>
      <c r="B50" t="s">
        <v>370</v>
      </c>
      <c r="C50" t="s">
        <v>246</v>
      </c>
      <c r="D50" t="s">
        <v>371</v>
      </c>
      <c r="E50" t="s">
        <v>247</v>
      </c>
      <c r="F50" t="n">
        <v>135.4</v>
      </c>
      <c r="G50" t="n">
        <v>146.5</v>
      </c>
      <c r="H50" t="n">
        <v>161.2</v>
      </c>
      <c r="I50" t="n">
        <v>181.7</v>
      </c>
      <c r="J50" t="n">
        <v>196.5</v>
      </c>
      <c r="K50" t="n">
        <v>211.1</v>
      </c>
      <c r="L50" t="n">
        <v>232</v>
      </c>
      <c r="M50" t="n">
        <v>237.1</v>
      </c>
      <c r="N50" t="n">
        <v>232.9</v>
      </c>
      <c r="O50" t="n">
        <v>240.7</v>
      </c>
      <c r="P50" t="n">
        <v>253.9</v>
      </c>
      <c r="Q50" t="n">
        <v>246.8</v>
      </c>
      <c r="R50" t="n">
        <v>244.3</v>
      </c>
      <c r="S50" t="n">
        <v>238</v>
      </c>
      <c r="T50" t="n">
        <v>240.1</v>
      </c>
      <c r="U50" t="n">
        <v>261.3</v>
      </c>
      <c r="V50" t="n">
        <v>280</v>
      </c>
      <c r="W50" t="n">
        <v>261.3</v>
      </c>
      <c r="X50" t="n">
        <v>234.9</v>
      </c>
      <c r="Y50" t="n">
        <v>232.5</v>
      </c>
      <c r="Z50" t="n">
        <v>221.6</v>
      </c>
      <c r="AA50" t="n">
        <v>275.3</v>
      </c>
      <c r="AB50" t="n">
        <v>326.3</v>
      </c>
      <c r="AC50" t="n">
        <v>347.5</v>
      </c>
      <c r="AD50" t="n">
        <v>427.5</v>
      </c>
      <c r="AE50" t="n">
        <v>462.5</v>
      </c>
      <c r="AF50" t="n">
        <v>480</v>
      </c>
    </row>
    <row r="51">
      <c r="A51" t="s">
        <v>97</v>
      </c>
      <c r="B51" t="s">
        <v>372</v>
      </c>
      <c r="C51" t="s">
        <v>246</v>
      </c>
      <c r="D51" t="s">
        <v>373</v>
      </c>
      <c r="E51" t="s">
        <v>247</v>
      </c>
      <c r="F51" t="n">
        <v>129.6</v>
      </c>
      <c r="G51" t="n">
        <v>137.7</v>
      </c>
      <c r="H51" t="n">
        <v>149.9</v>
      </c>
      <c r="I51" t="n">
        <v>167.6</v>
      </c>
      <c r="J51" t="n">
        <v>181.3</v>
      </c>
      <c r="K51" t="n">
        <v>196.2</v>
      </c>
      <c r="L51" t="n">
        <v>213.5</v>
      </c>
      <c r="M51" t="n">
        <v>218</v>
      </c>
      <c r="N51" t="n">
        <v>215.6</v>
      </c>
      <c r="O51" t="n">
        <v>211.8</v>
      </c>
      <c r="P51" t="n">
        <v>225.3</v>
      </c>
      <c r="Q51" t="n">
        <v>218.8</v>
      </c>
      <c r="R51" t="n">
        <v>218.1</v>
      </c>
      <c r="S51" t="n">
        <v>215.8</v>
      </c>
      <c r="T51" t="n">
        <v>220.7</v>
      </c>
      <c r="U51" t="n">
        <v>242.7</v>
      </c>
      <c r="V51" t="n">
        <v>261.1</v>
      </c>
      <c r="W51" t="n">
        <v>239.3</v>
      </c>
      <c r="X51" t="n">
        <v>213.8</v>
      </c>
      <c r="Y51" t="n">
        <v>212.5</v>
      </c>
      <c r="Z51" t="n">
        <v>204.2</v>
      </c>
      <c r="AA51" t="n">
        <v>258.2</v>
      </c>
      <c r="AB51" t="n">
        <v>310.7</v>
      </c>
      <c r="AC51" t="n">
        <v>333.2</v>
      </c>
      <c r="AD51" t="n">
        <v>410.1</v>
      </c>
      <c r="AE51" t="n">
        <v>443.6</v>
      </c>
      <c r="AF51"/>
    </row>
    <row r="52">
      <c r="A52" t="s">
        <v>97</v>
      </c>
      <c r="B52" t="s">
        <v>374</v>
      </c>
      <c r="C52" t="s">
        <v>246</v>
      </c>
      <c r="D52" t="s">
        <v>375</v>
      </c>
      <c r="E52" t="s">
        <v>247</v>
      </c>
      <c r="F52" t="n">
        <v>5.8</v>
      </c>
      <c r="G52" t="n">
        <v>8.8</v>
      </c>
      <c r="H52" t="n">
        <v>11.3</v>
      </c>
      <c r="I52" t="n">
        <v>14.1</v>
      </c>
      <c r="J52" t="n">
        <v>15.2</v>
      </c>
      <c r="K52" t="n">
        <v>14.9</v>
      </c>
      <c r="L52" t="n">
        <v>18.5</v>
      </c>
      <c r="M52" t="n">
        <v>19.1</v>
      </c>
      <c r="N52" t="n">
        <v>17.3</v>
      </c>
      <c r="O52" t="n">
        <v>28.9</v>
      </c>
      <c r="P52" t="n">
        <v>28.6</v>
      </c>
      <c r="Q52" t="n">
        <v>28</v>
      </c>
      <c r="R52" t="n">
        <v>26.2</v>
      </c>
      <c r="S52" t="n">
        <v>22.2</v>
      </c>
      <c r="T52" t="n">
        <v>19.4</v>
      </c>
      <c r="U52" t="n">
        <v>18.6</v>
      </c>
      <c r="V52" t="n">
        <v>18.9</v>
      </c>
      <c r="W52" t="n">
        <v>22</v>
      </c>
      <c r="X52" t="n">
        <v>21.1</v>
      </c>
      <c r="Y52" t="n">
        <v>20</v>
      </c>
      <c r="Z52" t="n">
        <v>17.4</v>
      </c>
      <c r="AA52" t="n">
        <v>17.1</v>
      </c>
      <c r="AB52" t="n">
        <v>15.6</v>
      </c>
      <c r="AC52" t="n">
        <v>14.3</v>
      </c>
      <c r="AD52" t="n">
        <v>17.4</v>
      </c>
      <c r="AE52" t="n">
        <v>18.9</v>
      </c>
      <c r="AF52"/>
    </row>
    <row r="53">
      <c r="A53" t="s">
        <v>97</v>
      </c>
      <c r="B53" t="s">
        <v>376</v>
      </c>
      <c r="C53" t="s">
        <v>246</v>
      </c>
      <c r="D53" t="s">
        <v>377</v>
      </c>
      <c r="E53" t="s">
        <v>247</v>
      </c>
      <c r="F53" t="n">
        <v>41.8</v>
      </c>
      <c r="G53" t="n">
        <v>57.6</v>
      </c>
      <c r="H53" t="n">
        <v>71.9</v>
      </c>
      <c r="I53" t="n">
        <v>84.4</v>
      </c>
      <c r="J53" t="n">
        <v>98.1</v>
      </c>
      <c r="K53" t="n">
        <v>101.2</v>
      </c>
      <c r="L53" t="n">
        <v>106.1</v>
      </c>
      <c r="M53" t="n">
        <v>102.1</v>
      </c>
      <c r="N53" t="n">
        <v>102.4</v>
      </c>
      <c r="O53" t="n">
        <v>104</v>
      </c>
      <c r="P53" t="n">
        <v>152.5</v>
      </c>
      <c r="Q53" t="n">
        <v>130.6</v>
      </c>
      <c r="R53" t="n">
        <v>116.7</v>
      </c>
      <c r="S53" t="n">
        <v>108.3</v>
      </c>
      <c r="T53" t="n">
        <v>114.1</v>
      </c>
      <c r="U53" t="n">
        <v>108.7</v>
      </c>
      <c r="V53" t="n">
        <v>103.7</v>
      </c>
      <c r="W53" t="n">
        <v>108.1</v>
      </c>
      <c r="X53" t="n">
        <v>121.8</v>
      </c>
      <c r="Y53" t="n">
        <v>113.8</v>
      </c>
      <c r="Z53" t="n">
        <v>158</v>
      </c>
      <c r="AA53" t="n">
        <v>172.9</v>
      </c>
      <c r="AB53" t="n">
        <v>171.2</v>
      </c>
      <c r="AC53" t="n">
        <v>161.3</v>
      </c>
      <c r="AD53" t="n">
        <v>151.6</v>
      </c>
      <c r="AE53" t="n">
        <v>148.9</v>
      </c>
      <c r="AF53" t="n">
        <v>139.4</v>
      </c>
    </row>
    <row r="54">
      <c r="A54" t="s">
        <v>97</v>
      </c>
      <c r="B54" t="s">
        <v>378</v>
      </c>
      <c r="C54" t="s">
        <v>246</v>
      </c>
      <c r="D54" t="s">
        <v>379</v>
      </c>
      <c r="E54" t="s">
        <v>247</v>
      </c>
      <c r="F54" t="n">
        <v>65</v>
      </c>
      <c r="G54" t="n">
        <v>84.7</v>
      </c>
      <c r="H54" t="n">
        <v>106.9</v>
      </c>
      <c r="I54" t="n">
        <v>123.8</v>
      </c>
      <c r="J54" t="n">
        <v>137.1</v>
      </c>
      <c r="K54" t="n">
        <v>145.5</v>
      </c>
      <c r="L54" t="n">
        <v>154.2</v>
      </c>
      <c r="M54" t="n">
        <v>144.5</v>
      </c>
      <c r="N54" t="n">
        <v>153.9</v>
      </c>
      <c r="O54" t="n">
        <v>152.5</v>
      </c>
      <c r="P54" t="n">
        <v>203.2</v>
      </c>
      <c r="Q54" t="n">
        <v>181</v>
      </c>
      <c r="R54" t="n">
        <v>168</v>
      </c>
      <c r="S54" t="n">
        <v>156.4</v>
      </c>
      <c r="T54" t="n">
        <v>153.6</v>
      </c>
      <c r="U54" t="n">
        <v>150.1</v>
      </c>
      <c r="V54" t="n">
        <v>146.9</v>
      </c>
      <c r="W54" t="n">
        <v>152.4</v>
      </c>
      <c r="X54" t="n">
        <v>170.3</v>
      </c>
      <c r="Y54" t="n">
        <v>159.6</v>
      </c>
      <c r="Z54" t="n">
        <v>217.1</v>
      </c>
      <c r="AA54" t="n">
        <v>251.2</v>
      </c>
      <c r="AB54" t="n">
        <v>257.9</v>
      </c>
      <c r="AC54" t="n">
        <v>244</v>
      </c>
      <c r="AD54" t="n">
        <v>236.6</v>
      </c>
      <c r="AE54" t="n">
        <v>227.3</v>
      </c>
      <c r="AF54" t="n">
        <v>217.8</v>
      </c>
    </row>
    <row r="55">
      <c r="A55" t="s">
        <v>97</v>
      </c>
      <c r="B55" t="s">
        <v>380</v>
      </c>
      <c r="C55" t="s">
        <v>246</v>
      </c>
      <c r="D55" t="s">
        <v>381</v>
      </c>
      <c r="E55" t="s">
        <v>247</v>
      </c>
      <c r="F55" t="n">
        <v>23.2</v>
      </c>
      <c r="G55" t="n">
        <v>27.1</v>
      </c>
      <c r="H55" t="n">
        <v>35</v>
      </c>
      <c r="I55" t="n">
        <v>39.4</v>
      </c>
      <c r="J55" t="n">
        <v>39</v>
      </c>
      <c r="K55" t="n">
        <v>44.3</v>
      </c>
      <c r="L55" t="n">
        <v>48.1</v>
      </c>
      <c r="M55" t="n">
        <v>42.4</v>
      </c>
      <c r="N55" t="n">
        <v>51.5</v>
      </c>
      <c r="O55" t="n">
        <v>48.5</v>
      </c>
      <c r="P55" t="n">
        <v>50.7</v>
      </c>
      <c r="Q55" t="n">
        <v>50.4</v>
      </c>
      <c r="R55" t="n">
        <v>51.3</v>
      </c>
      <c r="S55" t="n">
        <v>48.1</v>
      </c>
      <c r="T55" t="n">
        <v>39.5</v>
      </c>
      <c r="U55" t="n">
        <v>41.4</v>
      </c>
      <c r="V55" t="n">
        <v>43.2</v>
      </c>
      <c r="W55" t="n">
        <v>44.3</v>
      </c>
      <c r="X55" t="n">
        <v>48.5</v>
      </c>
      <c r="Y55" t="n">
        <v>45.8</v>
      </c>
      <c r="Z55" t="n">
        <v>59.1</v>
      </c>
      <c r="AA55" t="n">
        <v>78.3</v>
      </c>
      <c r="AB55" t="n">
        <v>86.7</v>
      </c>
      <c r="AC55" t="n">
        <v>82.7</v>
      </c>
      <c r="AD55" t="n">
        <v>85</v>
      </c>
      <c r="AE55" t="n">
        <v>78.4</v>
      </c>
      <c r="AF55" t="n">
        <v>78.4</v>
      </c>
    </row>
    <row r="56">
      <c r="A56" t="s">
        <v>97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97</v>
      </c>
      <c r="B57" t="s">
        <v>384</v>
      </c>
      <c r="C57" t="s">
        <v>246</v>
      </c>
      <c r="D57" t="s">
        <v>385</v>
      </c>
      <c r="E57" t="s">
        <v>247</v>
      </c>
      <c r="F57" t="n">
        <v>9531.3</v>
      </c>
      <c r="G57" t="n">
        <v>10441.3</v>
      </c>
      <c r="H57" t="n">
        <v>12002</v>
      </c>
      <c r="I57" t="n">
        <v>13020.7</v>
      </c>
      <c r="J57" t="n">
        <v>13606.6</v>
      </c>
      <c r="K57" t="n">
        <v>14845.4</v>
      </c>
      <c r="L57" t="n">
        <v>15820.4</v>
      </c>
      <c r="M57" t="n">
        <v>16450.2</v>
      </c>
      <c r="N57" t="n">
        <v>16217.2</v>
      </c>
      <c r="O57" t="n">
        <v>16389.1</v>
      </c>
      <c r="P57" t="n">
        <v>17002.1</v>
      </c>
      <c r="Q57" t="n">
        <v>16237.8</v>
      </c>
      <c r="R57" t="n">
        <v>16351.8</v>
      </c>
      <c r="S57" t="n">
        <v>16301.3</v>
      </c>
      <c r="T57" t="n">
        <v>16041.3</v>
      </c>
      <c r="U57" t="n">
        <v>16237.2</v>
      </c>
      <c r="V57" t="n">
        <v>16736.3</v>
      </c>
      <c r="W57" t="n">
        <v>17510.4</v>
      </c>
      <c r="X57" t="n">
        <v>17180.3</v>
      </c>
      <c r="Y57" t="n">
        <v>16817.4</v>
      </c>
      <c r="Z57" t="n">
        <v>17672.5</v>
      </c>
      <c r="AA57" t="n">
        <v>18336.5</v>
      </c>
      <c r="AB57" t="n">
        <v>19321.6</v>
      </c>
      <c r="AC57" t="n">
        <v>20081.7</v>
      </c>
      <c r="AD57" t="n">
        <v>20821.8</v>
      </c>
      <c r="AE57" t="n">
        <v>20941.7</v>
      </c>
      <c r="AF57" t="n">
        <v>21249.8</v>
      </c>
    </row>
    <row r="58">
      <c r="A58" t="s">
        <v>97</v>
      </c>
      <c r="B58" t="s">
        <v>386</v>
      </c>
      <c r="C58" t="s">
        <v>246</v>
      </c>
      <c r="D58" t="s">
        <v>387</v>
      </c>
      <c r="E58" t="s">
        <v>247</v>
      </c>
      <c r="F58" t="n">
        <v>9531.3</v>
      </c>
      <c r="G58" t="n">
        <v>10441.3</v>
      </c>
      <c r="H58" t="n">
        <v>12002</v>
      </c>
      <c r="I58" t="n">
        <v>13020.7</v>
      </c>
      <c r="J58" t="n">
        <v>13606.6</v>
      </c>
      <c r="K58" t="n">
        <v>14845.4</v>
      </c>
      <c r="L58" t="n">
        <v>15820.4</v>
      </c>
      <c r="M58" t="n">
        <v>16450.2</v>
      </c>
      <c r="N58" t="n">
        <v>16217.2</v>
      </c>
      <c r="O58" t="n">
        <v>16389.1</v>
      </c>
      <c r="P58" t="n">
        <v>17002.1</v>
      </c>
      <c r="Q58" t="n">
        <v>16237.8</v>
      </c>
      <c r="R58" t="n">
        <v>16351.8</v>
      </c>
      <c r="S58" t="n">
        <v>16301.3</v>
      </c>
      <c r="T58" t="n">
        <v>16041.3</v>
      </c>
      <c r="U58" t="n">
        <v>16237.2</v>
      </c>
      <c r="V58" t="n">
        <v>16736.3</v>
      </c>
      <c r="W58" t="n">
        <v>17510.4</v>
      </c>
      <c r="X58" t="n">
        <v>17180.3</v>
      </c>
      <c r="Y58" t="n">
        <v>16817.4</v>
      </c>
      <c r="Z58" t="n">
        <v>17672.5</v>
      </c>
      <c r="AA58" t="n">
        <v>18336.5</v>
      </c>
      <c r="AB58" t="n">
        <v>19321.6</v>
      </c>
      <c r="AC58" t="n">
        <v>20081.7</v>
      </c>
      <c r="AD58" t="n">
        <v>20821.8</v>
      </c>
      <c r="AE58" t="n">
        <v>20941.7</v>
      </c>
      <c r="AF58" t="n">
        <v>21249.8</v>
      </c>
    </row>
    <row r="59">
      <c r="A59" t="s">
        <v>97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99</v>
      </c>
      <c r="B2" t="s">
        <v>197</v>
      </c>
      <c r="C2" t="s">
        <v>246</v>
      </c>
      <c r="D2" t="s">
        <v>199</v>
      </c>
      <c r="E2" t="s">
        <v>247</v>
      </c>
      <c r="F2" t="n">
        <v>31.5</v>
      </c>
      <c r="G2" t="n">
        <v>34.7</v>
      </c>
      <c r="H2" t="n">
        <v>37.6</v>
      </c>
      <c r="I2" t="n">
        <v>41.3</v>
      </c>
      <c r="J2" t="n">
        <v>45.5</v>
      </c>
      <c r="K2" t="n">
        <v>49.7</v>
      </c>
      <c r="L2" t="n">
        <v>53.6</v>
      </c>
      <c r="M2" t="n">
        <v>56</v>
      </c>
      <c r="N2" t="n">
        <v>56</v>
      </c>
      <c r="O2" t="n">
        <v>55.9</v>
      </c>
      <c r="P2" t="n">
        <v>55.1</v>
      </c>
      <c r="Q2" t="n">
        <v>55.4</v>
      </c>
      <c r="R2" t="n">
        <v>57.1</v>
      </c>
      <c r="S2" t="n">
        <v>59.3</v>
      </c>
      <c r="T2" t="n">
        <v>59.2</v>
      </c>
      <c r="U2" t="n">
        <v>60.2</v>
      </c>
      <c r="V2" t="n">
        <v>60.5</v>
      </c>
      <c r="W2" t="n">
        <v>58.3</v>
      </c>
      <c r="X2" t="n">
        <v>72.6</v>
      </c>
      <c r="Y2" t="n">
        <v>110.2</v>
      </c>
      <c r="Z2" t="n">
        <v>144.3</v>
      </c>
      <c r="AA2" t="n">
        <v>153.5</v>
      </c>
      <c r="AB2" t="n">
        <v>139.1</v>
      </c>
      <c r="AC2" t="n">
        <v>133.5</v>
      </c>
      <c r="AD2" t="n">
        <v>128.2</v>
      </c>
      <c r="AE2" t="n">
        <v>110.5</v>
      </c>
      <c r="AF2" t="n">
        <v>112.4</v>
      </c>
    </row>
    <row r="3">
      <c r="A3" t="s">
        <v>99</v>
      </c>
      <c r="B3" t="s">
        <v>276</v>
      </c>
      <c r="C3" t="s">
        <v>246</v>
      </c>
      <c r="D3" t="s">
        <v>277</v>
      </c>
      <c r="E3" t="s">
        <v>247</v>
      </c>
      <c r="F3" t="n">
        <v>53.6</v>
      </c>
      <c r="G3" t="n">
        <v>59.9</v>
      </c>
      <c r="H3" t="n">
        <v>67.8</v>
      </c>
      <c r="I3" t="n">
        <v>74</v>
      </c>
      <c r="J3" t="n">
        <v>79.9</v>
      </c>
      <c r="K3" t="n">
        <v>80.1</v>
      </c>
      <c r="L3" t="n">
        <v>98.9</v>
      </c>
      <c r="M3" t="n">
        <v>103.2</v>
      </c>
      <c r="N3" t="n">
        <v>101.8</v>
      </c>
      <c r="O3" t="n">
        <v>100.6</v>
      </c>
      <c r="P3" t="n">
        <v>97.2</v>
      </c>
      <c r="Q3" t="n">
        <v>92.5</v>
      </c>
      <c r="R3" t="n">
        <v>95.2</v>
      </c>
      <c r="S3" t="n">
        <v>149.8</v>
      </c>
      <c r="T3" t="n">
        <v>123.1</v>
      </c>
      <c r="U3" t="n">
        <v>118.6</v>
      </c>
      <c r="V3" t="n">
        <v>111</v>
      </c>
      <c r="W3" t="n">
        <v>109.8</v>
      </c>
      <c r="X3" t="n">
        <v>109.9</v>
      </c>
      <c r="Y3" t="n">
        <v>124.3</v>
      </c>
      <c r="Z3" t="n">
        <v>145.4</v>
      </c>
      <c r="AA3" t="n">
        <v>179.9</v>
      </c>
      <c r="AB3" t="n">
        <v>199.7</v>
      </c>
      <c r="AC3" t="n">
        <v>196.3</v>
      </c>
      <c r="AD3" t="n">
        <v>398.4</v>
      </c>
      <c r="AE3" t="n">
        <v>430</v>
      </c>
      <c r="AF3" t="n">
        <v>639.3</v>
      </c>
    </row>
    <row r="4">
      <c r="A4" t="s">
        <v>99</v>
      </c>
      <c r="B4" t="s">
        <v>278</v>
      </c>
      <c r="C4" t="s">
        <v>246</v>
      </c>
      <c r="D4" t="s">
        <v>279</v>
      </c>
      <c r="E4" t="s">
        <v>247</v>
      </c>
      <c r="F4" t="n">
        <v>5772.9</v>
      </c>
      <c r="G4" t="n">
        <v>6259.1</v>
      </c>
      <c r="H4" t="n">
        <v>6720.4</v>
      </c>
      <c r="I4" t="n">
        <v>7374.8</v>
      </c>
      <c r="J4" t="n">
        <v>8056.1</v>
      </c>
      <c r="K4" t="n">
        <v>8718.1</v>
      </c>
      <c r="L4" t="n">
        <v>9488.7</v>
      </c>
      <c r="M4" t="n">
        <v>10054.1</v>
      </c>
      <c r="N4" t="n">
        <v>10070.6</v>
      </c>
      <c r="O4" t="n">
        <v>10006.1</v>
      </c>
      <c r="P4" t="n">
        <v>9770.4</v>
      </c>
      <c r="Q4" t="n">
        <v>9683.9</v>
      </c>
      <c r="R4" t="n">
        <v>9907.4</v>
      </c>
      <c r="S4" t="n">
        <v>10194.7</v>
      </c>
      <c r="T4" t="n">
        <v>10100.4</v>
      </c>
      <c r="U4" t="n">
        <v>10245</v>
      </c>
      <c r="V4" t="n">
        <v>10134.3</v>
      </c>
      <c r="W4" t="n">
        <v>10078.3</v>
      </c>
      <c r="X4" t="n">
        <v>10351.1</v>
      </c>
      <c r="Y4" t="n">
        <v>11119.7</v>
      </c>
      <c r="Z4" t="n">
        <v>11503.8</v>
      </c>
      <c r="AA4" t="n">
        <v>11902.7</v>
      </c>
      <c r="AB4" t="n">
        <v>12457.5</v>
      </c>
      <c r="AC4" t="n">
        <v>13352.1</v>
      </c>
      <c r="AD4" t="n">
        <v>14101.2</v>
      </c>
      <c r="AE4" t="n">
        <v>13859.5</v>
      </c>
      <c r="AF4" t="n">
        <v>14359.1</v>
      </c>
    </row>
    <row r="5">
      <c r="A5" t="s">
        <v>99</v>
      </c>
      <c r="B5" t="s">
        <v>280</v>
      </c>
      <c r="C5" t="s">
        <v>246</v>
      </c>
      <c r="D5" t="s">
        <v>281</v>
      </c>
      <c r="E5" t="s">
        <v>247</v>
      </c>
      <c r="F5" t="n">
        <v>518.9</v>
      </c>
      <c r="G5" t="n">
        <v>560</v>
      </c>
      <c r="H5" t="n">
        <v>589.6</v>
      </c>
      <c r="I5" t="n">
        <v>647.2</v>
      </c>
      <c r="J5" t="n">
        <v>693.5</v>
      </c>
      <c r="K5" t="n">
        <v>722.2</v>
      </c>
      <c r="L5" t="n">
        <v>764.4</v>
      </c>
      <c r="M5" t="n">
        <v>817.5</v>
      </c>
      <c r="N5" t="n">
        <v>827.5</v>
      </c>
      <c r="O5" t="n">
        <v>834.9</v>
      </c>
      <c r="P5" t="n">
        <v>796</v>
      </c>
      <c r="Q5" t="n">
        <v>832.2</v>
      </c>
      <c r="R5" t="n">
        <v>857.3</v>
      </c>
      <c r="S5" t="n">
        <v>829.4</v>
      </c>
      <c r="T5" t="n">
        <v>790.3</v>
      </c>
      <c r="U5" t="n">
        <v>816.1</v>
      </c>
      <c r="V5" t="n">
        <v>818.8</v>
      </c>
      <c r="W5" t="n">
        <v>805.1</v>
      </c>
      <c r="X5" t="n">
        <v>786.4</v>
      </c>
      <c r="Y5" t="n">
        <v>944</v>
      </c>
      <c r="Z5" t="n">
        <v>953.3</v>
      </c>
      <c r="AA5" t="n">
        <v>1128.4</v>
      </c>
      <c r="AB5" t="n">
        <v>1088.7</v>
      </c>
      <c r="AC5" t="n">
        <v>1170.7</v>
      </c>
      <c r="AD5" t="n">
        <v>1223</v>
      </c>
      <c r="AE5" t="n">
        <v>1218.3</v>
      </c>
      <c r="AF5"/>
    </row>
    <row r="6">
      <c r="A6" t="s">
        <v>99</v>
      </c>
      <c r="B6" t="s">
        <v>282</v>
      </c>
      <c r="C6" t="s">
        <v>246</v>
      </c>
      <c r="D6" t="s">
        <v>283</v>
      </c>
      <c r="E6" t="s">
        <v>247</v>
      </c>
      <c r="F6" t="n">
        <v>580</v>
      </c>
      <c r="G6" t="n">
        <v>621.5</v>
      </c>
      <c r="H6" t="n">
        <v>661.6</v>
      </c>
      <c r="I6" t="n">
        <v>729.9</v>
      </c>
      <c r="J6" t="n">
        <v>781.8</v>
      </c>
      <c r="K6" t="n">
        <v>833.8</v>
      </c>
      <c r="L6" t="n">
        <v>936</v>
      </c>
      <c r="M6" t="n">
        <v>952.2</v>
      </c>
      <c r="N6" t="n">
        <v>954</v>
      </c>
      <c r="O6" t="n">
        <v>951.7</v>
      </c>
      <c r="P6" t="n">
        <v>951.4</v>
      </c>
      <c r="Q6" t="n">
        <v>946.3</v>
      </c>
      <c r="R6" t="n">
        <v>958.6</v>
      </c>
      <c r="S6" t="n">
        <v>995.2</v>
      </c>
      <c r="T6" t="n">
        <v>947.3</v>
      </c>
      <c r="U6" t="n">
        <v>959.8</v>
      </c>
      <c r="V6" t="n">
        <v>949</v>
      </c>
      <c r="W6" t="n">
        <v>919.6</v>
      </c>
      <c r="X6" t="n">
        <v>876.4</v>
      </c>
      <c r="Y6" t="n">
        <v>899.3</v>
      </c>
      <c r="Z6" t="n">
        <v>916.8</v>
      </c>
      <c r="AA6" t="n">
        <v>994</v>
      </c>
      <c r="AB6" t="n">
        <v>1037</v>
      </c>
      <c r="AC6" t="n">
        <v>1088.2</v>
      </c>
      <c r="AD6" t="n">
        <v>1173.5</v>
      </c>
      <c r="AE6" t="n">
        <v>1149.1</v>
      </c>
      <c r="AF6"/>
    </row>
    <row r="7">
      <c r="A7" t="s">
        <v>99</v>
      </c>
      <c r="B7" t="s">
        <v>284</v>
      </c>
      <c r="C7" t="s">
        <v>246</v>
      </c>
      <c r="D7" t="s">
        <v>285</v>
      </c>
      <c r="E7" t="s">
        <v>247</v>
      </c>
      <c r="F7" t="n">
        <v>332.1</v>
      </c>
      <c r="G7" t="n">
        <v>366.8</v>
      </c>
      <c r="H7" t="n">
        <v>392.6</v>
      </c>
      <c r="I7" t="n">
        <v>422.1</v>
      </c>
      <c r="J7" t="n">
        <v>455.8</v>
      </c>
      <c r="K7" t="n">
        <v>493.2</v>
      </c>
      <c r="L7" t="n">
        <v>525.6</v>
      </c>
      <c r="M7" t="n">
        <v>571.6</v>
      </c>
      <c r="N7" t="n">
        <v>561.2</v>
      </c>
      <c r="O7" t="n">
        <v>561.1</v>
      </c>
      <c r="P7" t="n">
        <v>538.1</v>
      </c>
      <c r="Q7" t="n">
        <v>554.1</v>
      </c>
      <c r="R7" t="n">
        <v>565</v>
      </c>
      <c r="S7" t="n">
        <v>581.3</v>
      </c>
      <c r="T7" t="n">
        <v>568.9</v>
      </c>
      <c r="U7" t="n">
        <v>576.1</v>
      </c>
      <c r="V7" t="n">
        <v>569</v>
      </c>
      <c r="W7" t="n">
        <v>524.6</v>
      </c>
      <c r="X7" t="n">
        <v>565.3</v>
      </c>
      <c r="Y7" t="n">
        <v>540.9</v>
      </c>
      <c r="Z7" t="n">
        <v>521.8</v>
      </c>
      <c r="AA7" t="n">
        <v>530.5</v>
      </c>
      <c r="AB7" t="n">
        <v>605.2</v>
      </c>
      <c r="AC7" t="n">
        <v>621.1</v>
      </c>
      <c r="AD7" t="n">
        <v>703.9</v>
      </c>
      <c r="AE7" t="n">
        <v>678.8</v>
      </c>
      <c r="AF7"/>
    </row>
    <row r="8">
      <c r="A8" t="s">
        <v>99</v>
      </c>
      <c r="B8" t="s">
        <v>286</v>
      </c>
      <c r="C8" t="s">
        <v>246</v>
      </c>
      <c r="D8" t="s">
        <v>287</v>
      </c>
      <c r="E8" t="s">
        <v>247</v>
      </c>
      <c r="F8" t="n">
        <v>51.7</v>
      </c>
      <c r="G8" t="n">
        <v>57.6</v>
      </c>
      <c r="H8" t="n">
        <v>64.4</v>
      </c>
      <c r="I8" t="n">
        <v>67.9</v>
      </c>
      <c r="J8" t="n">
        <v>70</v>
      </c>
      <c r="K8" t="n">
        <v>77.5</v>
      </c>
      <c r="L8" t="n">
        <v>77</v>
      </c>
      <c r="M8" t="n">
        <v>93</v>
      </c>
      <c r="N8" t="n">
        <v>91.1</v>
      </c>
      <c r="O8" t="n">
        <v>98.5</v>
      </c>
      <c r="P8" t="n">
        <v>96.6</v>
      </c>
      <c r="Q8" t="n">
        <v>94.7</v>
      </c>
      <c r="R8" t="n">
        <v>92.1</v>
      </c>
      <c r="S8" t="n">
        <v>108</v>
      </c>
      <c r="T8" t="n">
        <v>98.2</v>
      </c>
      <c r="U8" t="n">
        <v>98.4</v>
      </c>
      <c r="V8" t="n">
        <v>96.3</v>
      </c>
      <c r="W8" t="n">
        <v>102.9</v>
      </c>
      <c r="X8" t="n">
        <v>115</v>
      </c>
      <c r="Y8" t="n">
        <v>125.6</v>
      </c>
      <c r="Z8" t="n">
        <v>125.7</v>
      </c>
      <c r="AA8" t="n">
        <v>121.2</v>
      </c>
      <c r="AB8" t="n">
        <v>108.8</v>
      </c>
      <c r="AC8" t="n">
        <v>95.7</v>
      </c>
      <c r="AD8" t="n">
        <v>95.8</v>
      </c>
      <c r="AE8" t="n">
        <v>88.2</v>
      </c>
      <c r="AF8"/>
    </row>
    <row r="9">
      <c r="A9" t="s">
        <v>99</v>
      </c>
      <c r="B9" t="s">
        <v>288</v>
      </c>
      <c r="C9" t="s">
        <v>246</v>
      </c>
      <c r="D9" t="s">
        <v>289</v>
      </c>
      <c r="E9" t="s">
        <v>247</v>
      </c>
      <c r="F9" t="n">
        <v>363.6</v>
      </c>
      <c r="G9" t="n">
        <v>392.8</v>
      </c>
      <c r="H9" t="n">
        <v>416.3</v>
      </c>
      <c r="I9" t="n">
        <v>450</v>
      </c>
      <c r="J9" t="n">
        <v>496.6</v>
      </c>
      <c r="K9" t="n">
        <v>550.5</v>
      </c>
      <c r="L9" t="n">
        <v>589.4</v>
      </c>
      <c r="M9" t="n">
        <v>637.7</v>
      </c>
      <c r="N9" t="n">
        <v>658.5</v>
      </c>
      <c r="O9" t="n">
        <v>650.5</v>
      </c>
      <c r="P9" t="n">
        <v>627</v>
      </c>
      <c r="Q9" t="n">
        <v>612.6</v>
      </c>
      <c r="R9" t="n">
        <v>624.8</v>
      </c>
      <c r="S9" t="n">
        <v>630.7</v>
      </c>
      <c r="T9" t="n">
        <v>645</v>
      </c>
      <c r="U9" t="n">
        <v>649.2</v>
      </c>
      <c r="V9" t="n">
        <v>639.2</v>
      </c>
      <c r="W9" t="n">
        <v>598.2</v>
      </c>
      <c r="X9" t="n">
        <v>619.7</v>
      </c>
      <c r="Y9" t="n">
        <v>631.7</v>
      </c>
      <c r="Z9" t="n">
        <v>668.5</v>
      </c>
      <c r="AA9" t="n">
        <v>674.4</v>
      </c>
      <c r="AB9" t="n">
        <v>624.6</v>
      </c>
      <c r="AC9" t="n">
        <v>556.1</v>
      </c>
      <c r="AD9" t="n">
        <v>514.5</v>
      </c>
      <c r="AE9" t="n">
        <v>463.6</v>
      </c>
      <c r="AF9"/>
    </row>
    <row r="10">
      <c r="A10" t="s">
        <v>99</v>
      </c>
      <c r="B10" t="s">
        <v>290</v>
      </c>
      <c r="C10" t="s">
        <v>246</v>
      </c>
      <c r="D10" t="s">
        <v>291</v>
      </c>
      <c r="E10" t="s">
        <v>247</v>
      </c>
      <c r="F10" t="n">
        <v>517</v>
      </c>
      <c r="G10" t="n">
        <v>558.5</v>
      </c>
      <c r="H10" t="n">
        <v>591.9</v>
      </c>
      <c r="I10" t="n">
        <v>639.8</v>
      </c>
      <c r="J10" t="n">
        <v>706.1</v>
      </c>
      <c r="K10" t="n">
        <v>783.5</v>
      </c>
      <c r="L10" t="n">
        <v>846.9</v>
      </c>
      <c r="M10" t="n">
        <v>895.7</v>
      </c>
      <c r="N10" t="n">
        <v>943.3</v>
      </c>
      <c r="O10" t="n">
        <v>925.2</v>
      </c>
      <c r="P10" t="n">
        <v>886.1</v>
      </c>
      <c r="Q10" t="n">
        <v>859.2</v>
      </c>
      <c r="R10" t="n">
        <v>880.2</v>
      </c>
      <c r="S10" t="n">
        <v>903.2</v>
      </c>
      <c r="T10" t="n">
        <v>920</v>
      </c>
      <c r="U10" t="n">
        <v>927</v>
      </c>
      <c r="V10" t="n">
        <v>912.4</v>
      </c>
      <c r="W10" t="n">
        <v>900.2</v>
      </c>
      <c r="X10" t="n">
        <v>924.1</v>
      </c>
      <c r="Y10" t="n">
        <v>989.6</v>
      </c>
      <c r="Z10" t="n">
        <v>1057.1</v>
      </c>
      <c r="AA10" t="n">
        <v>1062</v>
      </c>
      <c r="AB10" t="n">
        <v>981.4</v>
      </c>
      <c r="AC10" t="n">
        <v>891.6</v>
      </c>
      <c r="AD10" t="n">
        <v>799.3</v>
      </c>
      <c r="AE10" t="n">
        <v>713.6</v>
      </c>
      <c r="AF10"/>
    </row>
    <row r="11">
      <c r="A11" t="s">
        <v>99</v>
      </c>
      <c r="B11" t="s">
        <v>292</v>
      </c>
      <c r="C11" t="s">
        <v>246</v>
      </c>
      <c r="D11" t="s">
        <v>293</v>
      </c>
      <c r="E11" t="s">
        <v>247</v>
      </c>
      <c r="F11" t="n">
        <v>153.4</v>
      </c>
      <c r="G11" t="n">
        <v>165.7</v>
      </c>
      <c r="H11" t="n">
        <v>175.6</v>
      </c>
      <c r="I11" t="n">
        <v>189.8</v>
      </c>
      <c r="J11" t="n">
        <v>209.5</v>
      </c>
      <c r="K11" t="n">
        <v>233</v>
      </c>
      <c r="L11" t="n">
        <v>257.5</v>
      </c>
      <c r="M11" t="n">
        <v>258</v>
      </c>
      <c r="N11" t="n">
        <v>284.8</v>
      </c>
      <c r="O11" t="n">
        <v>274.7</v>
      </c>
      <c r="P11" t="n">
        <v>259.1</v>
      </c>
      <c r="Q11" t="n">
        <v>246.6</v>
      </c>
      <c r="R11" t="n">
        <v>255.4</v>
      </c>
      <c r="S11" t="n">
        <v>272.5</v>
      </c>
      <c r="T11" t="n">
        <v>275</v>
      </c>
      <c r="U11" t="n">
        <v>277.8</v>
      </c>
      <c r="V11" t="n">
        <v>273.2</v>
      </c>
      <c r="W11" t="n">
        <v>302</v>
      </c>
      <c r="X11" t="n">
        <v>304.4</v>
      </c>
      <c r="Y11" t="n">
        <v>357.9</v>
      </c>
      <c r="Z11" t="n">
        <v>388.6</v>
      </c>
      <c r="AA11" t="n">
        <v>387.6</v>
      </c>
      <c r="AB11" t="n">
        <v>356.8</v>
      </c>
      <c r="AC11" t="n">
        <v>335.5</v>
      </c>
      <c r="AD11" t="n">
        <v>284.8</v>
      </c>
      <c r="AE11" t="n">
        <v>250</v>
      </c>
      <c r="AF11"/>
    </row>
    <row r="12">
      <c r="A12" t="s">
        <v>99</v>
      </c>
      <c r="B12" t="s">
        <v>294</v>
      </c>
      <c r="C12" t="s">
        <v>246</v>
      </c>
      <c r="D12" t="s">
        <v>295</v>
      </c>
      <c r="E12" t="s">
        <v>247</v>
      </c>
      <c r="F12" t="n">
        <v>326.5</v>
      </c>
      <c r="G12" t="n">
        <v>360.5</v>
      </c>
      <c r="H12" t="n">
        <v>389.1</v>
      </c>
      <c r="I12" t="n">
        <v>425</v>
      </c>
      <c r="J12" t="n">
        <v>465</v>
      </c>
      <c r="K12" t="n">
        <v>503.8</v>
      </c>
      <c r="L12" t="n">
        <v>543.1</v>
      </c>
      <c r="M12" t="n">
        <v>590.2</v>
      </c>
      <c r="N12" t="n">
        <v>590.1</v>
      </c>
      <c r="O12" t="n">
        <v>597.7</v>
      </c>
      <c r="P12" t="n">
        <v>579.9</v>
      </c>
      <c r="Q12" t="n">
        <v>568</v>
      </c>
      <c r="R12" t="n">
        <v>578.3</v>
      </c>
      <c r="S12" t="n">
        <v>565.7</v>
      </c>
      <c r="T12" t="n">
        <v>586.9</v>
      </c>
      <c r="U12" t="n">
        <v>596.8</v>
      </c>
      <c r="V12" t="n">
        <v>591.5</v>
      </c>
      <c r="W12" t="n">
        <v>593.7</v>
      </c>
      <c r="X12" t="n">
        <v>589</v>
      </c>
      <c r="Y12" t="n">
        <v>589.1</v>
      </c>
      <c r="Z12" t="n">
        <v>623.1</v>
      </c>
      <c r="AA12" t="n">
        <v>618.3</v>
      </c>
      <c r="AB12" t="n">
        <v>601.1</v>
      </c>
      <c r="AC12" t="n">
        <v>612.7</v>
      </c>
      <c r="AD12" t="n">
        <v>676.7</v>
      </c>
      <c r="AE12" t="n">
        <v>672</v>
      </c>
      <c r="AF12"/>
    </row>
    <row r="13">
      <c r="A13" t="s">
        <v>99</v>
      </c>
      <c r="B13" t="s">
        <v>296</v>
      </c>
      <c r="C13" t="s">
        <v>246</v>
      </c>
      <c r="D13" t="s">
        <v>297</v>
      </c>
      <c r="E13" t="s">
        <v>247</v>
      </c>
      <c r="F13" t="n">
        <v>472.8</v>
      </c>
      <c r="G13" t="n">
        <v>525.2</v>
      </c>
      <c r="H13" t="n">
        <v>570.4</v>
      </c>
      <c r="I13" t="n">
        <v>627.9</v>
      </c>
      <c r="J13" t="n">
        <v>693.2</v>
      </c>
      <c r="K13" t="n">
        <v>731.4</v>
      </c>
      <c r="L13" t="n">
        <v>811.7</v>
      </c>
      <c r="M13" t="n">
        <v>870.6</v>
      </c>
      <c r="N13" t="n">
        <v>853.9</v>
      </c>
      <c r="O13" t="n">
        <v>846.8</v>
      </c>
      <c r="P13" t="n">
        <v>817.5</v>
      </c>
      <c r="Q13" t="n">
        <v>801.4</v>
      </c>
      <c r="R13" t="n">
        <v>837.1</v>
      </c>
      <c r="S13" t="n">
        <v>880.5</v>
      </c>
      <c r="T13" t="n">
        <v>869.6</v>
      </c>
      <c r="U13" t="n">
        <v>885.5</v>
      </c>
      <c r="V13" t="n">
        <v>876.4</v>
      </c>
      <c r="W13" t="n">
        <v>906.3</v>
      </c>
      <c r="X13" t="n">
        <v>891.2</v>
      </c>
      <c r="Y13" t="n">
        <v>956.6</v>
      </c>
      <c r="Z13" t="n">
        <v>1017.5</v>
      </c>
      <c r="AA13" t="n">
        <v>1087.8</v>
      </c>
      <c r="AB13" t="n">
        <v>1085.3</v>
      </c>
      <c r="AC13" t="n">
        <v>1187.9</v>
      </c>
      <c r="AD13" t="n">
        <v>1314.1</v>
      </c>
      <c r="AE13" t="n">
        <v>1297.6</v>
      </c>
      <c r="AF13"/>
    </row>
    <row r="14">
      <c r="A14" t="s">
        <v>99</v>
      </c>
      <c r="B14" t="s">
        <v>298</v>
      </c>
      <c r="C14" t="s">
        <v>246</v>
      </c>
      <c r="D14" t="s">
        <v>299</v>
      </c>
      <c r="E14" t="s">
        <v>247</v>
      </c>
      <c r="F14" t="n">
        <v>624.4</v>
      </c>
      <c r="G14" t="n">
        <v>658.2</v>
      </c>
      <c r="H14" t="n">
        <v>714.2</v>
      </c>
      <c r="I14" t="n">
        <v>783.9</v>
      </c>
      <c r="J14" t="n">
        <v>872.9</v>
      </c>
      <c r="K14" t="n">
        <v>962.9</v>
      </c>
      <c r="L14" t="n">
        <v>1056.2</v>
      </c>
      <c r="M14" t="n">
        <v>1119.4</v>
      </c>
      <c r="N14" t="n">
        <v>1101.5</v>
      </c>
      <c r="O14" t="n">
        <v>1115</v>
      </c>
      <c r="P14" t="n">
        <v>1093.5</v>
      </c>
      <c r="Q14" t="n">
        <v>1071.1</v>
      </c>
      <c r="R14" t="n">
        <v>1114.5</v>
      </c>
      <c r="S14" t="n">
        <v>1155.4</v>
      </c>
      <c r="T14" t="n">
        <v>1113.7</v>
      </c>
      <c r="U14" t="n">
        <v>1123.3</v>
      </c>
      <c r="V14" t="n">
        <v>1109.1</v>
      </c>
      <c r="W14" t="n">
        <v>1202.7</v>
      </c>
      <c r="X14" t="n">
        <v>1278.3</v>
      </c>
      <c r="Y14" t="n">
        <v>1266.5</v>
      </c>
      <c r="Z14" t="n">
        <v>1204.3</v>
      </c>
      <c r="AA14" t="n">
        <v>1047.6</v>
      </c>
      <c r="AB14" t="n">
        <v>1508.8</v>
      </c>
      <c r="AC14" t="n">
        <v>1808.5</v>
      </c>
      <c r="AD14" t="n">
        <v>1948.9</v>
      </c>
      <c r="AE14" t="n">
        <v>2028.3</v>
      </c>
      <c r="AF14"/>
    </row>
    <row r="15">
      <c r="A15" t="s">
        <v>99</v>
      </c>
      <c r="B15" t="s">
        <v>300</v>
      </c>
      <c r="C15" t="s">
        <v>246</v>
      </c>
      <c r="D15" t="s">
        <v>301</v>
      </c>
      <c r="E15" t="s">
        <v>247</v>
      </c>
      <c r="F15" t="n">
        <v>999.6</v>
      </c>
      <c r="G15" t="n">
        <v>1057.1</v>
      </c>
      <c r="H15" t="n">
        <v>1146.2</v>
      </c>
      <c r="I15" t="n">
        <v>1258.4</v>
      </c>
      <c r="J15" t="n">
        <v>1399.5</v>
      </c>
      <c r="K15" t="n">
        <v>1512.9</v>
      </c>
      <c r="L15" t="n">
        <v>1700.7</v>
      </c>
      <c r="M15" t="n">
        <v>1794.5</v>
      </c>
      <c r="N15" t="n">
        <v>1785.7</v>
      </c>
      <c r="O15" t="n">
        <v>1792.9</v>
      </c>
      <c r="P15" t="n">
        <v>1732.2</v>
      </c>
      <c r="Q15" t="n">
        <v>1698.7</v>
      </c>
      <c r="R15" t="n">
        <v>1755.3</v>
      </c>
      <c r="S15" t="n">
        <v>1829.3</v>
      </c>
      <c r="T15" t="n">
        <v>1791.7</v>
      </c>
      <c r="U15" t="n">
        <v>1812.8</v>
      </c>
      <c r="V15" t="n">
        <v>1791.1</v>
      </c>
      <c r="W15" t="n">
        <v>1833.8</v>
      </c>
      <c r="X15" t="n">
        <v>1886.6</v>
      </c>
      <c r="Y15" t="n">
        <v>1887.6</v>
      </c>
      <c r="Z15" t="n">
        <v>1786.1</v>
      </c>
      <c r="AA15" t="n">
        <v>1607.5</v>
      </c>
      <c r="AB15" t="n">
        <v>2089.6</v>
      </c>
      <c r="AC15" t="n">
        <v>2409</v>
      </c>
      <c r="AD15" t="n">
        <v>2564.9</v>
      </c>
      <c r="AE15" t="n">
        <v>2596.2</v>
      </c>
      <c r="AF15"/>
    </row>
    <row r="16">
      <c r="A16" t="s">
        <v>99</v>
      </c>
      <c r="B16" t="s">
        <v>302</v>
      </c>
      <c r="C16" t="s">
        <v>246</v>
      </c>
      <c r="D16" t="s">
        <v>303</v>
      </c>
      <c r="E16" t="s">
        <v>247</v>
      </c>
      <c r="F16" t="n">
        <v>375.2</v>
      </c>
      <c r="G16" t="n">
        <v>398.9</v>
      </c>
      <c r="H16" t="n">
        <v>432</v>
      </c>
      <c r="I16" t="n">
        <v>474.5</v>
      </c>
      <c r="J16" t="n">
        <v>526.6</v>
      </c>
      <c r="K16" t="n">
        <v>550</v>
      </c>
      <c r="L16" t="n">
        <v>644.5</v>
      </c>
      <c r="M16" t="n">
        <v>675.1</v>
      </c>
      <c r="N16" t="n">
        <v>684.2</v>
      </c>
      <c r="O16" t="n">
        <v>677.9</v>
      </c>
      <c r="P16" t="n">
        <v>638.7</v>
      </c>
      <c r="Q16" t="n">
        <v>627.6</v>
      </c>
      <c r="R16" t="n">
        <v>640.8</v>
      </c>
      <c r="S16" t="n">
        <v>673.9</v>
      </c>
      <c r="T16" t="n">
        <v>678</v>
      </c>
      <c r="U16" t="n">
        <v>689.5</v>
      </c>
      <c r="V16" t="n">
        <v>682</v>
      </c>
      <c r="W16" t="n">
        <v>631.1</v>
      </c>
      <c r="X16" t="n">
        <v>608.3</v>
      </c>
      <c r="Y16" t="n">
        <v>621.1</v>
      </c>
      <c r="Z16" t="n">
        <v>581.8</v>
      </c>
      <c r="AA16" t="n">
        <v>559.9</v>
      </c>
      <c r="AB16" t="n">
        <v>580.8</v>
      </c>
      <c r="AC16" t="n">
        <v>600.5</v>
      </c>
      <c r="AD16" t="n">
        <v>616</v>
      </c>
      <c r="AE16" t="n">
        <v>567.9</v>
      </c>
      <c r="AF16"/>
    </row>
    <row r="17">
      <c r="A17" t="s">
        <v>99</v>
      </c>
      <c r="B17" t="s">
        <v>304</v>
      </c>
      <c r="C17" t="s">
        <v>246</v>
      </c>
      <c r="D17" t="s">
        <v>305</v>
      </c>
      <c r="E17" t="s">
        <v>247</v>
      </c>
      <c r="F17" t="n">
        <v>801.5</v>
      </c>
      <c r="G17" t="n">
        <v>880</v>
      </c>
      <c r="H17" t="n">
        <v>946.1</v>
      </c>
      <c r="I17" t="n">
        <v>1041.3</v>
      </c>
      <c r="J17" t="n">
        <v>1140.9</v>
      </c>
      <c r="K17" t="n">
        <v>1248.7</v>
      </c>
      <c r="L17" t="n">
        <v>1359.1</v>
      </c>
      <c r="M17" t="n">
        <v>1428.2</v>
      </c>
      <c r="N17" t="n">
        <v>1432.1</v>
      </c>
      <c r="O17" t="n">
        <v>1412.1</v>
      </c>
      <c r="P17" t="n">
        <v>1417.4</v>
      </c>
      <c r="Q17" t="n">
        <v>1392.4</v>
      </c>
      <c r="R17" t="n">
        <v>1418</v>
      </c>
      <c r="S17" t="n">
        <v>1469.9</v>
      </c>
      <c r="T17" t="n">
        <v>1450.5</v>
      </c>
      <c r="U17" t="n">
        <v>1467.7</v>
      </c>
      <c r="V17" t="n">
        <v>1450.2</v>
      </c>
      <c r="W17" t="n">
        <v>1609.8</v>
      </c>
      <c r="X17" t="n">
        <v>1761.2</v>
      </c>
      <c r="Y17" t="n">
        <v>2086.8</v>
      </c>
      <c r="Z17" t="n">
        <v>2274.7</v>
      </c>
      <c r="AA17" t="n">
        <v>2379.7</v>
      </c>
      <c r="AB17" t="n">
        <v>2425.3</v>
      </c>
      <c r="AC17" t="n">
        <v>2637.8</v>
      </c>
      <c r="AD17" t="n">
        <v>2603</v>
      </c>
      <c r="AE17" t="n">
        <v>2513.1</v>
      </c>
      <c r="AF17"/>
    </row>
    <row r="18">
      <c r="A18" t="s">
        <v>99</v>
      </c>
      <c r="B18" t="s">
        <v>306</v>
      </c>
      <c r="C18" t="s">
        <v>246</v>
      </c>
      <c r="D18" t="s">
        <v>307</v>
      </c>
      <c r="E18" t="s">
        <v>247</v>
      </c>
      <c r="F18" t="n">
        <v>639.2</v>
      </c>
      <c r="G18" t="n">
        <v>697</v>
      </c>
      <c r="H18" t="n">
        <v>748.9</v>
      </c>
      <c r="I18" t="n">
        <v>842.1</v>
      </c>
      <c r="J18" t="n">
        <v>914.2</v>
      </c>
      <c r="K18" t="n">
        <v>984.2</v>
      </c>
      <c r="L18" t="n">
        <v>1035</v>
      </c>
      <c r="M18" t="n">
        <v>1106.1</v>
      </c>
      <c r="N18" t="n">
        <v>1097.4</v>
      </c>
      <c r="O18" t="n">
        <v>1044.5</v>
      </c>
      <c r="P18" t="n">
        <v>1048.5</v>
      </c>
      <c r="Q18" t="n">
        <v>1046.9</v>
      </c>
      <c r="R18" t="n">
        <v>1046.2</v>
      </c>
      <c r="S18" t="n">
        <v>1087.3</v>
      </c>
      <c r="T18" t="n">
        <v>1164.8</v>
      </c>
      <c r="U18" t="n">
        <v>1176.7</v>
      </c>
      <c r="V18" t="n">
        <v>1157.8</v>
      </c>
      <c r="W18" t="n">
        <v>1058.7</v>
      </c>
      <c r="X18" t="n">
        <v>1166.9</v>
      </c>
      <c r="Y18" t="n">
        <v>1237.4</v>
      </c>
      <c r="Z18" t="n">
        <v>1365.9</v>
      </c>
      <c r="AA18" t="n">
        <v>1393.6</v>
      </c>
      <c r="AB18" t="n">
        <v>1468.7</v>
      </c>
      <c r="AC18" t="n">
        <v>1629</v>
      </c>
      <c r="AD18" t="n">
        <v>1894.3</v>
      </c>
      <c r="AE18" t="n">
        <v>1936.4</v>
      </c>
      <c r="AF18"/>
    </row>
    <row r="19">
      <c r="A19" t="s">
        <v>99</v>
      </c>
      <c r="B19" t="s">
        <v>308</v>
      </c>
      <c r="C19" t="s">
        <v>246</v>
      </c>
      <c r="D19" t="s">
        <v>309</v>
      </c>
      <c r="E19" t="s">
        <v>247</v>
      </c>
      <c r="F19" t="n">
        <v>533.6</v>
      </c>
      <c r="G19" t="n">
        <v>574.9</v>
      </c>
      <c r="H19" t="n">
        <v>619.6</v>
      </c>
      <c r="I19" t="n">
        <v>673.2</v>
      </c>
      <c r="J19" t="n">
        <v>736.1</v>
      </c>
      <c r="K19" t="n">
        <v>826.9</v>
      </c>
      <c r="L19" t="n">
        <v>889.2</v>
      </c>
      <c r="M19" t="n">
        <v>934.5</v>
      </c>
      <c r="N19" t="n">
        <v>934.3</v>
      </c>
      <c r="O19" t="n">
        <v>940.7</v>
      </c>
      <c r="P19" t="n">
        <v>906.7</v>
      </c>
      <c r="Q19" t="n">
        <v>890</v>
      </c>
      <c r="R19" t="n">
        <v>919.3</v>
      </c>
      <c r="S19" t="n">
        <v>944.9</v>
      </c>
      <c r="T19" t="n">
        <v>912.2</v>
      </c>
      <c r="U19" t="n">
        <v>928.1</v>
      </c>
      <c r="V19" t="n">
        <v>921.8</v>
      </c>
      <c r="W19" t="n">
        <v>823.6</v>
      </c>
      <c r="X19" t="n">
        <v>789</v>
      </c>
      <c r="Y19" t="n">
        <v>862.8</v>
      </c>
      <c r="Z19" t="n">
        <v>861.8</v>
      </c>
      <c r="AA19" t="n">
        <v>979.7</v>
      </c>
      <c r="AB19" t="n">
        <v>966.4</v>
      </c>
      <c r="AC19" t="n">
        <v>1008.4</v>
      </c>
      <c r="AD19" t="n">
        <v>1052.7</v>
      </c>
      <c r="AE19" t="n">
        <v>996.2</v>
      </c>
      <c r="AF19"/>
    </row>
    <row r="20">
      <c r="A20" t="s">
        <v>99</v>
      </c>
      <c r="B20" t="s">
        <v>310</v>
      </c>
      <c r="C20" t="s">
        <v>246</v>
      </c>
      <c r="D20" t="s">
        <v>311</v>
      </c>
      <c r="E20" t="s">
        <v>247</v>
      </c>
      <c r="F20" t="n">
        <v>734.9</v>
      </c>
      <c r="G20" t="n">
        <v>834.2</v>
      </c>
      <c r="H20" t="n">
        <v>917</v>
      </c>
      <c r="I20" t="n">
        <v>963.5</v>
      </c>
      <c r="J20" t="n">
        <v>1035.2</v>
      </c>
      <c r="K20" t="n">
        <v>1035.2</v>
      </c>
      <c r="L20" t="n">
        <v>1186.6</v>
      </c>
      <c r="M20" t="n">
        <v>1330.4</v>
      </c>
      <c r="N20" t="n">
        <v>1429.6</v>
      </c>
      <c r="O20" t="n">
        <v>1456.6</v>
      </c>
      <c r="P20" t="n">
        <v>1365.1</v>
      </c>
      <c r="Q20" t="n">
        <v>1284.8</v>
      </c>
      <c r="R20" t="n">
        <v>1288.8</v>
      </c>
      <c r="S20" t="n">
        <v>1252.9</v>
      </c>
      <c r="T20" t="n">
        <v>1503.7</v>
      </c>
      <c r="U20" t="n">
        <v>1521.1</v>
      </c>
      <c r="V20" t="n">
        <v>1497.4</v>
      </c>
      <c r="W20" t="n">
        <v>1389.8</v>
      </c>
      <c r="X20" t="n">
        <v>1514.3</v>
      </c>
      <c r="Y20" t="n">
        <v>1573.5</v>
      </c>
      <c r="Z20" t="n">
        <v>1637.6</v>
      </c>
      <c r="AA20" t="n">
        <v>1901</v>
      </c>
      <c r="AB20" t="n">
        <v>2009.9</v>
      </c>
      <c r="AC20" t="n">
        <v>2182</v>
      </c>
      <c r="AD20" t="n">
        <v>2323</v>
      </c>
      <c r="AE20" t="n">
        <v>2330.5</v>
      </c>
      <c r="AF20" t="n">
        <v>2309.3</v>
      </c>
    </row>
    <row r="21">
      <c r="A21" t="s">
        <v>99</v>
      </c>
      <c r="B21" t="s">
        <v>312</v>
      </c>
      <c r="C21" t="s">
        <v>246</v>
      </c>
      <c r="D21" t="s">
        <v>313</v>
      </c>
      <c r="E21" t="s">
        <v>247</v>
      </c>
      <c r="F21" t="n">
        <v>950.7</v>
      </c>
      <c r="G21" t="n">
        <v>1058.4</v>
      </c>
      <c r="H21" t="n">
        <v>1153.7</v>
      </c>
      <c r="I21" t="n">
        <v>1212</v>
      </c>
      <c r="J21" t="n">
        <v>1307.9</v>
      </c>
      <c r="K21" t="n">
        <v>1331.6</v>
      </c>
      <c r="L21" t="n">
        <v>1503.7</v>
      </c>
      <c r="M21" t="n">
        <v>1667.8</v>
      </c>
      <c r="N21" t="n">
        <v>1777</v>
      </c>
      <c r="O21" t="n">
        <v>1824.9</v>
      </c>
      <c r="P21" t="n">
        <v>1719.4</v>
      </c>
      <c r="Q21" t="n">
        <v>1646.5</v>
      </c>
      <c r="R21" t="n">
        <v>1657.1</v>
      </c>
      <c r="S21" t="n">
        <v>1611.7</v>
      </c>
      <c r="T21" t="n">
        <v>1866.2</v>
      </c>
      <c r="U21" t="n">
        <v>1890.2</v>
      </c>
      <c r="V21" t="n">
        <v>1863.5</v>
      </c>
      <c r="W21" t="n">
        <v>1771.9</v>
      </c>
      <c r="X21" t="n">
        <v>1923.6</v>
      </c>
      <c r="Y21" t="n">
        <v>2088.4</v>
      </c>
      <c r="Z21" t="n">
        <v>2268.1</v>
      </c>
      <c r="AA21" t="n">
        <v>2778.8</v>
      </c>
      <c r="AB21" t="n">
        <v>3206.2</v>
      </c>
      <c r="AC21" t="n">
        <v>3708.7</v>
      </c>
      <c r="AD21" t="n">
        <v>4070</v>
      </c>
      <c r="AE21" t="n">
        <v>3998.5</v>
      </c>
      <c r="AF21" t="n">
        <v>3885</v>
      </c>
    </row>
    <row r="22">
      <c r="A22" t="s">
        <v>99</v>
      </c>
      <c r="B22" t="s">
        <v>314</v>
      </c>
      <c r="C22" t="s">
        <v>246</v>
      </c>
      <c r="D22" t="s">
        <v>315</v>
      </c>
      <c r="E22" t="s">
        <v>247</v>
      </c>
      <c r="F22" t="n">
        <v>215.8</v>
      </c>
      <c r="G22" t="n">
        <v>224.2</v>
      </c>
      <c r="H22" t="n">
        <v>236.7</v>
      </c>
      <c r="I22" t="n">
        <v>248.5</v>
      </c>
      <c r="J22" t="n">
        <v>272.7</v>
      </c>
      <c r="K22" t="n">
        <v>296.4</v>
      </c>
      <c r="L22" t="n">
        <v>317.1</v>
      </c>
      <c r="M22" t="n">
        <v>337.4</v>
      </c>
      <c r="N22" t="n">
        <v>347.4</v>
      </c>
      <c r="O22" t="n">
        <v>368.3</v>
      </c>
      <c r="P22" t="n">
        <v>354.3</v>
      </c>
      <c r="Q22" t="n">
        <v>361.7</v>
      </c>
      <c r="R22" t="n">
        <v>368.3</v>
      </c>
      <c r="S22" t="n">
        <v>358.8</v>
      </c>
      <c r="T22" t="n">
        <v>362.5</v>
      </c>
      <c r="U22" t="n">
        <v>369.1</v>
      </c>
      <c r="V22" t="n">
        <v>366.1</v>
      </c>
      <c r="W22" t="n">
        <v>382.1</v>
      </c>
      <c r="X22" t="n">
        <v>409.3</v>
      </c>
      <c r="Y22" t="n">
        <v>514.9</v>
      </c>
      <c r="Z22" t="n">
        <v>630.5</v>
      </c>
      <c r="AA22" t="n">
        <v>877.8</v>
      </c>
      <c r="AB22" t="n">
        <v>1196.3</v>
      </c>
      <c r="AC22" t="n">
        <v>1526.7</v>
      </c>
      <c r="AD22" t="n">
        <v>1747</v>
      </c>
      <c r="AE22" t="n">
        <v>1668</v>
      </c>
      <c r="AF22" t="n">
        <v>1575.7</v>
      </c>
    </row>
    <row r="23">
      <c r="A23" t="s">
        <v>99</v>
      </c>
      <c r="B23" t="s">
        <v>316</v>
      </c>
      <c r="C23" t="s">
        <v>246</v>
      </c>
      <c r="D23" t="s">
        <v>317</v>
      </c>
      <c r="E23" t="s">
        <v>247</v>
      </c>
      <c r="F23" t="n">
        <v>404.7</v>
      </c>
      <c r="G23" t="n">
        <v>430.2</v>
      </c>
      <c r="H23" t="n">
        <v>455.8</v>
      </c>
      <c r="I23" t="n">
        <v>486</v>
      </c>
      <c r="J23" t="n">
        <v>522.9</v>
      </c>
      <c r="K23" t="n">
        <v>553.5</v>
      </c>
      <c r="L23" t="n">
        <v>619.4</v>
      </c>
      <c r="M23" t="n">
        <v>670.1</v>
      </c>
      <c r="N23" t="n">
        <v>673.2</v>
      </c>
      <c r="O23" t="n">
        <v>653.3</v>
      </c>
      <c r="P23" t="n">
        <v>637.3</v>
      </c>
      <c r="Q23" t="n">
        <v>610.8</v>
      </c>
      <c r="R23" t="n">
        <v>639.7</v>
      </c>
      <c r="S23" t="n">
        <v>628.4</v>
      </c>
      <c r="T23" t="n">
        <v>639.1</v>
      </c>
      <c r="U23" t="n">
        <v>655.3</v>
      </c>
      <c r="V23" t="n">
        <v>652.8</v>
      </c>
      <c r="W23" t="n">
        <v>616.5</v>
      </c>
      <c r="X23" t="n">
        <v>598.9</v>
      </c>
      <c r="Y23" t="n">
        <v>615.1</v>
      </c>
      <c r="Z23" t="n">
        <v>602.3</v>
      </c>
      <c r="AA23" t="n">
        <v>660.8</v>
      </c>
      <c r="AB23" t="n">
        <v>821.1</v>
      </c>
      <c r="AC23" t="n">
        <v>865.5</v>
      </c>
      <c r="AD23" t="n">
        <v>845</v>
      </c>
      <c r="AE23" t="n">
        <v>962.6</v>
      </c>
      <c r="AF23" t="n">
        <v>1039.2</v>
      </c>
    </row>
    <row r="24">
      <c r="A24" t="s">
        <v>99</v>
      </c>
      <c r="B24" t="s">
        <v>318</v>
      </c>
      <c r="C24" t="s">
        <v>246</v>
      </c>
      <c r="D24" t="s">
        <v>319</v>
      </c>
      <c r="E24" t="s">
        <v>247</v>
      </c>
      <c r="F24" t="n">
        <v>2580.5</v>
      </c>
      <c r="G24" t="n">
        <v>2746.5</v>
      </c>
      <c r="H24" t="n">
        <v>2932.6</v>
      </c>
      <c r="I24" t="n">
        <v>3156.2</v>
      </c>
      <c r="J24" t="n">
        <v>3447</v>
      </c>
      <c r="K24" t="n">
        <v>3661.4</v>
      </c>
      <c r="L24" t="n">
        <v>3987.4</v>
      </c>
      <c r="M24" t="n">
        <v>4432.8</v>
      </c>
      <c r="N24" t="n">
        <v>4278.9</v>
      </c>
      <c r="O24" t="n">
        <v>4207.4</v>
      </c>
      <c r="P24" t="n">
        <v>4053.3</v>
      </c>
      <c r="Q24" t="n">
        <v>4164.4</v>
      </c>
      <c r="R24" t="n">
        <v>4253.6</v>
      </c>
      <c r="S24" t="n">
        <v>4256.4</v>
      </c>
      <c r="T24" t="n">
        <v>4309</v>
      </c>
      <c r="U24" t="n">
        <v>4401.6</v>
      </c>
      <c r="V24" t="n">
        <v>4369</v>
      </c>
      <c r="W24" t="n">
        <v>4332</v>
      </c>
      <c r="X24" t="n">
        <v>4188.8</v>
      </c>
      <c r="Y24" t="n">
        <v>4419</v>
      </c>
      <c r="Z24" t="n">
        <v>4445.4</v>
      </c>
      <c r="AA24" t="n">
        <v>4948.4</v>
      </c>
      <c r="AB24" t="n">
        <v>5328.7</v>
      </c>
      <c r="AC24" t="n">
        <v>5848.6</v>
      </c>
      <c r="AD24" t="n">
        <v>6217.2</v>
      </c>
      <c r="AE24" t="n">
        <v>6118.4</v>
      </c>
      <c r="AF24" t="n">
        <v>6009.5</v>
      </c>
    </row>
    <row r="25">
      <c r="A25" t="s">
        <v>99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99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99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99</v>
      </c>
      <c r="B28" t="s">
        <v>326</v>
      </c>
      <c r="C28" t="s">
        <v>246</v>
      </c>
      <c r="D28" t="s">
        <v>327</v>
      </c>
      <c r="E28" t="s">
        <v>247</v>
      </c>
      <c r="F28" t="n">
        <v>1247.8</v>
      </c>
      <c r="G28" t="n">
        <v>1354.8</v>
      </c>
      <c r="H28" t="n">
        <v>1443.7</v>
      </c>
      <c r="I28" t="n">
        <v>1532.5</v>
      </c>
      <c r="J28" t="n">
        <v>1614.8</v>
      </c>
      <c r="K28" t="n">
        <v>1740</v>
      </c>
      <c r="L28" t="n">
        <v>1815.2</v>
      </c>
      <c r="M28" t="n">
        <v>1943.3</v>
      </c>
      <c r="N28" t="n">
        <v>1941.7</v>
      </c>
      <c r="O28" t="n">
        <v>2061.2</v>
      </c>
      <c r="P28" t="n">
        <v>2191.4</v>
      </c>
      <c r="Q28" t="n">
        <v>2293.9</v>
      </c>
      <c r="R28" t="n">
        <v>2470.1</v>
      </c>
      <c r="S28" t="n">
        <v>2439.1</v>
      </c>
      <c r="T28" t="n">
        <v>2544.8</v>
      </c>
      <c r="U28" t="n">
        <v>2495.3</v>
      </c>
      <c r="V28" t="n">
        <v>2398.2</v>
      </c>
      <c r="W28" t="n">
        <v>2288.1</v>
      </c>
      <c r="X28" t="n">
        <v>2229.8</v>
      </c>
      <c r="Y28" t="n">
        <v>2264.2</v>
      </c>
      <c r="Z28" t="n">
        <v>2505.4</v>
      </c>
      <c r="AA28" t="n">
        <v>2652.8</v>
      </c>
      <c r="AB28" t="n">
        <v>2710.5</v>
      </c>
      <c r="AC28" t="n">
        <v>2769.8</v>
      </c>
      <c r="AD28" t="n">
        <v>2734.4</v>
      </c>
      <c r="AE28" t="n">
        <v>2840.9</v>
      </c>
      <c r="AF28" t="n">
        <v>2782.6</v>
      </c>
    </row>
    <row r="29">
      <c r="A29" t="s">
        <v>99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99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99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99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99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99</v>
      </c>
      <c r="B34" t="s">
        <v>338</v>
      </c>
      <c r="C34" t="s">
        <v>246</v>
      </c>
      <c r="D34" t="s">
        <v>339</v>
      </c>
      <c r="E34" t="s">
        <v>247</v>
      </c>
      <c r="F34" t="n">
        <v>143.4</v>
      </c>
      <c r="G34" t="n">
        <v>156.7</v>
      </c>
      <c r="H34" t="n">
        <v>168.2</v>
      </c>
      <c r="I34" t="n">
        <v>179.2</v>
      </c>
      <c r="J34" t="n">
        <v>190</v>
      </c>
      <c r="K34" t="n">
        <v>193.1</v>
      </c>
      <c r="L34" t="n">
        <v>244</v>
      </c>
      <c r="M34" t="n">
        <v>278.1</v>
      </c>
      <c r="N34" t="n">
        <v>264</v>
      </c>
      <c r="O34" t="n">
        <v>252.9</v>
      </c>
      <c r="P34" t="n">
        <v>241.7</v>
      </c>
      <c r="Q34" t="n">
        <v>233.4</v>
      </c>
      <c r="R34" t="n">
        <v>243.8</v>
      </c>
      <c r="S34" t="n">
        <v>250</v>
      </c>
      <c r="T34" t="n">
        <v>253.6</v>
      </c>
      <c r="U34" t="n">
        <v>258.3</v>
      </c>
      <c r="V34" t="n">
        <v>255</v>
      </c>
      <c r="W34" t="n">
        <v>254.4</v>
      </c>
      <c r="X34" t="n">
        <v>269.2</v>
      </c>
      <c r="Y34" t="n">
        <v>354.4</v>
      </c>
      <c r="Z34" t="n">
        <v>348.2</v>
      </c>
      <c r="AA34" t="n">
        <v>362</v>
      </c>
      <c r="AB34" t="n">
        <v>358.4</v>
      </c>
      <c r="AC34" t="n">
        <v>358.6</v>
      </c>
      <c r="AD34" t="n">
        <v>406.2</v>
      </c>
      <c r="AE34" t="n">
        <v>433.4</v>
      </c>
      <c r="AF34" t="n">
        <v>417.6</v>
      </c>
    </row>
    <row r="35">
      <c r="A35" t="s">
        <v>99</v>
      </c>
      <c r="B35" t="s">
        <v>340</v>
      </c>
      <c r="C35" t="s">
        <v>246</v>
      </c>
      <c r="D35" t="s">
        <v>341</v>
      </c>
      <c r="E35" t="s">
        <v>247</v>
      </c>
      <c r="F35" t="n">
        <v>7973.5</v>
      </c>
      <c r="G35" t="n">
        <v>9049.4</v>
      </c>
      <c r="H35" t="n">
        <v>9924.5</v>
      </c>
      <c r="I35" t="n">
        <v>10692.8</v>
      </c>
      <c r="J35" t="n">
        <v>11778.4</v>
      </c>
      <c r="K35" t="n">
        <v>12699.4</v>
      </c>
      <c r="L35" t="n">
        <v>13831.2</v>
      </c>
      <c r="M35" t="n">
        <v>14770.1</v>
      </c>
      <c r="N35" t="n">
        <v>15899.3</v>
      </c>
      <c r="O35" t="n">
        <v>15900</v>
      </c>
      <c r="P35" t="n">
        <v>16012.7</v>
      </c>
      <c r="Q35" t="n">
        <v>15952.3</v>
      </c>
      <c r="R35" t="n">
        <v>16466.5</v>
      </c>
      <c r="S35" t="n">
        <v>16444.8</v>
      </c>
      <c r="T35" t="n">
        <v>16048.4</v>
      </c>
      <c r="U35" t="n">
        <v>16280.3</v>
      </c>
      <c r="V35" t="n">
        <v>16138.1</v>
      </c>
      <c r="W35" t="n">
        <v>16300.6</v>
      </c>
      <c r="X35" t="n">
        <v>17045.1</v>
      </c>
      <c r="Y35" t="n">
        <v>18054.6</v>
      </c>
      <c r="Z35" t="n">
        <v>20478.1</v>
      </c>
      <c r="AA35" t="n">
        <v>21384.2</v>
      </c>
      <c r="AB35" t="n">
        <v>21801.7</v>
      </c>
      <c r="AC35" t="n">
        <v>21209.2</v>
      </c>
      <c r="AD35" t="n">
        <v>19985.6</v>
      </c>
      <c r="AE35" t="n">
        <v>20751.7</v>
      </c>
      <c r="AF35" t="n">
        <v>21483.4</v>
      </c>
    </row>
    <row r="36">
      <c r="A36" t="s">
        <v>99</v>
      </c>
      <c r="B36" t="s">
        <v>342</v>
      </c>
      <c r="C36" t="s">
        <v>246</v>
      </c>
      <c r="D36" t="s">
        <v>343</v>
      </c>
      <c r="E36" t="s">
        <v>247</v>
      </c>
      <c r="F36" t="n">
        <v>1043.3</v>
      </c>
      <c r="G36" t="n">
        <v>1088.5</v>
      </c>
      <c r="H36" t="n">
        <v>1164.4</v>
      </c>
      <c r="I36" t="n">
        <v>1228.3</v>
      </c>
      <c r="J36" t="n">
        <v>1335.8</v>
      </c>
      <c r="K36" t="n">
        <v>1433.5</v>
      </c>
      <c r="L36" t="n">
        <v>1477.1</v>
      </c>
      <c r="M36" t="n">
        <v>1614.8</v>
      </c>
      <c r="N36" t="n">
        <v>1634</v>
      </c>
      <c r="O36" t="n">
        <v>1652.1</v>
      </c>
      <c r="P36" t="n">
        <v>1661.7</v>
      </c>
      <c r="Q36" t="n">
        <v>1657.7</v>
      </c>
      <c r="R36" t="n">
        <v>1714.6</v>
      </c>
      <c r="S36" t="n">
        <v>1742.7</v>
      </c>
      <c r="T36" t="n">
        <v>1716.4</v>
      </c>
      <c r="U36" t="n">
        <v>1731.1</v>
      </c>
      <c r="V36" t="n">
        <v>1705.7</v>
      </c>
      <c r="W36" t="n">
        <v>1916.1</v>
      </c>
      <c r="X36" t="n">
        <v>1856.7</v>
      </c>
      <c r="Y36" t="n">
        <v>1780.8</v>
      </c>
      <c r="Z36" t="n">
        <v>1726.4</v>
      </c>
      <c r="AA36" t="n">
        <v>1880.8</v>
      </c>
      <c r="AB36" t="n">
        <v>1983.6</v>
      </c>
      <c r="AC36" t="n">
        <v>1905.2</v>
      </c>
      <c r="AD36" t="n">
        <v>1777.8</v>
      </c>
      <c r="AE36" t="n">
        <v>1735.9</v>
      </c>
      <c r="AF36"/>
    </row>
    <row r="37">
      <c r="A37" t="s">
        <v>99</v>
      </c>
      <c r="B37" t="s">
        <v>344</v>
      </c>
      <c r="C37" t="s">
        <v>246</v>
      </c>
      <c r="D37" t="s">
        <v>345</v>
      </c>
      <c r="E37" t="s">
        <v>247</v>
      </c>
      <c r="F37" t="n">
        <v>1624.5</v>
      </c>
      <c r="G37" t="n">
        <v>1763.5</v>
      </c>
      <c r="H37" t="n">
        <v>1888</v>
      </c>
      <c r="I37" t="n">
        <v>2010.1</v>
      </c>
      <c r="J37" t="n">
        <v>2114.4</v>
      </c>
      <c r="K37" t="n">
        <v>2638.5</v>
      </c>
      <c r="L37" t="n">
        <v>2842.2</v>
      </c>
      <c r="M37" t="n">
        <v>3078.5</v>
      </c>
      <c r="N37" t="n">
        <v>3224.6</v>
      </c>
      <c r="O37" t="n">
        <v>3081.8</v>
      </c>
      <c r="P37" t="n">
        <v>2950.1</v>
      </c>
      <c r="Q37" t="n">
        <v>2806.2</v>
      </c>
      <c r="R37" t="n">
        <v>2835.5</v>
      </c>
      <c r="S37" t="n">
        <v>3052</v>
      </c>
      <c r="T37" t="n">
        <v>2841.4</v>
      </c>
      <c r="U37" t="n">
        <v>2877.8</v>
      </c>
      <c r="V37" t="n">
        <v>2845.8</v>
      </c>
      <c r="W37" t="n">
        <v>3198.8</v>
      </c>
      <c r="X37" t="n">
        <v>3600.9</v>
      </c>
      <c r="Y37" t="n">
        <v>4331.2</v>
      </c>
      <c r="Z37" t="n">
        <v>5294.2</v>
      </c>
      <c r="AA37" t="n">
        <v>5816.2</v>
      </c>
      <c r="AB37" t="n">
        <v>5496.8</v>
      </c>
      <c r="AC37" t="n">
        <v>4888.3</v>
      </c>
      <c r="AD37" t="n">
        <v>4246.3</v>
      </c>
      <c r="AE37" t="n">
        <v>4456.1</v>
      </c>
      <c r="AF37"/>
    </row>
    <row r="38">
      <c r="A38" t="s">
        <v>99</v>
      </c>
      <c r="B38" t="s">
        <v>346</v>
      </c>
      <c r="C38" t="s">
        <v>246</v>
      </c>
      <c r="D38" t="s">
        <v>347</v>
      </c>
      <c r="E38" t="s">
        <v>247</v>
      </c>
      <c r="F38" t="n">
        <v>5305.7</v>
      </c>
      <c r="G38" t="n">
        <v>6197.4</v>
      </c>
      <c r="H38" t="n">
        <v>6872.1</v>
      </c>
      <c r="I38" t="n">
        <v>7454.4</v>
      </c>
      <c r="J38" t="n">
        <v>8328.2</v>
      </c>
      <c r="K38" t="n">
        <v>8627.4</v>
      </c>
      <c r="L38" t="n">
        <v>9511.9</v>
      </c>
      <c r="M38" t="n">
        <v>10076.8</v>
      </c>
      <c r="N38" t="n">
        <v>11040.7</v>
      </c>
      <c r="O38" t="n">
        <v>11166.1</v>
      </c>
      <c r="P38" t="n">
        <v>11400.9</v>
      </c>
      <c r="Q38" t="n">
        <v>11488.4</v>
      </c>
      <c r="R38" t="n">
        <v>11916.4</v>
      </c>
      <c r="S38" t="n">
        <v>11650.1</v>
      </c>
      <c r="T38" t="n">
        <v>11490.6</v>
      </c>
      <c r="U38" t="n">
        <v>11671.4</v>
      </c>
      <c r="V38" t="n">
        <v>11586.6</v>
      </c>
      <c r="W38" t="n">
        <v>11185.7</v>
      </c>
      <c r="X38" t="n">
        <v>11587.5</v>
      </c>
      <c r="Y38" t="n">
        <v>11942.6</v>
      </c>
      <c r="Z38" t="n">
        <v>13457.5</v>
      </c>
      <c r="AA38" t="n">
        <v>13687.2</v>
      </c>
      <c r="AB38" t="n">
        <v>14321.3</v>
      </c>
      <c r="AC38" t="n">
        <v>14415.7</v>
      </c>
      <c r="AD38" t="n">
        <v>13961.5</v>
      </c>
      <c r="AE38" t="n">
        <v>14559.7</v>
      </c>
      <c r="AF38"/>
    </row>
    <row r="39">
      <c r="A39" t="s">
        <v>99</v>
      </c>
      <c r="B39" t="s">
        <v>348</v>
      </c>
      <c r="C39" t="s">
        <v>246</v>
      </c>
      <c r="D39" t="s">
        <v>349</v>
      </c>
      <c r="E39" t="s">
        <v>247</v>
      </c>
      <c r="F39" t="n">
        <v>1872</v>
      </c>
      <c r="G39" t="n">
        <v>1921.5</v>
      </c>
      <c r="H39" t="n">
        <v>2042.1</v>
      </c>
      <c r="I39" t="n">
        <v>2408.8</v>
      </c>
      <c r="J39" t="n">
        <v>2576.9</v>
      </c>
      <c r="K39" t="n">
        <v>2750.6</v>
      </c>
      <c r="L39" t="n">
        <v>2825.8</v>
      </c>
      <c r="M39" t="n">
        <v>3010.8</v>
      </c>
      <c r="N39" t="n">
        <v>3199.3</v>
      </c>
      <c r="O39" t="n">
        <v>3309.2</v>
      </c>
      <c r="P39" t="n">
        <v>3390.3</v>
      </c>
      <c r="Q39" t="n">
        <v>3571.5</v>
      </c>
      <c r="R39" t="n">
        <v>3338.8</v>
      </c>
      <c r="S39" t="n">
        <v>3701.5</v>
      </c>
      <c r="T39" t="n">
        <v>3556.3</v>
      </c>
      <c r="U39" t="n">
        <v>3558.2</v>
      </c>
      <c r="V39" t="n">
        <v>3437</v>
      </c>
      <c r="W39" t="n">
        <v>3270.8</v>
      </c>
      <c r="X39" t="n">
        <v>3158.9</v>
      </c>
      <c r="Y39" t="n">
        <v>3244.6</v>
      </c>
      <c r="Z39" t="n">
        <v>3626.4</v>
      </c>
      <c r="AA39" t="n">
        <v>3923</v>
      </c>
      <c r="AB39" t="n">
        <v>4131.6</v>
      </c>
      <c r="AC39" t="n">
        <v>4378</v>
      </c>
      <c r="AD39" t="n">
        <v>4743.1</v>
      </c>
      <c r="AE39" t="n">
        <v>5088.8</v>
      </c>
      <c r="AF39" t="n">
        <v>5294.1</v>
      </c>
    </row>
    <row r="40">
      <c r="A40" t="s">
        <v>99</v>
      </c>
      <c r="B40" t="s">
        <v>350</v>
      </c>
      <c r="C40" t="s">
        <v>246</v>
      </c>
      <c r="D40" t="s">
        <v>351</v>
      </c>
      <c r="E40" t="s">
        <v>247</v>
      </c>
      <c r="F40" t="n">
        <v>254</v>
      </c>
      <c r="G40" t="n">
        <v>290.2</v>
      </c>
      <c r="H40" t="n">
        <v>318.8</v>
      </c>
      <c r="I40" t="n">
        <v>347</v>
      </c>
      <c r="J40" t="n">
        <v>386.1</v>
      </c>
      <c r="K40" t="n">
        <v>452.8</v>
      </c>
      <c r="L40" t="n">
        <v>450.7</v>
      </c>
      <c r="M40" t="n">
        <v>505.6</v>
      </c>
      <c r="N40" t="n">
        <v>495.9</v>
      </c>
      <c r="O40" t="n">
        <v>491.8</v>
      </c>
      <c r="P40" t="n">
        <v>460.2</v>
      </c>
      <c r="Q40" t="n">
        <v>494</v>
      </c>
      <c r="R40" t="n">
        <v>493.5</v>
      </c>
      <c r="S40" t="n">
        <v>509.4</v>
      </c>
      <c r="T40" t="n">
        <v>590.6</v>
      </c>
      <c r="U40" t="n">
        <v>612.8</v>
      </c>
      <c r="V40" t="n">
        <v>585.4</v>
      </c>
      <c r="W40" t="n">
        <v>468.8</v>
      </c>
      <c r="X40" t="n">
        <v>393.8</v>
      </c>
      <c r="Y40" t="n">
        <v>461.1</v>
      </c>
      <c r="Z40" t="n">
        <v>432.8</v>
      </c>
      <c r="AA40" t="n">
        <v>349.7</v>
      </c>
      <c r="AB40" t="n">
        <v>251.4</v>
      </c>
      <c r="AC40" t="n">
        <v>171.4</v>
      </c>
      <c r="AD40" t="n">
        <v>124.1</v>
      </c>
      <c r="AE40" t="n">
        <v>99.4</v>
      </c>
      <c r="AF40" t="n">
        <v>94.2</v>
      </c>
    </row>
    <row r="41">
      <c r="A41" t="s">
        <v>99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99</v>
      </c>
      <c r="B42" t="s">
        <v>354</v>
      </c>
      <c r="C42" t="s">
        <v>246</v>
      </c>
      <c r="D42" t="s">
        <v>355</v>
      </c>
      <c r="E42" t="s">
        <v>247</v>
      </c>
      <c r="F42" t="n">
        <v>2958.9</v>
      </c>
      <c r="G42" t="n">
        <v>3387.9</v>
      </c>
      <c r="H42" t="n">
        <v>3740.2</v>
      </c>
      <c r="I42" t="n">
        <v>4066.7</v>
      </c>
      <c r="J42" t="n">
        <v>4502.6</v>
      </c>
      <c r="K42" t="n">
        <v>5033.9</v>
      </c>
      <c r="L42" t="n">
        <v>5443.4</v>
      </c>
      <c r="M42" t="n">
        <v>5809.1</v>
      </c>
      <c r="N42" t="n">
        <v>5818.4</v>
      </c>
      <c r="O42" t="n">
        <v>5890</v>
      </c>
      <c r="P42" t="n">
        <v>5860.5</v>
      </c>
      <c r="Q42" t="n">
        <v>5932.6</v>
      </c>
      <c r="R42" t="n">
        <v>6092.7</v>
      </c>
      <c r="S42" t="n">
        <v>6320.8</v>
      </c>
      <c r="T42" t="n">
        <v>6166.8</v>
      </c>
      <c r="U42" t="n">
        <v>6248.9</v>
      </c>
      <c r="V42" t="n">
        <v>6166.6</v>
      </c>
      <c r="W42" t="n">
        <v>6237.9</v>
      </c>
      <c r="X42" t="n">
        <v>5917.8</v>
      </c>
      <c r="Y42" t="n">
        <v>6309.6</v>
      </c>
      <c r="Z42" t="n">
        <v>6620.8</v>
      </c>
      <c r="AA42" t="n">
        <v>6850.4</v>
      </c>
      <c r="AB42" t="n">
        <v>7410.6</v>
      </c>
      <c r="AC42" t="n">
        <v>7762.1</v>
      </c>
      <c r="AD42" t="n">
        <v>7733</v>
      </c>
      <c r="AE42" t="n">
        <v>7686.5</v>
      </c>
      <c r="AF42" t="n">
        <v>8178.1</v>
      </c>
    </row>
    <row r="43">
      <c r="A43" t="s">
        <v>99</v>
      </c>
      <c r="B43" t="s">
        <v>356</v>
      </c>
      <c r="C43" t="s">
        <v>246</v>
      </c>
      <c r="D43" t="s">
        <v>357</v>
      </c>
      <c r="E43" t="s">
        <v>247</v>
      </c>
      <c r="F43" t="n">
        <v>3725.7</v>
      </c>
      <c r="G43" t="n">
        <v>4274.9</v>
      </c>
      <c r="H43" t="n">
        <v>4719</v>
      </c>
      <c r="I43" t="n">
        <v>5127</v>
      </c>
      <c r="J43" t="n">
        <v>5680</v>
      </c>
      <c r="K43" t="n">
        <v>6332.8</v>
      </c>
      <c r="L43" t="n">
        <v>6831.5</v>
      </c>
      <c r="M43" t="n">
        <v>7309</v>
      </c>
      <c r="N43" t="n">
        <v>7328</v>
      </c>
      <c r="O43" t="n">
        <v>7417.5</v>
      </c>
      <c r="P43" t="n">
        <v>7349.9</v>
      </c>
      <c r="Q43" t="n">
        <v>7445</v>
      </c>
      <c r="R43" t="n">
        <v>7652.6</v>
      </c>
      <c r="S43" t="n">
        <v>7982.9</v>
      </c>
      <c r="T43" t="n">
        <v>7769.5</v>
      </c>
      <c r="U43" t="n">
        <v>7883.5</v>
      </c>
      <c r="V43" t="n">
        <v>7791.7</v>
      </c>
      <c r="W43" t="n">
        <v>7947.9</v>
      </c>
      <c r="X43" t="n">
        <v>7718</v>
      </c>
      <c r="Y43" t="n">
        <v>8320.3</v>
      </c>
      <c r="Z43" t="n">
        <v>8824.3</v>
      </c>
      <c r="AA43" t="n">
        <v>9464.3</v>
      </c>
      <c r="AB43" t="n">
        <v>10102.6</v>
      </c>
      <c r="AC43" t="n">
        <v>10721.8</v>
      </c>
      <c r="AD43" t="n">
        <v>11071.8</v>
      </c>
      <c r="AE43" t="n">
        <v>11014.4</v>
      </c>
      <c r="AF43" t="n">
        <v>11515.2</v>
      </c>
    </row>
    <row r="44">
      <c r="A44" t="s">
        <v>99</v>
      </c>
      <c r="B44" t="s">
        <v>358</v>
      </c>
      <c r="C44" t="s">
        <v>246</v>
      </c>
      <c r="D44" t="s">
        <v>359</v>
      </c>
      <c r="E44" t="s">
        <v>247</v>
      </c>
      <c r="F44" t="n">
        <v>25471.7</v>
      </c>
      <c r="G44" t="n">
        <v>28131.2</v>
      </c>
      <c r="H44" t="n">
        <v>30540.4</v>
      </c>
      <c r="I44" t="n">
        <v>33231</v>
      </c>
      <c r="J44" t="n">
        <v>36328</v>
      </c>
      <c r="K44" t="n">
        <v>39228.6</v>
      </c>
      <c r="L44" t="n">
        <v>42472</v>
      </c>
      <c r="M44" t="n">
        <v>45584.3</v>
      </c>
      <c r="N44" t="n">
        <v>46892.2</v>
      </c>
      <c r="O44" t="n">
        <v>47042.4</v>
      </c>
      <c r="P44" t="n">
        <v>46923.4</v>
      </c>
      <c r="Q44" t="n">
        <v>47114.6</v>
      </c>
      <c r="R44" t="n">
        <v>48170.7</v>
      </c>
      <c r="S44" t="n">
        <v>49144.4</v>
      </c>
      <c r="T44" t="n">
        <v>48688.2</v>
      </c>
      <c r="U44" t="n">
        <v>49255.6</v>
      </c>
      <c r="V44" t="n">
        <v>48581</v>
      </c>
      <c r="W44" t="n">
        <v>48257</v>
      </c>
      <c r="X44" t="n">
        <v>48984.7</v>
      </c>
      <c r="Y44" t="n">
        <v>52083.3</v>
      </c>
      <c r="Z44" t="n">
        <v>56271.1</v>
      </c>
      <c r="AA44" t="n">
        <v>59816.3</v>
      </c>
      <c r="AB44" t="n">
        <v>62668.5</v>
      </c>
      <c r="AC44" t="n">
        <v>65010.8</v>
      </c>
      <c r="AD44" t="n">
        <v>66409.5</v>
      </c>
      <c r="AE44" t="n">
        <v>67382.4</v>
      </c>
      <c r="AF44" t="n">
        <v>69395.9</v>
      </c>
    </row>
    <row r="45">
      <c r="A45" t="s">
        <v>99</v>
      </c>
      <c r="B45" t="s">
        <v>360</v>
      </c>
      <c r="C45" t="s">
        <v>246</v>
      </c>
      <c r="D45" t="s">
        <v>361</v>
      </c>
      <c r="E45" t="s">
        <v>247</v>
      </c>
      <c r="F45" t="n">
        <v>25440.2</v>
      </c>
      <c r="G45" t="n">
        <v>28096.5</v>
      </c>
      <c r="H45" t="n">
        <v>30502.8</v>
      </c>
      <c r="I45" t="n">
        <v>33189.7</v>
      </c>
      <c r="J45" t="n">
        <v>36282.5</v>
      </c>
      <c r="K45" t="n">
        <v>39178.9</v>
      </c>
      <c r="L45" t="n">
        <v>42418.4</v>
      </c>
      <c r="M45" t="n">
        <v>45528.3</v>
      </c>
      <c r="N45" t="n">
        <v>46836.2</v>
      </c>
      <c r="O45" t="n">
        <v>46986.5</v>
      </c>
      <c r="P45" t="n">
        <v>46868.3</v>
      </c>
      <c r="Q45" t="n">
        <v>47059.2</v>
      </c>
      <c r="R45" t="n">
        <v>48113.6</v>
      </c>
      <c r="S45" t="n">
        <v>49085.1</v>
      </c>
      <c r="T45" t="n">
        <v>48629</v>
      </c>
      <c r="U45" t="n">
        <v>49195.4</v>
      </c>
      <c r="V45" t="n">
        <v>48520.5</v>
      </c>
      <c r="W45" t="n">
        <v>48198.7</v>
      </c>
      <c r="X45" t="n">
        <v>48912.1</v>
      </c>
      <c r="Y45" t="n">
        <v>51973.1</v>
      </c>
      <c r="Z45" t="n">
        <v>56126.8</v>
      </c>
      <c r="AA45" t="n">
        <v>59662.8</v>
      </c>
      <c r="AB45" t="n">
        <v>62529.4</v>
      </c>
      <c r="AC45" t="n">
        <v>64877.3</v>
      </c>
      <c r="AD45" t="n">
        <v>66281.3</v>
      </c>
      <c r="AE45" t="n">
        <v>67271.9</v>
      </c>
      <c r="AF45" t="n">
        <v>69283.5</v>
      </c>
    </row>
    <row r="46">
      <c r="A46" t="s">
        <v>99</v>
      </c>
      <c r="B46" t="s">
        <v>362</v>
      </c>
      <c r="C46" t="s">
        <v>246</v>
      </c>
      <c r="D46" t="s">
        <v>363</v>
      </c>
      <c r="E46" t="s">
        <v>247</v>
      </c>
      <c r="F46" t="n">
        <v>766.8</v>
      </c>
      <c r="G46" t="n">
        <v>887</v>
      </c>
      <c r="H46" t="n">
        <v>978.8</v>
      </c>
      <c r="I46" t="n">
        <v>1060.3</v>
      </c>
      <c r="J46" t="n">
        <v>1177.4</v>
      </c>
      <c r="K46" t="n">
        <v>1298.9</v>
      </c>
      <c r="L46" t="n">
        <v>1388.1</v>
      </c>
      <c r="M46" t="n">
        <v>1499.9</v>
      </c>
      <c r="N46" t="n">
        <v>1509.6</v>
      </c>
      <c r="O46" t="n">
        <v>1527.5</v>
      </c>
      <c r="P46" t="n">
        <v>1489.4</v>
      </c>
      <c r="Q46" t="n">
        <v>1512.4</v>
      </c>
      <c r="R46" t="n">
        <v>1559.9</v>
      </c>
      <c r="S46" t="n">
        <v>1662.1</v>
      </c>
      <c r="T46" t="n">
        <v>1602.7</v>
      </c>
      <c r="U46" t="n">
        <v>1634.6</v>
      </c>
      <c r="V46" t="n">
        <v>1625.1</v>
      </c>
      <c r="W46" t="n">
        <v>1710</v>
      </c>
      <c r="X46" t="n">
        <v>1800.2</v>
      </c>
      <c r="Y46" t="n">
        <v>2010.7</v>
      </c>
      <c r="Z46" t="n">
        <v>2203.5</v>
      </c>
      <c r="AA46" t="n">
        <v>2613.9</v>
      </c>
      <c r="AB46" t="n">
        <v>2692</v>
      </c>
      <c r="AC46" t="n">
        <v>2959.7</v>
      </c>
      <c r="AD46" t="n">
        <v>3338.8</v>
      </c>
      <c r="AE46" t="n">
        <v>3327.9</v>
      </c>
      <c r="AF46" t="n">
        <v>3337.1</v>
      </c>
    </row>
    <row r="47">
      <c r="A47" t="s">
        <v>99</v>
      </c>
      <c r="B47" t="s">
        <v>364</v>
      </c>
      <c r="C47" t="s">
        <v>246</v>
      </c>
      <c r="D47" t="s">
        <v>365</v>
      </c>
      <c r="E47" t="s">
        <v>247</v>
      </c>
      <c r="F47" t="n">
        <v>2888.8</v>
      </c>
      <c r="G47" t="n">
        <v>3150.9</v>
      </c>
      <c r="H47" t="n">
        <v>3412.9</v>
      </c>
      <c r="I47" t="n">
        <v>3604.3</v>
      </c>
      <c r="J47" t="n">
        <v>3832</v>
      </c>
      <c r="K47" t="n">
        <v>4025.6</v>
      </c>
      <c r="L47" t="n">
        <v>4358.7</v>
      </c>
      <c r="M47" t="n">
        <v>4645.7</v>
      </c>
      <c r="N47" t="n">
        <v>4870.3</v>
      </c>
      <c r="O47" t="n">
        <v>5152.4</v>
      </c>
      <c r="P47" t="n">
        <v>5380.5</v>
      </c>
      <c r="Q47" t="n">
        <v>5294.4</v>
      </c>
      <c r="R47" t="n">
        <v>5260.8</v>
      </c>
      <c r="S47" t="n">
        <v>5187.7</v>
      </c>
      <c r="T47" t="n">
        <v>5196.5</v>
      </c>
      <c r="U47" t="n">
        <v>5406.3</v>
      </c>
      <c r="V47" t="n">
        <v>5565.1</v>
      </c>
      <c r="W47" t="n">
        <v>5459.3</v>
      </c>
      <c r="X47" t="n">
        <v>5455.6</v>
      </c>
      <c r="Y47" t="n">
        <v>5479.5</v>
      </c>
      <c r="Z47" t="n">
        <v>5584</v>
      </c>
      <c r="AA47" t="n">
        <v>5583.3</v>
      </c>
      <c r="AB47" t="n">
        <v>5499.7</v>
      </c>
      <c r="AC47" t="n">
        <v>5450</v>
      </c>
      <c r="AD47" t="n">
        <v>5472.6</v>
      </c>
      <c r="AE47" t="n">
        <v>5541.6</v>
      </c>
      <c r="AF47" t="n">
        <v>5934</v>
      </c>
    </row>
    <row r="48">
      <c r="A48" t="s">
        <v>99</v>
      </c>
      <c r="B48" t="s">
        <v>366</v>
      </c>
      <c r="C48" t="s">
        <v>246</v>
      </c>
      <c r="D48" t="s">
        <v>367</v>
      </c>
      <c r="E48" t="s">
        <v>247</v>
      </c>
      <c r="F48" t="n">
        <v>4145.5</v>
      </c>
      <c r="G48" t="n">
        <v>4493.7</v>
      </c>
      <c r="H48" t="n">
        <v>4876</v>
      </c>
      <c r="I48" t="n">
        <v>5158.5</v>
      </c>
      <c r="J48" t="n">
        <v>5502.5</v>
      </c>
      <c r="K48" t="n">
        <v>5816.9</v>
      </c>
      <c r="L48" t="n">
        <v>6259.6</v>
      </c>
      <c r="M48" t="n">
        <v>6667.1</v>
      </c>
      <c r="N48" t="n">
        <v>6931.6</v>
      </c>
      <c r="O48" t="n">
        <v>7271.8</v>
      </c>
      <c r="P48" t="n">
        <v>7528.5</v>
      </c>
      <c r="Q48" t="n">
        <v>7479.9</v>
      </c>
      <c r="R48" t="n">
        <v>7516.8</v>
      </c>
      <c r="S48" t="n">
        <v>7468.6</v>
      </c>
      <c r="T48" t="n">
        <v>7510.9</v>
      </c>
      <c r="U48" t="n">
        <v>7751.3</v>
      </c>
      <c r="V48" t="n">
        <v>7853</v>
      </c>
      <c r="W48" t="n">
        <v>7711.9</v>
      </c>
      <c r="X48" t="n">
        <v>7586.2</v>
      </c>
      <c r="Y48" t="n">
        <v>7517.2</v>
      </c>
      <c r="Z48" t="n">
        <v>7559.8</v>
      </c>
      <c r="AA48" t="n">
        <v>7416.4</v>
      </c>
      <c r="AB48" t="n">
        <v>7245.6</v>
      </c>
      <c r="AC48" t="n">
        <v>7254.2</v>
      </c>
      <c r="AD48" t="n">
        <v>7430.4</v>
      </c>
      <c r="AE48" t="n">
        <v>7981.6</v>
      </c>
      <c r="AF48" t="n">
        <v>8437.9</v>
      </c>
    </row>
    <row r="49">
      <c r="A49" t="s">
        <v>99</v>
      </c>
      <c r="B49" t="s">
        <v>368</v>
      </c>
      <c r="C49" t="s">
        <v>246</v>
      </c>
      <c r="D49" t="s">
        <v>369</v>
      </c>
      <c r="E49" t="s">
        <v>247</v>
      </c>
      <c r="F49" t="n">
        <v>268.3</v>
      </c>
      <c r="G49" t="n">
        <v>300.4</v>
      </c>
      <c r="H49" t="n">
        <v>339.2</v>
      </c>
      <c r="I49" t="n">
        <v>367.7</v>
      </c>
      <c r="J49" t="n">
        <v>399.8</v>
      </c>
      <c r="K49" t="n">
        <v>428.5</v>
      </c>
      <c r="L49" t="n">
        <v>453.3</v>
      </c>
      <c r="M49" t="n">
        <v>499.9</v>
      </c>
      <c r="N49" t="n">
        <v>523.3</v>
      </c>
      <c r="O49" t="n">
        <v>561.4</v>
      </c>
      <c r="P49" t="n">
        <v>579.8</v>
      </c>
      <c r="Q49" t="n">
        <v>621.5</v>
      </c>
      <c r="R49" t="n">
        <v>656.2</v>
      </c>
      <c r="S49" t="n">
        <v>690.9</v>
      </c>
      <c r="T49" t="n">
        <v>712.8</v>
      </c>
      <c r="U49" t="n">
        <v>718.8</v>
      </c>
      <c r="V49" t="n">
        <v>710.1</v>
      </c>
      <c r="W49" t="n">
        <v>680.9</v>
      </c>
      <c r="X49" t="n">
        <v>641.6</v>
      </c>
      <c r="Y49" t="n">
        <v>684.4</v>
      </c>
      <c r="Z49" t="n">
        <v>710</v>
      </c>
      <c r="AA49" t="n">
        <v>696.7</v>
      </c>
      <c r="AB49" t="n">
        <v>671.6</v>
      </c>
      <c r="AC49" t="n">
        <v>748.6</v>
      </c>
      <c r="AD49" t="n">
        <v>698</v>
      </c>
      <c r="AE49" t="n">
        <v>736.4</v>
      </c>
      <c r="AF49" t="n">
        <v>753.9</v>
      </c>
    </row>
    <row r="50">
      <c r="A50" t="s">
        <v>99</v>
      </c>
      <c r="B50" t="s">
        <v>370</v>
      </c>
      <c r="C50" t="s">
        <v>246</v>
      </c>
      <c r="D50" t="s">
        <v>371</v>
      </c>
      <c r="E50" t="s">
        <v>247</v>
      </c>
      <c r="F50" t="n">
        <v>988.4</v>
      </c>
      <c r="G50" t="n">
        <v>1042.4</v>
      </c>
      <c r="H50" t="n">
        <v>1123.9</v>
      </c>
      <c r="I50" t="n">
        <v>1186.4</v>
      </c>
      <c r="J50" t="n">
        <v>1270.6</v>
      </c>
      <c r="K50" t="n">
        <v>1362.9</v>
      </c>
      <c r="L50" t="n">
        <v>1447.6</v>
      </c>
      <c r="M50" t="n">
        <v>1521.5</v>
      </c>
      <c r="N50" t="n">
        <v>1538</v>
      </c>
      <c r="O50" t="n">
        <v>1558</v>
      </c>
      <c r="P50" t="n">
        <v>1568.2</v>
      </c>
      <c r="Q50" t="n">
        <v>1564.1</v>
      </c>
      <c r="R50" t="n">
        <v>1599.8</v>
      </c>
      <c r="S50" t="n">
        <v>1590.1</v>
      </c>
      <c r="T50" t="n">
        <v>1601.6</v>
      </c>
      <c r="U50" t="n">
        <v>1626.2</v>
      </c>
      <c r="V50" t="n">
        <v>1577.8</v>
      </c>
      <c r="W50" t="n">
        <v>1571.7</v>
      </c>
      <c r="X50" t="n">
        <v>1488.9</v>
      </c>
      <c r="Y50" t="n">
        <v>1353.2</v>
      </c>
      <c r="Z50" t="n">
        <v>1265.7</v>
      </c>
      <c r="AA50" t="n">
        <v>1136.4</v>
      </c>
      <c r="AB50" t="n">
        <v>1074.4</v>
      </c>
      <c r="AC50" t="n">
        <v>1055.6</v>
      </c>
      <c r="AD50" t="n">
        <v>1259.9</v>
      </c>
      <c r="AE50" t="n">
        <v>1703.6</v>
      </c>
      <c r="AF50" t="n">
        <v>1750</v>
      </c>
    </row>
    <row r="51">
      <c r="A51" t="s">
        <v>99</v>
      </c>
      <c r="B51" t="s">
        <v>372</v>
      </c>
      <c r="C51" t="s">
        <v>246</v>
      </c>
      <c r="D51" t="s">
        <v>373</v>
      </c>
      <c r="E51" t="s">
        <v>247</v>
      </c>
      <c r="F51" t="n">
        <v>952</v>
      </c>
      <c r="G51" t="n">
        <v>1008.9</v>
      </c>
      <c r="H51" t="n">
        <v>1089.4</v>
      </c>
      <c r="I51" t="n">
        <v>1152.1</v>
      </c>
      <c r="J51" t="n">
        <v>1234.1</v>
      </c>
      <c r="K51" t="n">
        <v>1325.3</v>
      </c>
      <c r="L51" t="n">
        <v>1402</v>
      </c>
      <c r="M51" t="n">
        <v>1469.1</v>
      </c>
      <c r="N51" t="n">
        <v>1489.1</v>
      </c>
      <c r="O51" t="n">
        <v>1505.4</v>
      </c>
      <c r="P51" t="n">
        <v>1515.6</v>
      </c>
      <c r="Q51" t="n">
        <v>1512.8</v>
      </c>
      <c r="R51" t="n">
        <v>1546.9</v>
      </c>
      <c r="S51" t="n">
        <v>1533.9</v>
      </c>
      <c r="T51" t="n">
        <v>1550</v>
      </c>
      <c r="U51" t="n">
        <v>1576.7</v>
      </c>
      <c r="V51" t="n">
        <v>1528</v>
      </c>
      <c r="W51" t="n">
        <v>1471.1</v>
      </c>
      <c r="X51" t="n">
        <v>1297.2</v>
      </c>
      <c r="Y51" t="n">
        <v>1108.9</v>
      </c>
      <c r="Z51" t="n">
        <v>1009</v>
      </c>
      <c r="AA51" t="n">
        <v>859.4</v>
      </c>
      <c r="AB51" t="n">
        <v>802.9</v>
      </c>
      <c r="AC51" t="n">
        <v>785.4</v>
      </c>
      <c r="AD51" t="n">
        <v>803.1</v>
      </c>
      <c r="AE51" t="n">
        <v>822.9</v>
      </c>
      <c r="AF51"/>
    </row>
    <row r="52">
      <c r="A52" t="s">
        <v>99</v>
      </c>
      <c r="B52" t="s">
        <v>374</v>
      </c>
      <c r="C52" t="s">
        <v>246</v>
      </c>
      <c r="D52" t="s">
        <v>375</v>
      </c>
      <c r="E52" t="s">
        <v>247</v>
      </c>
      <c r="F52" t="n">
        <v>36.4</v>
      </c>
      <c r="G52" t="n">
        <v>33.5</v>
      </c>
      <c r="H52" t="n">
        <v>34.5</v>
      </c>
      <c r="I52" t="n">
        <v>34.3</v>
      </c>
      <c r="J52" t="n">
        <v>36.5</v>
      </c>
      <c r="K52" t="n">
        <v>37.6</v>
      </c>
      <c r="L52" t="n">
        <v>45.6</v>
      </c>
      <c r="M52" t="n">
        <v>52.4</v>
      </c>
      <c r="N52" t="n">
        <v>48.9</v>
      </c>
      <c r="O52" t="n">
        <v>52.6</v>
      </c>
      <c r="P52" t="n">
        <v>52.6</v>
      </c>
      <c r="Q52" t="n">
        <v>51.3</v>
      </c>
      <c r="R52" t="n">
        <v>52.9</v>
      </c>
      <c r="S52" t="n">
        <v>56.2</v>
      </c>
      <c r="T52" t="n">
        <v>51.6</v>
      </c>
      <c r="U52" t="n">
        <v>49.5</v>
      </c>
      <c r="V52" t="n">
        <v>49.8</v>
      </c>
      <c r="W52" t="n">
        <v>100.6</v>
      </c>
      <c r="X52" t="n">
        <v>191.7</v>
      </c>
      <c r="Y52" t="n">
        <v>244.3</v>
      </c>
      <c r="Z52" t="n">
        <v>256.7</v>
      </c>
      <c r="AA52" t="n">
        <v>277</v>
      </c>
      <c r="AB52" t="n">
        <v>271.5</v>
      </c>
      <c r="AC52" t="n">
        <v>270.2</v>
      </c>
      <c r="AD52" t="n">
        <v>456.8</v>
      </c>
      <c r="AE52" t="n">
        <v>880.7</v>
      </c>
      <c r="AF52"/>
    </row>
    <row r="53">
      <c r="A53" t="s">
        <v>99</v>
      </c>
      <c r="B53" t="s">
        <v>376</v>
      </c>
      <c r="C53" t="s">
        <v>246</v>
      </c>
      <c r="D53" t="s">
        <v>377</v>
      </c>
      <c r="E53" t="s">
        <v>247</v>
      </c>
      <c r="F53" t="n">
        <v>514</v>
      </c>
      <c r="G53" t="n">
        <v>578.6</v>
      </c>
      <c r="H53" t="n">
        <v>654.6</v>
      </c>
      <c r="I53" t="n">
        <v>714.5</v>
      </c>
      <c r="J53" t="n">
        <v>774.4</v>
      </c>
      <c r="K53" t="n">
        <v>847</v>
      </c>
      <c r="L53" t="n">
        <v>876.3</v>
      </c>
      <c r="M53" t="n">
        <v>966.6</v>
      </c>
      <c r="N53" t="n">
        <v>978.9</v>
      </c>
      <c r="O53" t="n">
        <v>935.6</v>
      </c>
      <c r="P53" t="n">
        <v>1088.3</v>
      </c>
      <c r="Q53" t="n">
        <v>1052.8</v>
      </c>
      <c r="R53" t="n">
        <v>1069.9</v>
      </c>
      <c r="S53" t="n">
        <v>1010.8</v>
      </c>
      <c r="T53" t="n">
        <v>1027.9</v>
      </c>
      <c r="U53" t="n">
        <v>1028</v>
      </c>
      <c r="V53" t="n">
        <v>1008</v>
      </c>
      <c r="W53" t="n">
        <v>889.4</v>
      </c>
      <c r="X53" t="n">
        <v>965.1</v>
      </c>
      <c r="Y53" t="n">
        <v>942.4</v>
      </c>
      <c r="Z53" t="n">
        <v>933.9</v>
      </c>
      <c r="AA53" t="n">
        <v>881.6</v>
      </c>
      <c r="AB53" t="n">
        <v>890.9</v>
      </c>
      <c r="AC53" t="n">
        <v>887.9</v>
      </c>
      <c r="AD53" t="n">
        <v>994.6</v>
      </c>
      <c r="AE53" t="n">
        <v>1096.9</v>
      </c>
      <c r="AF53" t="n">
        <v>1170.3</v>
      </c>
    </row>
    <row r="54">
      <c r="A54" t="s">
        <v>99</v>
      </c>
      <c r="B54" t="s">
        <v>378</v>
      </c>
      <c r="C54" t="s">
        <v>246</v>
      </c>
      <c r="D54" t="s">
        <v>379</v>
      </c>
      <c r="E54" t="s">
        <v>247</v>
      </c>
      <c r="F54" t="n">
        <v>715.4</v>
      </c>
      <c r="G54" t="n">
        <v>785.1</v>
      </c>
      <c r="H54" t="n">
        <v>875</v>
      </c>
      <c r="I54" t="n">
        <v>946.4</v>
      </c>
      <c r="J54" t="n">
        <v>1028.6</v>
      </c>
      <c r="K54" t="n">
        <v>1118.3</v>
      </c>
      <c r="L54" t="n">
        <v>1172.6</v>
      </c>
      <c r="M54" t="n">
        <v>1289</v>
      </c>
      <c r="N54" t="n">
        <v>1302.4</v>
      </c>
      <c r="O54" t="n">
        <v>1253.4</v>
      </c>
      <c r="P54" t="n">
        <v>1404.7</v>
      </c>
      <c r="Q54" t="n">
        <v>1365</v>
      </c>
      <c r="R54" t="n">
        <v>1388.8</v>
      </c>
      <c r="S54" t="n">
        <v>1425.8</v>
      </c>
      <c r="T54" t="n">
        <v>1418.6</v>
      </c>
      <c r="U54" t="n">
        <v>1409.1</v>
      </c>
      <c r="V54" t="n">
        <v>1369.9</v>
      </c>
      <c r="W54" t="n">
        <v>1228.4</v>
      </c>
      <c r="X54" t="n">
        <v>1318.8</v>
      </c>
      <c r="Y54" t="n">
        <v>1368.5</v>
      </c>
      <c r="Z54" t="n">
        <v>1379.4</v>
      </c>
      <c r="AA54" t="n">
        <v>1405.9</v>
      </c>
      <c r="AB54" t="n">
        <v>1411.4</v>
      </c>
      <c r="AC54" t="n">
        <v>1468.7</v>
      </c>
      <c r="AD54" t="n">
        <v>1708.4</v>
      </c>
      <c r="AE54" t="n">
        <v>1773.7</v>
      </c>
      <c r="AF54" t="n">
        <v>1858.5</v>
      </c>
    </row>
    <row r="55">
      <c r="A55" t="s">
        <v>99</v>
      </c>
      <c r="B55" t="s">
        <v>380</v>
      </c>
      <c r="C55" t="s">
        <v>246</v>
      </c>
      <c r="D55" t="s">
        <v>381</v>
      </c>
      <c r="E55" t="s">
        <v>247</v>
      </c>
      <c r="F55" t="n">
        <v>201.4</v>
      </c>
      <c r="G55" t="n">
        <v>206.5</v>
      </c>
      <c r="H55" t="n">
        <v>220.4</v>
      </c>
      <c r="I55" t="n">
        <v>231.9</v>
      </c>
      <c r="J55" t="n">
        <v>254.2</v>
      </c>
      <c r="K55" t="n">
        <v>271.3</v>
      </c>
      <c r="L55" t="n">
        <v>296.3</v>
      </c>
      <c r="M55" t="n">
        <v>322.4</v>
      </c>
      <c r="N55" t="n">
        <v>323.5</v>
      </c>
      <c r="O55" t="n">
        <v>317.8</v>
      </c>
      <c r="P55" t="n">
        <v>316.4</v>
      </c>
      <c r="Q55" t="n">
        <v>312.2</v>
      </c>
      <c r="R55" t="n">
        <v>318.9</v>
      </c>
      <c r="S55" t="n">
        <v>415</v>
      </c>
      <c r="T55" t="n">
        <v>390.7</v>
      </c>
      <c r="U55" t="n">
        <v>381.1</v>
      </c>
      <c r="V55" t="n">
        <v>361.9</v>
      </c>
      <c r="W55" t="n">
        <v>339</v>
      </c>
      <c r="X55" t="n">
        <v>353.7</v>
      </c>
      <c r="Y55" t="n">
        <v>426.1</v>
      </c>
      <c r="Z55" t="n">
        <v>445.5</v>
      </c>
      <c r="AA55" t="n">
        <v>524.3</v>
      </c>
      <c r="AB55" t="n">
        <v>520.5</v>
      </c>
      <c r="AC55" t="n">
        <v>580.8</v>
      </c>
      <c r="AD55" t="n">
        <v>713.8</v>
      </c>
      <c r="AE55" t="n">
        <v>676.8</v>
      </c>
      <c r="AF55" t="n">
        <v>688.2</v>
      </c>
    </row>
    <row r="56">
      <c r="A56" t="s">
        <v>99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99</v>
      </c>
      <c r="B57" t="s">
        <v>384</v>
      </c>
      <c r="C57" t="s">
        <v>246</v>
      </c>
      <c r="D57" t="s">
        <v>385</v>
      </c>
      <c r="E57" t="s">
        <v>247</v>
      </c>
      <c r="F57" t="n">
        <v>29871.2</v>
      </c>
      <c r="G57" t="n">
        <v>32915.1</v>
      </c>
      <c r="H57" t="n">
        <v>35735.2</v>
      </c>
      <c r="I57" t="n">
        <v>38736.4</v>
      </c>
      <c r="J57" t="n">
        <v>42216.5</v>
      </c>
      <c r="K57" t="n">
        <v>45498.4</v>
      </c>
      <c r="L57" t="n">
        <v>49182.3</v>
      </c>
      <c r="M57" t="n">
        <v>52757</v>
      </c>
      <c r="N57" t="n">
        <v>54319.7</v>
      </c>
      <c r="O57" t="n">
        <v>54806</v>
      </c>
      <c r="P57" t="n">
        <v>54912.1</v>
      </c>
      <c r="Q57" t="n">
        <v>55088.6</v>
      </c>
      <c r="R57" t="n">
        <v>56181</v>
      </c>
      <c r="S57" t="n">
        <v>57122.5</v>
      </c>
      <c r="T57" t="n">
        <v>56789.7</v>
      </c>
      <c r="U57" t="n">
        <v>57619.7</v>
      </c>
      <c r="V57" t="n">
        <v>57019.4</v>
      </c>
      <c r="W57" t="n">
        <v>56437.7</v>
      </c>
      <c r="X57" t="n">
        <v>56964.6</v>
      </c>
      <c r="Y57" t="n">
        <v>60061.5</v>
      </c>
      <c r="Z57" t="n">
        <v>64263.6</v>
      </c>
      <c r="AA57" t="n">
        <v>67582.4</v>
      </c>
      <c r="AB57" t="n">
        <v>70165.6</v>
      </c>
      <c r="AC57" t="n">
        <v>72436.4</v>
      </c>
      <c r="AD57" t="n">
        <v>73964.1</v>
      </c>
      <c r="AE57" t="n">
        <v>75463.4</v>
      </c>
      <c r="AF57" t="n">
        <v>77928</v>
      </c>
    </row>
    <row r="58">
      <c r="A58" t="s">
        <v>99</v>
      </c>
      <c r="B58" t="s">
        <v>386</v>
      </c>
      <c r="C58" t="s">
        <v>246</v>
      </c>
      <c r="D58" t="s">
        <v>387</v>
      </c>
      <c r="E58" t="s">
        <v>247</v>
      </c>
      <c r="F58" t="n">
        <v>29871.2</v>
      </c>
      <c r="G58" t="n">
        <v>32915.1</v>
      </c>
      <c r="H58" t="n">
        <v>35735.2</v>
      </c>
      <c r="I58" t="n">
        <v>38736.4</v>
      </c>
      <c r="J58" t="n">
        <v>42216.5</v>
      </c>
      <c r="K58" t="n">
        <v>45498.4</v>
      </c>
      <c r="L58" t="n">
        <v>49182.3</v>
      </c>
      <c r="M58" t="n">
        <v>52757</v>
      </c>
      <c r="N58" t="n">
        <v>54319.7</v>
      </c>
      <c r="O58" t="n">
        <v>54806</v>
      </c>
      <c r="P58" t="n">
        <v>54912.1</v>
      </c>
      <c r="Q58" t="n">
        <v>55088.6</v>
      </c>
      <c r="R58" t="n">
        <v>56181</v>
      </c>
      <c r="S58" t="n">
        <v>57122.5</v>
      </c>
      <c r="T58" t="n">
        <v>56789.7</v>
      </c>
      <c r="U58" t="n">
        <v>57619.7</v>
      </c>
      <c r="V58" t="n">
        <v>57019.4</v>
      </c>
      <c r="W58" t="n">
        <v>56437.7</v>
      </c>
      <c r="X58" t="n">
        <v>56964.6</v>
      </c>
      <c r="Y58" t="n">
        <v>60061.5</v>
      </c>
      <c r="Z58" t="n">
        <v>64263.6</v>
      </c>
      <c r="AA58" t="n">
        <v>67582.4</v>
      </c>
      <c r="AB58" t="n">
        <v>70165.6</v>
      </c>
      <c r="AC58" t="n">
        <v>72436.4</v>
      </c>
      <c r="AD58" t="n">
        <v>73964.1</v>
      </c>
      <c r="AE58" t="n">
        <v>75463.4</v>
      </c>
      <c r="AF58" t="n">
        <v>77928</v>
      </c>
    </row>
    <row r="59">
      <c r="A59" t="s">
        <v>99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101</v>
      </c>
      <c r="B2" t="s">
        <v>197</v>
      </c>
      <c r="C2" t="s">
        <v>246</v>
      </c>
      <c r="D2" t="s">
        <v>199</v>
      </c>
      <c r="E2" t="s">
        <v>247</v>
      </c>
      <c r="F2" t="n">
        <v>1371</v>
      </c>
      <c r="G2" t="n">
        <v>1469.1</v>
      </c>
      <c r="H2" t="n">
        <v>1561.1</v>
      </c>
      <c r="I2" t="n">
        <v>1714.3</v>
      </c>
      <c r="J2" t="n">
        <v>1896.8</v>
      </c>
      <c r="K2" t="n">
        <v>2024.8</v>
      </c>
      <c r="L2" t="n">
        <v>2116.3</v>
      </c>
      <c r="M2" t="n">
        <v>2284.4</v>
      </c>
      <c r="N2" t="n">
        <v>2314.8</v>
      </c>
      <c r="O2" t="n">
        <v>2444.1</v>
      </c>
      <c r="P2" t="n">
        <v>2519.1</v>
      </c>
      <c r="Q2" t="n">
        <v>2607.6</v>
      </c>
      <c r="R2" t="n">
        <v>2670.6</v>
      </c>
      <c r="S2" t="n">
        <v>2723.2</v>
      </c>
      <c r="T2" t="n">
        <v>2620.3</v>
      </c>
      <c r="U2" t="n">
        <v>2613.2</v>
      </c>
      <c r="V2" t="n">
        <v>2477.8</v>
      </c>
      <c r="W2" t="n">
        <v>2235</v>
      </c>
      <c r="X2" t="n">
        <v>1971</v>
      </c>
      <c r="Y2" t="n">
        <v>1715.7</v>
      </c>
      <c r="Z2" t="n">
        <v>1562.4</v>
      </c>
      <c r="AA2" t="n">
        <v>1471.7</v>
      </c>
      <c r="AB2" t="n">
        <v>1453.6</v>
      </c>
      <c r="AC2" t="n">
        <v>1438</v>
      </c>
      <c r="AD2" t="n">
        <v>1492.9</v>
      </c>
      <c r="AE2" t="n">
        <v>1454.6</v>
      </c>
      <c r="AF2" t="n">
        <v>1523.6</v>
      </c>
    </row>
    <row r="3">
      <c r="A3" t="s">
        <v>101</v>
      </c>
      <c r="B3" t="s">
        <v>276</v>
      </c>
      <c r="C3" t="s">
        <v>246</v>
      </c>
      <c r="D3" t="s">
        <v>277</v>
      </c>
      <c r="E3" t="s">
        <v>247</v>
      </c>
      <c r="F3" t="n">
        <v>107.7</v>
      </c>
      <c r="G3" t="n">
        <v>113.5</v>
      </c>
      <c r="H3" t="n">
        <v>112.3</v>
      </c>
      <c r="I3" t="n">
        <v>112.3</v>
      </c>
      <c r="J3" t="n">
        <v>123.5</v>
      </c>
      <c r="K3" t="n">
        <v>129.5</v>
      </c>
      <c r="L3" t="n">
        <v>135.2</v>
      </c>
      <c r="M3" t="n">
        <v>145.4</v>
      </c>
      <c r="N3" t="n">
        <v>146.6</v>
      </c>
      <c r="O3" t="n">
        <v>152.2</v>
      </c>
      <c r="P3" t="n">
        <v>159.7</v>
      </c>
      <c r="Q3" t="n">
        <v>164.2</v>
      </c>
      <c r="R3" t="n">
        <v>168.9</v>
      </c>
      <c r="S3" t="n">
        <v>174.4</v>
      </c>
      <c r="T3" t="n">
        <v>168.9</v>
      </c>
      <c r="U3" t="n">
        <v>169.3</v>
      </c>
      <c r="V3" t="n">
        <v>165.1</v>
      </c>
      <c r="W3" t="n">
        <v>155</v>
      </c>
      <c r="X3" t="n">
        <v>131.6</v>
      </c>
      <c r="Y3" t="n">
        <v>114.6</v>
      </c>
      <c r="Z3" t="n">
        <v>104.4</v>
      </c>
      <c r="AA3" t="n">
        <v>99.8</v>
      </c>
      <c r="AB3" t="n">
        <v>96.2</v>
      </c>
      <c r="AC3" t="n">
        <v>96.8</v>
      </c>
      <c r="AD3" t="n">
        <v>102.1</v>
      </c>
      <c r="AE3" t="n">
        <v>101.6</v>
      </c>
      <c r="AF3" t="n">
        <v>118.8</v>
      </c>
    </row>
    <row r="4">
      <c r="A4" t="s">
        <v>101</v>
      </c>
      <c r="B4" t="s">
        <v>278</v>
      </c>
      <c r="C4" t="s">
        <v>246</v>
      </c>
      <c r="D4" t="s">
        <v>279</v>
      </c>
      <c r="E4" t="s">
        <v>247</v>
      </c>
      <c r="F4" t="n">
        <v>5544.6</v>
      </c>
      <c r="G4" t="n">
        <v>6060.4</v>
      </c>
      <c r="H4" t="n">
        <v>6012.8</v>
      </c>
      <c r="I4" t="n">
        <v>6656.8</v>
      </c>
      <c r="J4" t="n">
        <v>7163.9</v>
      </c>
      <c r="K4" t="n">
        <v>7739.1</v>
      </c>
      <c r="L4" t="n">
        <v>8230.1</v>
      </c>
      <c r="M4" t="n">
        <v>8786</v>
      </c>
      <c r="N4" t="n">
        <v>8955.8</v>
      </c>
      <c r="O4" t="n">
        <v>9341.7</v>
      </c>
      <c r="P4" t="n">
        <v>9592.2</v>
      </c>
      <c r="Q4" t="n">
        <v>9917.8</v>
      </c>
      <c r="R4" t="n">
        <v>10095.1</v>
      </c>
      <c r="S4" t="n">
        <v>10425</v>
      </c>
      <c r="T4" t="n">
        <v>10011.6</v>
      </c>
      <c r="U4" t="n">
        <v>9976.9</v>
      </c>
      <c r="V4" t="n">
        <v>9547.7</v>
      </c>
      <c r="W4" t="n">
        <v>8857.6</v>
      </c>
      <c r="X4" t="n">
        <v>7779.6</v>
      </c>
      <c r="Y4" t="n">
        <v>6922.6</v>
      </c>
      <c r="Z4" t="n">
        <v>6488</v>
      </c>
      <c r="AA4" t="n">
        <v>6527</v>
      </c>
      <c r="AB4" t="n">
        <v>6564.9</v>
      </c>
      <c r="AC4" t="n">
        <v>6465</v>
      </c>
      <c r="AD4" t="n">
        <v>6084.9</v>
      </c>
      <c r="AE4" t="n">
        <v>5167.3</v>
      </c>
      <c r="AF4" t="n">
        <v>5024.5</v>
      </c>
    </row>
    <row r="5">
      <c r="A5" t="s">
        <v>101</v>
      </c>
      <c r="B5" t="s">
        <v>280</v>
      </c>
      <c r="C5" t="s">
        <v>246</v>
      </c>
      <c r="D5" t="s">
        <v>281</v>
      </c>
      <c r="E5" t="s">
        <v>247</v>
      </c>
      <c r="F5" t="n">
        <v>689.1</v>
      </c>
      <c r="G5" t="n">
        <v>757.4</v>
      </c>
      <c r="H5" t="n">
        <v>722.4</v>
      </c>
      <c r="I5" t="n">
        <v>829.1</v>
      </c>
      <c r="J5" t="n">
        <v>878.3</v>
      </c>
      <c r="K5" t="n">
        <v>957</v>
      </c>
      <c r="L5" t="n">
        <v>1000.4</v>
      </c>
      <c r="M5" t="n">
        <v>1061.1</v>
      </c>
      <c r="N5" t="n">
        <v>1078.8</v>
      </c>
      <c r="O5" t="n">
        <v>1117.2</v>
      </c>
      <c r="P5" t="n">
        <v>1161.4</v>
      </c>
      <c r="Q5" t="n">
        <v>1183.2</v>
      </c>
      <c r="R5" t="n">
        <v>1208.3</v>
      </c>
      <c r="S5" t="n">
        <v>1236.3</v>
      </c>
      <c r="T5" t="n">
        <v>1181.1</v>
      </c>
      <c r="U5" t="n">
        <v>1180.5</v>
      </c>
      <c r="V5" t="n">
        <v>1140.7</v>
      </c>
      <c r="W5" t="n">
        <v>1031.6</v>
      </c>
      <c r="X5" t="n">
        <v>922.3</v>
      </c>
      <c r="Y5" t="n">
        <v>844.7</v>
      </c>
      <c r="Z5" t="n">
        <v>827.1</v>
      </c>
      <c r="AA5" t="n">
        <v>822.8</v>
      </c>
      <c r="AB5" t="n">
        <v>839.9</v>
      </c>
      <c r="AC5" t="n">
        <v>843.2</v>
      </c>
      <c r="AD5" t="n">
        <v>871</v>
      </c>
      <c r="AE5" t="n">
        <v>838.7</v>
      </c>
      <c r="AF5"/>
    </row>
    <row r="6">
      <c r="A6" t="s">
        <v>101</v>
      </c>
      <c r="B6" t="s">
        <v>282</v>
      </c>
      <c r="C6" t="s">
        <v>246</v>
      </c>
      <c r="D6" t="s">
        <v>283</v>
      </c>
      <c r="E6" t="s">
        <v>247</v>
      </c>
      <c r="F6" t="n">
        <v>477.6</v>
      </c>
      <c r="G6" t="n">
        <v>528.7</v>
      </c>
      <c r="H6" t="n">
        <v>526.2</v>
      </c>
      <c r="I6" t="n">
        <v>632</v>
      </c>
      <c r="J6" t="n">
        <v>684.1</v>
      </c>
      <c r="K6" t="n">
        <v>736.2</v>
      </c>
      <c r="L6" t="n">
        <v>791.3</v>
      </c>
      <c r="M6" t="n">
        <v>838.9</v>
      </c>
      <c r="N6" t="n">
        <v>869.2</v>
      </c>
      <c r="O6" t="n">
        <v>898</v>
      </c>
      <c r="P6" t="n">
        <v>936.5</v>
      </c>
      <c r="Q6" t="n">
        <v>955.1</v>
      </c>
      <c r="R6" t="n">
        <v>974.2</v>
      </c>
      <c r="S6" t="n">
        <v>1000.4</v>
      </c>
      <c r="T6" t="n">
        <v>958.1</v>
      </c>
      <c r="U6" t="n">
        <v>950.8</v>
      </c>
      <c r="V6" t="n">
        <v>901.3</v>
      </c>
      <c r="W6" t="n">
        <v>773.5</v>
      </c>
      <c r="X6" t="n">
        <v>676.3</v>
      </c>
      <c r="Y6" t="n">
        <v>607.5</v>
      </c>
      <c r="Z6" t="n">
        <v>580.9</v>
      </c>
      <c r="AA6" t="n">
        <v>575.8</v>
      </c>
      <c r="AB6" t="n">
        <v>586.5</v>
      </c>
      <c r="AC6" t="n">
        <v>584.7</v>
      </c>
      <c r="AD6" t="n">
        <v>591.2</v>
      </c>
      <c r="AE6" t="n">
        <v>552.6</v>
      </c>
      <c r="AF6"/>
    </row>
    <row r="7">
      <c r="A7" t="s">
        <v>101</v>
      </c>
      <c r="B7" t="s">
        <v>284</v>
      </c>
      <c r="C7" t="s">
        <v>246</v>
      </c>
      <c r="D7" t="s">
        <v>285</v>
      </c>
      <c r="E7" t="s">
        <v>247</v>
      </c>
      <c r="F7" t="n">
        <v>863.9</v>
      </c>
      <c r="G7" t="n">
        <v>840.1</v>
      </c>
      <c r="H7" t="n">
        <v>738.5</v>
      </c>
      <c r="I7" t="n">
        <v>727.3</v>
      </c>
      <c r="J7" t="n">
        <v>745.4</v>
      </c>
      <c r="K7" t="n">
        <v>746.5</v>
      </c>
      <c r="L7" t="n">
        <v>744.3</v>
      </c>
      <c r="M7" t="n">
        <v>752.3</v>
      </c>
      <c r="N7" t="n">
        <v>755.3</v>
      </c>
      <c r="O7" t="n">
        <v>778</v>
      </c>
      <c r="P7" t="n">
        <v>785.6</v>
      </c>
      <c r="Q7" t="n">
        <v>793.6</v>
      </c>
      <c r="R7" t="n">
        <v>810.3</v>
      </c>
      <c r="S7" t="n">
        <v>832.4</v>
      </c>
      <c r="T7" t="n">
        <v>797</v>
      </c>
      <c r="U7" t="n">
        <v>791.7</v>
      </c>
      <c r="V7" t="n">
        <v>755.6</v>
      </c>
      <c r="W7" t="n">
        <v>651.9</v>
      </c>
      <c r="X7" t="n">
        <v>567.3</v>
      </c>
      <c r="Y7" t="n">
        <v>501.5</v>
      </c>
      <c r="Z7" t="n">
        <v>478.4</v>
      </c>
      <c r="AA7" t="n">
        <v>477.2</v>
      </c>
      <c r="AB7" t="n">
        <v>484.6</v>
      </c>
      <c r="AC7" t="n">
        <v>489</v>
      </c>
      <c r="AD7" t="n">
        <v>513.5</v>
      </c>
      <c r="AE7" t="n">
        <v>497</v>
      </c>
      <c r="AF7"/>
    </row>
    <row r="8">
      <c r="A8" t="s">
        <v>101</v>
      </c>
      <c r="B8" t="s">
        <v>286</v>
      </c>
      <c r="C8" t="s">
        <v>246</v>
      </c>
      <c r="D8" t="s">
        <v>287</v>
      </c>
      <c r="E8" t="s">
        <v>247</v>
      </c>
      <c r="F8" t="n">
        <v>47.5</v>
      </c>
      <c r="G8" t="n">
        <v>44.7</v>
      </c>
      <c r="H8" t="n">
        <v>41.1</v>
      </c>
      <c r="I8" t="n">
        <v>40</v>
      </c>
      <c r="J8" t="n">
        <v>38.7</v>
      </c>
      <c r="K8" t="n">
        <v>40.4</v>
      </c>
      <c r="L8" t="n">
        <v>40.1</v>
      </c>
      <c r="M8" t="n">
        <v>42.1</v>
      </c>
      <c r="N8" t="n">
        <v>42.8</v>
      </c>
      <c r="O8" t="n">
        <v>44.7</v>
      </c>
      <c r="P8" t="n">
        <v>46.5</v>
      </c>
      <c r="Q8" t="n">
        <v>48.6</v>
      </c>
      <c r="R8" t="n">
        <v>49.3</v>
      </c>
      <c r="S8" t="n">
        <v>50.7</v>
      </c>
      <c r="T8" t="n">
        <v>49.1</v>
      </c>
      <c r="U8" t="n">
        <v>49.5</v>
      </c>
      <c r="V8" t="n">
        <v>48.2</v>
      </c>
      <c r="W8" t="n">
        <v>48.5</v>
      </c>
      <c r="X8" t="n">
        <v>38.5</v>
      </c>
      <c r="Y8" t="n">
        <v>33.3</v>
      </c>
      <c r="Z8" t="n">
        <v>30.4</v>
      </c>
      <c r="AA8" t="n">
        <v>29.1</v>
      </c>
      <c r="AB8" t="n">
        <v>29.7</v>
      </c>
      <c r="AC8" t="n">
        <v>29.7</v>
      </c>
      <c r="AD8" t="n">
        <v>29</v>
      </c>
      <c r="AE8" t="n">
        <v>29.2</v>
      </c>
      <c r="AF8"/>
    </row>
    <row r="9">
      <c r="A9" t="s">
        <v>101</v>
      </c>
      <c r="B9" t="s">
        <v>288</v>
      </c>
      <c r="C9" t="s">
        <v>246</v>
      </c>
      <c r="D9" t="s">
        <v>289</v>
      </c>
      <c r="E9" t="s">
        <v>247</v>
      </c>
      <c r="F9" t="n">
        <v>112.4</v>
      </c>
      <c r="G9" t="n">
        <v>123.8</v>
      </c>
      <c r="H9" t="n">
        <v>138.2</v>
      </c>
      <c r="I9" t="n">
        <v>158.7</v>
      </c>
      <c r="J9" t="n">
        <v>175.1</v>
      </c>
      <c r="K9" t="n">
        <v>198.4</v>
      </c>
      <c r="L9" t="n">
        <v>207.8</v>
      </c>
      <c r="M9" t="n">
        <v>223.7</v>
      </c>
      <c r="N9" t="n">
        <v>232.6</v>
      </c>
      <c r="O9" t="n">
        <v>247.1</v>
      </c>
      <c r="P9" t="n">
        <v>245.6</v>
      </c>
      <c r="Q9" t="n">
        <v>252.9</v>
      </c>
      <c r="R9" t="n">
        <v>255.9</v>
      </c>
      <c r="S9" t="n">
        <v>263.2</v>
      </c>
      <c r="T9" t="n">
        <v>251.5</v>
      </c>
      <c r="U9" t="n">
        <v>250</v>
      </c>
      <c r="V9" t="n">
        <v>236.6</v>
      </c>
      <c r="W9" t="n">
        <v>211.8</v>
      </c>
      <c r="X9" t="n">
        <v>185.9</v>
      </c>
      <c r="Y9" t="n">
        <v>166</v>
      </c>
      <c r="Z9" t="n">
        <v>161.5</v>
      </c>
      <c r="AA9" t="n">
        <v>160.4</v>
      </c>
      <c r="AB9" t="n">
        <v>163.9</v>
      </c>
      <c r="AC9" t="n">
        <v>160.5</v>
      </c>
      <c r="AD9" t="n">
        <v>164.5</v>
      </c>
      <c r="AE9" t="n">
        <v>160.2</v>
      </c>
      <c r="AF9"/>
    </row>
    <row r="10">
      <c r="A10" t="s">
        <v>101</v>
      </c>
      <c r="B10" t="s">
        <v>290</v>
      </c>
      <c r="C10" t="s">
        <v>246</v>
      </c>
      <c r="D10" t="s">
        <v>291</v>
      </c>
      <c r="E10" t="s">
        <v>247</v>
      </c>
      <c r="F10" t="n">
        <v>145.8</v>
      </c>
      <c r="G10" t="n">
        <v>159.6</v>
      </c>
      <c r="H10" t="n">
        <v>174.4</v>
      </c>
      <c r="I10" t="n">
        <v>198</v>
      </c>
      <c r="J10" t="n">
        <v>216.8</v>
      </c>
      <c r="K10" t="n">
        <v>243.1</v>
      </c>
      <c r="L10" t="n">
        <v>255.5</v>
      </c>
      <c r="M10" t="n">
        <v>275.1</v>
      </c>
      <c r="N10" t="n">
        <v>284.3</v>
      </c>
      <c r="O10" t="n">
        <v>302.9</v>
      </c>
      <c r="P10" t="n">
        <v>300.7</v>
      </c>
      <c r="Q10" t="n">
        <v>310.8</v>
      </c>
      <c r="R10" t="n">
        <v>314.2</v>
      </c>
      <c r="S10" t="n">
        <v>323</v>
      </c>
      <c r="T10" t="n">
        <v>308.7</v>
      </c>
      <c r="U10" t="n">
        <v>306.9</v>
      </c>
      <c r="V10" t="n">
        <v>290</v>
      </c>
      <c r="W10" t="n">
        <v>259.1</v>
      </c>
      <c r="X10" t="n">
        <v>226.8</v>
      </c>
      <c r="Y10" t="n">
        <v>200.8</v>
      </c>
      <c r="Z10" t="n">
        <v>193.5</v>
      </c>
      <c r="AA10" t="n">
        <v>190.1</v>
      </c>
      <c r="AB10" t="n">
        <v>191</v>
      </c>
      <c r="AC10" t="n">
        <v>185.3</v>
      </c>
      <c r="AD10" t="n">
        <v>189.1</v>
      </c>
      <c r="AE10" t="n">
        <v>183.1</v>
      </c>
      <c r="AF10"/>
    </row>
    <row r="11">
      <c r="A11" t="s">
        <v>101</v>
      </c>
      <c r="B11" t="s">
        <v>292</v>
      </c>
      <c r="C11" t="s">
        <v>246</v>
      </c>
      <c r="D11" t="s">
        <v>293</v>
      </c>
      <c r="E11" t="s">
        <v>247</v>
      </c>
      <c r="F11" t="n">
        <v>33.4</v>
      </c>
      <c r="G11" t="n">
        <v>35.8</v>
      </c>
      <c r="H11" t="n">
        <v>36.2</v>
      </c>
      <c r="I11" t="n">
        <v>39.3</v>
      </c>
      <c r="J11" t="n">
        <v>41.7</v>
      </c>
      <c r="K11" t="n">
        <v>44.7</v>
      </c>
      <c r="L11" t="n">
        <v>47.7</v>
      </c>
      <c r="M11" t="n">
        <v>51.4</v>
      </c>
      <c r="N11" t="n">
        <v>51.7</v>
      </c>
      <c r="O11" t="n">
        <v>55.8</v>
      </c>
      <c r="P11" t="n">
        <v>55.1</v>
      </c>
      <c r="Q11" t="n">
        <v>57.9</v>
      </c>
      <c r="R11" t="n">
        <v>58.3</v>
      </c>
      <c r="S11" t="n">
        <v>59.8</v>
      </c>
      <c r="T11" t="n">
        <v>57.2</v>
      </c>
      <c r="U11" t="n">
        <v>56.9</v>
      </c>
      <c r="V11" t="n">
        <v>53.4</v>
      </c>
      <c r="W11" t="n">
        <v>47.3</v>
      </c>
      <c r="X11" t="n">
        <v>40.9</v>
      </c>
      <c r="Y11" t="n">
        <v>34.8</v>
      </c>
      <c r="Z11" t="n">
        <v>32</v>
      </c>
      <c r="AA11" t="n">
        <v>29.7</v>
      </c>
      <c r="AB11" t="n">
        <v>27.1</v>
      </c>
      <c r="AC11" t="n">
        <v>24.8</v>
      </c>
      <c r="AD11" t="n">
        <v>24.6</v>
      </c>
      <c r="AE11" t="n">
        <v>22.9</v>
      </c>
      <c r="AF11"/>
    </row>
    <row r="12">
      <c r="A12" t="s">
        <v>101</v>
      </c>
      <c r="B12" t="s">
        <v>294</v>
      </c>
      <c r="C12" t="s">
        <v>246</v>
      </c>
      <c r="D12" t="s">
        <v>295</v>
      </c>
      <c r="E12" t="s">
        <v>247</v>
      </c>
      <c r="F12" t="n">
        <v>843</v>
      </c>
      <c r="G12" t="n">
        <v>854</v>
      </c>
      <c r="H12" t="n">
        <v>823.1</v>
      </c>
      <c r="I12" t="n">
        <v>845.7</v>
      </c>
      <c r="J12" t="n">
        <v>872.1</v>
      </c>
      <c r="K12" t="n">
        <v>876.9</v>
      </c>
      <c r="L12" t="n">
        <v>875.5</v>
      </c>
      <c r="M12" t="n">
        <v>905.5</v>
      </c>
      <c r="N12" t="n">
        <v>905.8</v>
      </c>
      <c r="O12" t="n">
        <v>931.2</v>
      </c>
      <c r="P12" t="n">
        <v>941.1</v>
      </c>
      <c r="Q12" t="n">
        <v>978.1</v>
      </c>
      <c r="R12" t="n">
        <v>994.7</v>
      </c>
      <c r="S12" t="n">
        <v>1035.2</v>
      </c>
      <c r="T12" t="n">
        <v>999.4</v>
      </c>
      <c r="U12" t="n">
        <v>1000.6</v>
      </c>
      <c r="V12" t="n">
        <v>961.8</v>
      </c>
      <c r="W12" t="n">
        <v>884</v>
      </c>
      <c r="X12" t="n">
        <v>764.5</v>
      </c>
      <c r="Y12" t="n">
        <v>676.5</v>
      </c>
      <c r="Z12" t="n">
        <v>631.4</v>
      </c>
      <c r="AA12" t="n">
        <v>619.4</v>
      </c>
      <c r="AB12" t="n">
        <v>635.5</v>
      </c>
      <c r="AC12" t="n">
        <v>642.2</v>
      </c>
      <c r="AD12" t="n">
        <v>686.1</v>
      </c>
      <c r="AE12" t="n">
        <v>697.4</v>
      </c>
      <c r="AF12"/>
    </row>
    <row r="13">
      <c r="A13" t="s">
        <v>101</v>
      </c>
      <c r="B13" t="s">
        <v>296</v>
      </c>
      <c r="C13" t="s">
        <v>246</v>
      </c>
      <c r="D13" t="s">
        <v>297</v>
      </c>
      <c r="E13" t="s">
        <v>247</v>
      </c>
      <c r="F13" t="n">
        <v>813</v>
      </c>
      <c r="G13" t="n">
        <v>990.8</v>
      </c>
      <c r="H13" t="n">
        <v>987.7</v>
      </c>
      <c r="I13" t="n">
        <v>1142.4</v>
      </c>
      <c r="J13" t="n">
        <v>1287.4</v>
      </c>
      <c r="K13" t="n">
        <v>1407.9</v>
      </c>
      <c r="L13" t="n">
        <v>1537.8</v>
      </c>
      <c r="M13" t="n">
        <v>1661.3</v>
      </c>
      <c r="N13" t="n">
        <v>1700.5</v>
      </c>
      <c r="O13" t="n">
        <v>1787.6</v>
      </c>
      <c r="P13" t="n">
        <v>1813.4</v>
      </c>
      <c r="Q13" t="n">
        <v>1870.8</v>
      </c>
      <c r="R13" t="n">
        <v>1911.6</v>
      </c>
      <c r="S13" t="n">
        <v>1982.3</v>
      </c>
      <c r="T13" t="n">
        <v>1908.1</v>
      </c>
      <c r="U13" t="n">
        <v>1900.7</v>
      </c>
      <c r="V13" t="n">
        <v>1820.4</v>
      </c>
      <c r="W13" t="n">
        <v>1585.9</v>
      </c>
      <c r="X13" t="n">
        <v>1392.4</v>
      </c>
      <c r="Y13" t="n">
        <v>1245.7</v>
      </c>
      <c r="Z13" t="n">
        <v>1179.4</v>
      </c>
      <c r="AA13" t="n">
        <v>1171.9</v>
      </c>
      <c r="AB13" t="n">
        <v>1202.8</v>
      </c>
      <c r="AC13" t="n">
        <v>1220.9</v>
      </c>
      <c r="AD13" t="n">
        <v>1273.4</v>
      </c>
      <c r="AE13" t="n">
        <v>1190.8</v>
      </c>
      <c r="AF13"/>
    </row>
    <row r="14">
      <c r="A14" t="s">
        <v>101</v>
      </c>
      <c r="B14" t="s">
        <v>298</v>
      </c>
      <c r="C14" t="s">
        <v>246</v>
      </c>
      <c r="D14" t="s">
        <v>299</v>
      </c>
      <c r="E14" t="s">
        <v>247</v>
      </c>
      <c r="F14" t="n">
        <v>55</v>
      </c>
      <c r="G14" t="n">
        <v>72.2</v>
      </c>
      <c r="H14" t="n">
        <v>79</v>
      </c>
      <c r="I14" t="n">
        <v>90.1</v>
      </c>
      <c r="J14" t="n">
        <v>102.5</v>
      </c>
      <c r="K14" t="n">
        <v>119.6</v>
      </c>
      <c r="L14" t="n">
        <v>134</v>
      </c>
      <c r="M14" t="n">
        <v>146.2</v>
      </c>
      <c r="N14" t="n">
        <v>150.5</v>
      </c>
      <c r="O14" t="n">
        <v>156.3</v>
      </c>
      <c r="P14" t="n">
        <v>164</v>
      </c>
      <c r="Q14" t="n">
        <v>168.8</v>
      </c>
      <c r="R14" t="n">
        <v>172.9</v>
      </c>
      <c r="S14" t="n">
        <v>178</v>
      </c>
      <c r="T14" t="n">
        <v>170.7</v>
      </c>
      <c r="U14" t="n">
        <v>169.5</v>
      </c>
      <c r="V14" t="n">
        <v>160.2</v>
      </c>
      <c r="W14" t="n">
        <v>144.3</v>
      </c>
      <c r="X14" t="n">
        <v>125.8</v>
      </c>
      <c r="Y14" t="n">
        <v>110.6</v>
      </c>
      <c r="Z14" t="n">
        <v>104.7</v>
      </c>
      <c r="AA14" t="n">
        <v>103.3</v>
      </c>
      <c r="AB14" t="n">
        <v>103.5</v>
      </c>
      <c r="AC14" t="n">
        <v>101</v>
      </c>
      <c r="AD14" t="n">
        <v>102.3</v>
      </c>
      <c r="AE14" t="n">
        <v>97.2</v>
      </c>
      <c r="AF14"/>
    </row>
    <row r="15">
      <c r="A15" t="s">
        <v>101</v>
      </c>
      <c r="B15" t="s">
        <v>300</v>
      </c>
      <c r="C15" t="s">
        <v>246</v>
      </c>
      <c r="D15" t="s">
        <v>301</v>
      </c>
      <c r="E15" t="s">
        <v>247</v>
      </c>
      <c r="F15" t="n">
        <v>174.5</v>
      </c>
      <c r="G15" t="n">
        <v>206</v>
      </c>
      <c r="H15" t="n">
        <v>238.3</v>
      </c>
      <c r="I15" t="n">
        <v>266</v>
      </c>
      <c r="J15" t="n">
        <v>313</v>
      </c>
      <c r="K15" t="n">
        <v>354.2</v>
      </c>
      <c r="L15" t="n">
        <v>386.5</v>
      </c>
      <c r="M15" t="n">
        <v>422.2</v>
      </c>
      <c r="N15" t="n">
        <v>431.9</v>
      </c>
      <c r="O15" t="n">
        <v>454.3</v>
      </c>
      <c r="P15" t="n">
        <v>470.1</v>
      </c>
      <c r="Q15" t="n">
        <v>489.4</v>
      </c>
      <c r="R15" t="n">
        <v>496.6</v>
      </c>
      <c r="S15" t="n">
        <v>512</v>
      </c>
      <c r="T15" t="n">
        <v>490.2</v>
      </c>
      <c r="U15" t="n">
        <v>487.2</v>
      </c>
      <c r="V15" t="n">
        <v>461.2</v>
      </c>
      <c r="W15" t="n">
        <v>399</v>
      </c>
      <c r="X15" t="n">
        <v>346.9</v>
      </c>
      <c r="Y15" t="n">
        <v>307.1</v>
      </c>
      <c r="Z15" t="n">
        <v>290.6</v>
      </c>
      <c r="AA15" t="n">
        <v>288.1</v>
      </c>
      <c r="AB15" t="n">
        <v>290.4</v>
      </c>
      <c r="AC15" t="n">
        <v>287.5</v>
      </c>
      <c r="AD15" t="n">
        <v>294.7</v>
      </c>
      <c r="AE15" t="n">
        <v>280</v>
      </c>
      <c r="AF15"/>
    </row>
    <row r="16">
      <c r="A16" t="s">
        <v>101</v>
      </c>
      <c r="B16" t="s">
        <v>302</v>
      </c>
      <c r="C16" t="s">
        <v>246</v>
      </c>
      <c r="D16" t="s">
        <v>303</v>
      </c>
      <c r="E16" t="s">
        <v>247</v>
      </c>
      <c r="F16" t="n">
        <v>119.5</v>
      </c>
      <c r="G16" t="n">
        <v>133.8</v>
      </c>
      <c r="H16" t="n">
        <v>159.3</v>
      </c>
      <c r="I16" t="n">
        <v>175.9</v>
      </c>
      <c r="J16" t="n">
        <v>210.5</v>
      </c>
      <c r="K16" t="n">
        <v>234.6</v>
      </c>
      <c r="L16" t="n">
        <v>252.5</v>
      </c>
      <c r="M16" t="n">
        <v>276</v>
      </c>
      <c r="N16" t="n">
        <v>281.4</v>
      </c>
      <c r="O16" t="n">
        <v>298</v>
      </c>
      <c r="P16" t="n">
        <v>306.1</v>
      </c>
      <c r="Q16" t="n">
        <v>320.6</v>
      </c>
      <c r="R16" t="n">
        <v>323.7</v>
      </c>
      <c r="S16" t="n">
        <v>334</v>
      </c>
      <c r="T16" t="n">
        <v>319.5</v>
      </c>
      <c r="U16" t="n">
        <v>317.7</v>
      </c>
      <c r="V16" t="n">
        <v>301</v>
      </c>
      <c r="W16" t="n">
        <v>254.7</v>
      </c>
      <c r="X16" t="n">
        <v>221.1</v>
      </c>
      <c r="Y16" t="n">
        <v>196.5</v>
      </c>
      <c r="Z16" t="n">
        <v>185.9</v>
      </c>
      <c r="AA16" t="n">
        <v>184.8</v>
      </c>
      <c r="AB16" t="n">
        <v>186.9</v>
      </c>
      <c r="AC16" t="n">
        <v>186.5</v>
      </c>
      <c r="AD16" t="n">
        <v>192.4</v>
      </c>
      <c r="AE16" t="n">
        <v>182.8</v>
      </c>
      <c r="AF16"/>
    </row>
    <row r="17">
      <c r="A17" t="s">
        <v>101</v>
      </c>
      <c r="B17" t="s">
        <v>304</v>
      </c>
      <c r="C17" t="s">
        <v>246</v>
      </c>
      <c r="D17" t="s">
        <v>305</v>
      </c>
      <c r="E17" t="s">
        <v>247</v>
      </c>
      <c r="F17" t="n">
        <v>468.4</v>
      </c>
      <c r="G17" t="n">
        <v>535.1</v>
      </c>
      <c r="H17" t="n">
        <v>609.1</v>
      </c>
      <c r="I17" t="n">
        <v>681.4</v>
      </c>
      <c r="J17" t="n">
        <v>733.7</v>
      </c>
      <c r="K17" t="n">
        <v>839.7</v>
      </c>
      <c r="L17" t="n">
        <v>936.7</v>
      </c>
      <c r="M17" t="n">
        <v>1033.2</v>
      </c>
      <c r="N17" t="n">
        <v>1068.1</v>
      </c>
      <c r="O17" t="n">
        <v>1128.3</v>
      </c>
      <c r="P17" t="n">
        <v>1168.1</v>
      </c>
      <c r="Q17" t="n">
        <v>1235.3</v>
      </c>
      <c r="R17" t="n">
        <v>1253.2</v>
      </c>
      <c r="S17" t="n">
        <v>1303.8</v>
      </c>
      <c r="T17" t="n">
        <v>1257.1</v>
      </c>
      <c r="U17" t="n">
        <v>1253.3</v>
      </c>
      <c r="V17" t="n">
        <v>1197.1</v>
      </c>
      <c r="W17" t="n">
        <v>1063.4</v>
      </c>
      <c r="X17" t="n">
        <v>943.8</v>
      </c>
      <c r="Y17" t="n">
        <v>855.8</v>
      </c>
      <c r="Z17" t="n">
        <v>818.5</v>
      </c>
      <c r="AA17" t="n">
        <v>817.9</v>
      </c>
      <c r="AB17" t="n">
        <v>838.4</v>
      </c>
      <c r="AC17" t="n">
        <v>845</v>
      </c>
      <c r="AD17" t="n">
        <v>876.7</v>
      </c>
      <c r="AE17" t="n">
        <v>809</v>
      </c>
      <c r="AF17"/>
    </row>
    <row r="18">
      <c r="A18" t="s">
        <v>101</v>
      </c>
      <c r="B18" t="s">
        <v>306</v>
      </c>
      <c r="C18" t="s">
        <v>246</v>
      </c>
      <c r="D18" t="s">
        <v>307</v>
      </c>
      <c r="E18" t="s">
        <v>247</v>
      </c>
      <c r="F18" t="n">
        <v>329.3</v>
      </c>
      <c r="G18" t="n">
        <v>371.4</v>
      </c>
      <c r="H18" t="n">
        <v>390.5</v>
      </c>
      <c r="I18" t="n">
        <v>427.6</v>
      </c>
      <c r="J18" t="n">
        <v>458.2</v>
      </c>
      <c r="K18" t="n">
        <v>507.2</v>
      </c>
      <c r="L18" t="n">
        <v>558.5</v>
      </c>
      <c r="M18" t="n">
        <v>603.1</v>
      </c>
      <c r="N18" t="n">
        <v>605.5</v>
      </c>
      <c r="O18" t="n">
        <v>642.7</v>
      </c>
      <c r="P18" t="n">
        <v>685.8</v>
      </c>
      <c r="Q18" t="n">
        <v>713.2</v>
      </c>
      <c r="R18" t="n">
        <v>724</v>
      </c>
      <c r="S18" t="n">
        <v>747.7</v>
      </c>
      <c r="T18" t="n">
        <v>719.5</v>
      </c>
      <c r="U18" t="n">
        <v>716.7</v>
      </c>
      <c r="V18" t="n">
        <v>684.3</v>
      </c>
      <c r="W18" t="n">
        <v>1047.1</v>
      </c>
      <c r="X18" t="n">
        <v>911.8</v>
      </c>
      <c r="Y18" t="n">
        <v>747.2</v>
      </c>
      <c r="Z18" t="n">
        <v>567.7</v>
      </c>
      <c r="AA18" t="n">
        <v>621.9</v>
      </c>
      <c r="AB18" t="n">
        <v>507.5</v>
      </c>
      <c r="AC18" t="n">
        <v>348.6</v>
      </c>
      <c r="AD18" t="n">
        <v>-303.8</v>
      </c>
      <c r="AE18" t="n">
        <v>-962.9</v>
      </c>
      <c r="AF18"/>
    </row>
    <row r="19">
      <c r="A19" t="s">
        <v>101</v>
      </c>
      <c r="B19" t="s">
        <v>308</v>
      </c>
      <c r="C19" t="s">
        <v>246</v>
      </c>
      <c r="D19" t="s">
        <v>309</v>
      </c>
      <c r="E19" t="s">
        <v>247</v>
      </c>
      <c r="F19" t="n">
        <v>692.5</v>
      </c>
      <c r="G19" t="n">
        <v>772.6</v>
      </c>
      <c r="H19" t="n">
        <v>761.5</v>
      </c>
      <c r="I19" t="n">
        <v>867.3</v>
      </c>
      <c r="J19" t="n">
        <v>936.2</v>
      </c>
      <c r="K19" t="n">
        <v>1030</v>
      </c>
      <c r="L19" t="n">
        <v>1103.5</v>
      </c>
      <c r="M19" t="n">
        <v>1191.2</v>
      </c>
      <c r="N19" t="n">
        <v>1213.6</v>
      </c>
      <c r="O19" t="n">
        <v>1256.8</v>
      </c>
      <c r="P19" t="n">
        <v>1283</v>
      </c>
      <c r="Q19" t="n">
        <v>1339.7</v>
      </c>
      <c r="R19" t="n">
        <v>1358.7</v>
      </c>
      <c r="S19" t="n">
        <v>1401.2</v>
      </c>
      <c r="T19" t="n">
        <v>1343.3</v>
      </c>
      <c r="U19" t="n">
        <v>1339</v>
      </c>
      <c r="V19" t="n">
        <v>1287.1</v>
      </c>
      <c r="W19" t="n">
        <v>1113.6</v>
      </c>
      <c r="X19" t="n">
        <v>989</v>
      </c>
      <c r="Y19" t="n">
        <v>902.5</v>
      </c>
      <c r="Z19" t="n">
        <v>890.1</v>
      </c>
      <c r="AA19" t="n">
        <v>912.8</v>
      </c>
      <c r="AB19" t="n">
        <v>958.6</v>
      </c>
      <c r="AC19" t="n">
        <v>988.9</v>
      </c>
      <c r="AD19" t="n">
        <v>1064</v>
      </c>
      <c r="AE19" t="n">
        <v>1052.4</v>
      </c>
      <c r="AF19"/>
    </row>
    <row r="20">
      <c r="A20" t="s">
        <v>101</v>
      </c>
      <c r="B20" t="s">
        <v>310</v>
      </c>
      <c r="C20" t="s">
        <v>246</v>
      </c>
      <c r="D20" t="s">
        <v>311</v>
      </c>
      <c r="E20" t="s">
        <v>247</v>
      </c>
      <c r="F20" t="n">
        <v>486.1</v>
      </c>
      <c r="G20" t="n">
        <v>475.1</v>
      </c>
      <c r="H20" t="n">
        <v>413.9</v>
      </c>
      <c r="I20" t="n">
        <v>392.1</v>
      </c>
      <c r="J20" t="n">
        <v>400.3</v>
      </c>
      <c r="K20" t="n">
        <v>391.6</v>
      </c>
      <c r="L20" t="n">
        <v>381.9</v>
      </c>
      <c r="M20" t="n">
        <v>377.9</v>
      </c>
      <c r="N20" t="n">
        <v>368.3</v>
      </c>
      <c r="O20" t="n">
        <v>361.5</v>
      </c>
      <c r="P20" t="n">
        <v>354.8</v>
      </c>
      <c r="Q20" t="n">
        <v>349.1</v>
      </c>
      <c r="R20" t="n">
        <v>365.6</v>
      </c>
      <c r="S20" t="n">
        <v>377.2</v>
      </c>
      <c r="T20" t="n">
        <v>364.4</v>
      </c>
      <c r="U20" t="n">
        <v>366</v>
      </c>
      <c r="V20" t="n">
        <v>354.2</v>
      </c>
      <c r="W20" t="n">
        <v>336</v>
      </c>
      <c r="X20" t="n">
        <v>287.1</v>
      </c>
      <c r="Y20" t="n">
        <v>246</v>
      </c>
      <c r="Z20" t="n">
        <v>225.1</v>
      </c>
      <c r="AA20" t="n">
        <v>218</v>
      </c>
      <c r="AB20" t="n">
        <v>209.6</v>
      </c>
      <c r="AC20" t="n">
        <v>204.7</v>
      </c>
      <c r="AD20" t="n">
        <v>196.8</v>
      </c>
      <c r="AE20" t="n">
        <v>193</v>
      </c>
      <c r="AF20" t="n">
        <v>195</v>
      </c>
    </row>
    <row r="21">
      <c r="A21" t="s">
        <v>101</v>
      </c>
      <c r="B21" t="s">
        <v>312</v>
      </c>
      <c r="C21" t="s">
        <v>246</v>
      </c>
      <c r="D21" t="s">
        <v>313</v>
      </c>
      <c r="E21" t="s">
        <v>247</v>
      </c>
      <c r="F21" t="n">
        <v>1244.6</v>
      </c>
      <c r="G21" t="n">
        <v>1327.1</v>
      </c>
      <c r="H21" t="n">
        <v>1332.4</v>
      </c>
      <c r="I21" t="n">
        <v>1485.5</v>
      </c>
      <c r="J21" t="n">
        <v>1612.4</v>
      </c>
      <c r="K21" t="n">
        <v>1738.5</v>
      </c>
      <c r="L21" t="n">
        <v>1871.1</v>
      </c>
      <c r="M21" t="n">
        <v>2008</v>
      </c>
      <c r="N21" t="n">
        <v>2069.8</v>
      </c>
      <c r="O21" t="n">
        <v>2128.4</v>
      </c>
      <c r="P21" t="n">
        <v>2184</v>
      </c>
      <c r="Q21" t="n">
        <v>2254.8</v>
      </c>
      <c r="R21" t="n">
        <v>2309</v>
      </c>
      <c r="S21" t="n">
        <v>2377</v>
      </c>
      <c r="T21" t="n">
        <v>2292.5</v>
      </c>
      <c r="U21" t="n">
        <v>2311.4</v>
      </c>
      <c r="V21" t="n">
        <v>2273.6</v>
      </c>
      <c r="W21" t="n">
        <v>2279.4</v>
      </c>
      <c r="X21" t="n">
        <v>2087.7</v>
      </c>
      <c r="Y21" t="n">
        <v>1905.5</v>
      </c>
      <c r="Z21" t="n">
        <v>1885</v>
      </c>
      <c r="AA21" t="n">
        <v>1845.3</v>
      </c>
      <c r="AB21" t="n">
        <v>1857.7</v>
      </c>
      <c r="AC21" t="n">
        <v>1938.1</v>
      </c>
      <c r="AD21" t="n">
        <v>2138.3</v>
      </c>
      <c r="AE21" t="n">
        <v>2232.5</v>
      </c>
      <c r="AF21" t="n">
        <v>2481.6</v>
      </c>
    </row>
    <row r="22">
      <c r="A22" t="s">
        <v>101</v>
      </c>
      <c r="B22" t="s">
        <v>314</v>
      </c>
      <c r="C22" t="s">
        <v>246</v>
      </c>
      <c r="D22" t="s">
        <v>315</v>
      </c>
      <c r="E22" t="s">
        <v>247</v>
      </c>
      <c r="F22" t="n">
        <v>758.5</v>
      </c>
      <c r="G22" t="n">
        <v>852</v>
      </c>
      <c r="H22" t="n">
        <v>918.5</v>
      </c>
      <c r="I22" t="n">
        <v>1093.4</v>
      </c>
      <c r="J22" t="n">
        <v>1212.1</v>
      </c>
      <c r="K22" t="n">
        <v>1346.9</v>
      </c>
      <c r="L22" t="n">
        <v>1489.2</v>
      </c>
      <c r="M22" t="n">
        <v>1630.1</v>
      </c>
      <c r="N22" t="n">
        <v>1701.5</v>
      </c>
      <c r="O22" t="n">
        <v>1766.9</v>
      </c>
      <c r="P22" t="n">
        <v>1829.2</v>
      </c>
      <c r="Q22" t="n">
        <v>1905.7</v>
      </c>
      <c r="R22" t="n">
        <v>1943.4</v>
      </c>
      <c r="S22" t="n">
        <v>1999.8</v>
      </c>
      <c r="T22" t="n">
        <v>1928.1</v>
      </c>
      <c r="U22" t="n">
        <v>1945.4</v>
      </c>
      <c r="V22" t="n">
        <v>1919.4</v>
      </c>
      <c r="W22" t="n">
        <v>1943.4</v>
      </c>
      <c r="X22" t="n">
        <v>1800.6</v>
      </c>
      <c r="Y22" t="n">
        <v>1659.5</v>
      </c>
      <c r="Z22" t="n">
        <v>1659.9</v>
      </c>
      <c r="AA22" t="n">
        <v>1627.3</v>
      </c>
      <c r="AB22" t="n">
        <v>1648.1</v>
      </c>
      <c r="AC22" t="n">
        <v>1733.4</v>
      </c>
      <c r="AD22" t="n">
        <v>1941.5</v>
      </c>
      <c r="AE22" t="n">
        <v>2039.5</v>
      </c>
      <c r="AF22" t="n">
        <v>2286.6</v>
      </c>
    </row>
    <row r="23">
      <c r="A23" t="s">
        <v>101</v>
      </c>
      <c r="B23" t="s">
        <v>316</v>
      </c>
      <c r="C23" t="s">
        <v>246</v>
      </c>
      <c r="D23" t="s">
        <v>317</v>
      </c>
      <c r="E23" t="s">
        <v>247</v>
      </c>
      <c r="F23" t="n">
        <v>4136.5</v>
      </c>
      <c r="G23" t="n">
        <v>4545.4</v>
      </c>
      <c r="H23" t="n">
        <v>4500.7</v>
      </c>
      <c r="I23" t="n">
        <v>5288.7</v>
      </c>
      <c r="J23" t="n">
        <v>5636.8</v>
      </c>
      <c r="K23" t="n">
        <v>6084.8</v>
      </c>
      <c r="L23" t="n">
        <v>6583.9</v>
      </c>
      <c r="M23" t="n">
        <v>7267.1</v>
      </c>
      <c r="N23" t="n">
        <v>7623.5</v>
      </c>
      <c r="O23" t="n">
        <v>8049.1</v>
      </c>
      <c r="P23" t="n">
        <v>8281.2</v>
      </c>
      <c r="Q23" t="n">
        <v>8662.8</v>
      </c>
      <c r="R23" t="n">
        <v>8890.2</v>
      </c>
      <c r="S23" t="n">
        <v>9185</v>
      </c>
      <c r="T23" t="n">
        <v>8846.9</v>
      </c>
      <c r="U23" t="n">
        <v>8856</v>
      </c>
      <c r="V23" t="n">
        <v>8605.9</v>
      </c>
      <c r="W23" t="n">
        <v>7520.4</v>
      </c>
      <c r="X23" t="n">
        <v>6606.4</v>
      </c>
      <c r="Y23" t="n">
        <v>5776.3</v>
      </c>
      <c r="Z23" t="n">
        <v>5464.8</v>
      </c>
      <c r="AA23" t="n">
        <v>5437.7</v>
      </c>
      <c r="AB23" t="n">
        <v>5603.8</v>
      </c>
      <c r="AC23" t="n">
        <v>5831.1</v>
      </c>
      <c r="AD23" t="n">
        <v>6354.3</v>
      </c>
      <c r="AE23" t="n">
        <v>6485.9</v>
      </c>
      <c r="AF23" t="n">
        <v>7283.4</v>
      </c>
    </row>
    <row r="24">
      <c r="A24" t="s">
        <v>101</v>
      </c>
      <c r="B24" t="s">
        <v>318</v>
      </c>
      <c r="C24" t="s">
        <v>246</v>
      </c>
      <c r="D24" t="s">
        <v>319</v>
      </c>
      <c r="E24" t="s">
        <v>247</v>
      </c>
      <c r="F24" t="n">
        <v>7854.4</v>
      </c>
      <c r="G24" t="n">
        <v>8883.1</v>
      </c>
      <c r="H24" t="n">
        <v>9257.1</v>
      </c>
      <c r="I24" t="n">
        <v>10643.5</v>
      </c>
      <c r="J24" t="n">
        <v>12161.5</v>
      </c>
      <c r="K24" t="n">
        <v>13287</v>
      </c>
      <c r="L24" t="n">
        <v>14410.5</v>
      </c>
      <c r="M24" t="n">
        <v>15436.7</v>
      </c>
      <c r="N24" t="n">
        <v>15881.3</v>
      </c>
      <c r="O24" t="n">
        <v>16581</v>
      </c>
      <c r="P24" t="n">
        <v>17225</v>
      </c>
      <c r="Q24" t="n">
        <v>17842.1</v>
      </c>
      <c r="R24" t="n">
        <v>18315</v>
      </c>
      <c r="S24" t="n">
        <v>18631.7</v>
      </c>
      <c r="T24" t="n">
        <v>17941.5</v>
      </c>
      <c r="U24" t="n">
        <v>17898.6</v>
      </c>
      <c r="V24" t="n">
        <v>17306.5</v>
      </c>
      <c r="W24" t="n">
        <v>15265</v>
      </c>
      <c r="X24" t="n">
        <v>13555.9</v>
      </c>
      <c r="Y24" t="n">
        <v>12189</v>
      </c>
      <c r="Z24" t="n">
        <v>11585.7</v>
      </c>
      <c r="AA24" t="n">
        <v>12096.8</v>
      </c>
      <c r="AB24" t="n">
        <v>12214.6</v>
      </c>
      <c r="AC24" t="n">
        <v>12909.7</v>
      </c>
      <c r="AD24" t="n">
        <v>14218.3</v>
      </c>
      <c r="AE24" t="n">
        <v>14003.7</v>
      </c>
      <c r="AF24" t="n">
        <v>14265.2</v>
      </c>
    </row>
    <row r="25">
      <c r="A25" t="s">
        <v>101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101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101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101</v>
      </c>
      <c r="B28" t="s">
        <v>326</v>
      </c>
      <c r="C28" t="s">
        <v>246</v>
      </c>
      <c r="D28" t="s">
        <v>327</v>
      </c>
      <c r="E28" t="s">
        <v>247</v>
      </c>
      <c r="F28" t="n">
        <v>35327.2</v>
      </c>
      <c r="G28" t="n">
        <v>36977.1</v>
      </c>
      <c r="H28" t="n">
        <v>39229.3</v>
      </c>
      <c r="I28" t="n">
        <v>41548.9</v>
      </c>
      <c r="J28" t="n">
        <v>43530.3</v>
      </c>
      <c r="K28" t="n">
        <v>46485.6</v>
      </c>
      <c r="L28" t="n">
        <v>48906.3</v>
      </c>
      <c r="M28" t="n">
        <v>51124.6</v>
      </c>
      <c r="N28" t="n">
        <v>52464.1</v>
      </c>
      <c r="O28" t="n">
        <v>55840</v>
      </c>
      <c r="P28" t="n">
        <v>57144.6</v>
      </c>
      <c r="Q28" t="n">
        <v>60975.8</v>
      </c>
      <c r="R28" t="n">
        <v>63051.4</v>
      </c>
      <c r="S28" t="n">
        <v>66975.5</v>
      </c>
      <c r="T28" t="n">
        <v>64884.4</v>
      </c>
      <c r="U28" t="n">
        <v>66731.9</v>
      </c>
      <c r="V28" t="n">
        <v>62892.8</v>
      </c>
      <c r="W28" t="n">
        <v>65005.1</v>
      </c>
      <c r="X28" t="n">
        <v>63631.5</v>
      </c>
      <c r="Y28" t="n">
        <v>61346.3</v>
      </c>
      <c r="Z28" t="n">
        <v>60590.6</v>
      </c>
      <c r="AA28" t="n">
        <v>59556.4</v>
      </c>
      <c r="AB28" t="n">
        <v>58789.3</v>
      </c>
      <c r="AC28" t="n">
        <v>59161.6</v>
      </c>
      <c r="AD28" t="n">
        <v>60850.4</v>
      </c>
      <c r="AE28" t="n">
        <v>59542.2</v>
      </c>
      <c r="AF28" t="n">
        <v>61799.8</v>
      </c>
    </row>
    <row r="29">
      <c r="A29" t="s">
        <v>101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101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101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101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101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101</v>
      </c>
      <c r="B34" t="s">
        <v>338</v>
      </c>
      <c r="C34" t="s">
        <v>246</v>
      </c>
      <c r="D34" t="s">
        <v>339</v>
      </c>
      <c r="E34" t="s">
        <v>247</v>
      </c>
      <c r="F34" t="n">
        <v>575.7</v>
      </c>
      <c r="G34" t="n">
        <v>614.3</v>
      </c>
      <c r="H34" t="n">
        <v>646.9</v>
      </c>
      <c r="I34" t="n">
        <v>740.1</v>
      </c>
      <c r="J34" t="n">
        <v>859.3</v>
      </c>
      <c r="K34" t="n">
        <v>945.7</v>
      </c>
      <c r="L34" t="n">
        <v>1034.7</v>
      </c>
      <c r="M34" t="n">
        <v>1092.7</v>
      </c>
      <c r="N34" t="n">
        <v>1107.3</v>
      </c>
      <c r="O34" t="n">
        <v>1182.3</v>
      </c>
      <c r="P34" t="n">
        <v>1214.2</v>
      </c>
      <c r="Q34" t="n">
        <v>1258.5</v>
      </c>
      <c r="R34" t="n">
        <v>1279.2</v>
      </c>
      <c r="S34" t="n">
        <v>1306.2</v>
      </c>
      <c r="T34" t="n">
        <v>1250.4</v>
      </c>
      <c r="U34" t="n">
        <v>1240.4</v>
      </c>
      <c r="V34" t="n">
        <v>1177.2</v>
      </c>
      <c r="W34" t="n">
        <v>958.5</v>
      </c>
      <c r="X34" t="n">
        <v>838.3</v>
      </c>
      <c r="Y34" t="n">
        <v>748.5</v>
      </c>
      <c r="Z34" t="n">
        <v>730.3</v>
      </c>
      <c r="AA34" t="n">
        <v>760</v>
      </c>
      <c r="AB34" t="n">
        <v>839.7</v>
      </c>
      <c r="AC34" t="n">
        <v>882.6</v>
      </c>
      <c r="AD34" t="n">
        <v>949.5</v>
      </c>
      <c r="AE34" t="n">
        <v>916.7</v>
      </c>
      <c r="AF34" t="n">
        <v>940.1</v>
      </c>
    </row>
    <row r="35">
      <c r="A35" t="s">
        <v>101</v>
      </c>
      <c r="B35" t="s">
        <v>340</v>
      </c>
      <c r="C35" t="s">
        <v>246</v>
      </c>
      <c r="D35" t="s">
        <v>341</v>
      </c>
      <c r="E35" t="s">
        <v>247</v>
      </c>
      <c r="F35" t="n">
        <v>328.6</v>
      </c>
      <c r="G35" t="n">
        <v>376.1</v>
      </c>
      <c r="H35" t="n">
        <v>399.7</v>
      </c>
      <c r="I35" t="n">
        <v>451.9</v>
      </c>
      <c r="J35" t="n">
        <v>495.1</v>
      </c>
      <c r="K35" t="n">
        <v>552.9</v>
      </c>
      <c r="L35" t="n">
        <v>601.1</v>
      </c>
      <c r="M35" t="n">
        <v>669.6</v>
      </c>
      <c r="N35" t="n">
        <v>698.6</v>
      </c>
      <c r="O35" t="n">
        <v>751.4</v>
      </c>
      <c r="P35" t="n">
        <v>778.8</v>
      </c>
      <c r="Q35" t="n">
        <v>797.9</v>
      </c>
      <c r="R35" t="n">
        <v>826.4</v>
      </c>
      <c r="S35" t="n">
        <v>845.7</v>
      </c>
      <c r="T35" t="n">
        <v>812.1</v>
      </c>
      <c r="U35" t="n">
        <v>806.5</v>
      </c>
      <c r="V35" t="n">
        <v>757.6</v>
      </c>
      <c r="W35" t="n">
        <v>657.5</v>
      </c>
      <c r="X35" t="n">
        <v>570.9</v>
      </c>
      <c r="Y35" t="n">
        <v>1165.5</v>
      </c>
      <c r="Z35" t="n">
        <v>2314.1</v>
      </c>
      <c r="AA35" t="n">
        <v>2460.3</v>
      </c>
      <c r="AB35" t="n">
        <v>2692.5</v>
      </c>
      <c r="AC35" t="n">
        <v>2999.3</v>
      </c>
      <c r="AD35" t="n">
        <v>3338.8</v>
      </c>
      <c r="AE35" t="n">
        <v>3656.8</v>
      </c>
      <c r="AF35" t="n">
        <v>4020.6</v>
      </c>
    </row>
    <row r="36">
      <c r="A36" t="s">
        <v>101</v>
      </c>
      <c r="B36" t="s">
        <v>342</v>
      </c>
      <c r="C36" t="s">
        <v>246</v>
      </c>
      <c r="D36" t="s">
        <v>343</v>
      </c>
      <c r="E36" t="s">
        <v>247</v>
      </c>
      <c r="F36" t="n">
        <v>51.7</v>
      </c>
      <c r="G36" t="n">
        <v>57.3</v>
      </c>
      <c r="H36" t="n">
        <v>59.7</v>
      </c>
      <c r="I36" t="n">
        <v>73</v>
      </c>
      <c r="J36" t="n">
        <v>80</v>
      </c>
      <c r="K36" t="n">
        <v>89.9</v>
      </c>
      <c r="L36" t="n">
        <v>103.4</v>
      </c>
      <c r="M36" t="n">
        <v>110</v>
      </c>
      <c r="N36" t="n">
        <v>115.1</v>
      </c>
      <c r="O36" t="n">
        <v>121.3</v>
      </c>
      <c r="P36" t="n">
        <v>127</v>
      </c>
      <c r="Q36" t="n">
        <v>129.9</v>
      </c>
      <c r="R36" t="n">
        <v>133.7</v>
      </c>
      <c r="S36" t="n">
        <v>136.3</v>
      </c>
      <c r="T36" t="n">
        <v>130.6</v>
      </c>
      <c r="U36" t="n">
        <v>129.6</v>
      </c>
      <c r="V36" t="n">
        <v>121.9</v>
      </c>
      <c r="W36" t="n">
        <v>104.5</v>
      </c>
      <c r="X36" t="n">
        <v>90.1</v>
      </c>
      <c r="Y36" t="n">
        <v>78.7</v>
      </c>
      <c r="Z36" t="n">
        <v>73.3</v>
      </c>
      <c r="AA36" t="n">
        <v>68.7</v>
      </c>
      <c r="AB36" t="n">
        <v>66.8</v>
      </c>
      <c r="AC36" t="n">
        <v>69</v>
      </c>
      <c r="AD36" t="n">
        <v>72.1</v>
      </c>
      <c r="AE36" t="n">
        <v>69.5</v>
      </c>
      <c r="AF36"/>
    </row>
    <row r="37">
      <c r="A37" t="s">
        <v>101</v>
      </c>
      <c r="B37" t="s">
        <v>344</v>
      </c>
      <c r="C37" t="s">
        <v>246</v>
      </c>
      <c r="D37" t="s">
        <v>345</v>
      </c>
      <c r="E37" t="s">
        <v>247</v>
      </c>
      <c r="F37" t="n">
        <v>18.4</v>
      </c>
      <c r="G37" t="n">
        <v>20.1</v>
      </c>
      <c r="H37" t="n">
        <v>22.5</v>
      </c>
      <c r="I37" t="n">
        <v>25.8</v>
      </c>
      <c r="J37" t="n">
        <v>28.5</v>
      </c>
      <c r="K37" t="n">
        <v>29.9</v>
      </c>
      <c r="L37" t="n">
        <v>30.6</v>
      </c>
      <c r="M37" t="n">
        <v>34.4</v>
      </c>
      <c r="N37" t="n">
        <v>36.6</v>
      </c>
      <c r="O37" t="n">
        <v>36.1</v>
      </c>
      <c r="P37" t="n">
        <v>36.4</v>
      </c>
      <c r="Q37" t="n">
        <v>36.9</v>
      </c>
      <c r="R37" t="n">
        <v>38.5</v>
      </c>
      <c r="S37" t="n">
        <v>37.5</v>
      </c>
      <c r="T37" t="n">
        <v>34.8</v>
      </c>
      <c r="U37" t="n">
        <v>35</v>
      </c>
      <c r="V37" t="n">
        <v>33.7</v>
      </c>
      <c r="W37" t="n">
        <v>34.1</v>
      </c>
      <c r="X37" t="n">
        <v>31.5</v>
      </c>
      <c r="Y37" t="n">
        <v>635.4</v>
      </c>
      <c r="Z37" t="n">
        <v>1719.6</v>
      </c>
      <c r="AA37" t="n">
        <v>1700.1</v>
      </c>
      <c r="AB37" t="n">
        <v>1823.2</v>
      </c>
      <c r="AC37" t="n">
        <v>1925.2</v>
      </c>
      <c r="AD37" t="n">
        <v>2055</v>
      </c>
      <c r="AE37" t="n">
        <v>2168.8</v>
      </c>
      <c r="AF37"/>
    </row>
    <row r="38">
      <c r="A38" t="s">
        <v>101</v>
      </c>
      <c r="B38" t="s">
        <v>346</v>
      </c>
      <c r="C38" t="s">
        <v>246</v>
      </c>
      <c r="D38" t="s">
        <v>347</v>
      </c>
      <c r="E38" t="s">
        <v>247</v>
      </c>
      <c r="F38" t="n">
        <v>258.5</v>
      </c>
      <c r="G38" t="n">
        <v>298.7</v>
      </c>
      <c r="H38" t="n">
        <v>317.5</v>
      </c>
      <c r="I38" t="n">
        <v>353.1</v>
      </c>
      <c r="J38" t="n">
        <v>386.6</v>
      </c>
      <c r="K38" t="n">
        <v>433.1</v>
      </c>
      <c r="L38" t="n">
        <v>467.1</v>
      </c>
      <c r="M38" t="n">
        <v>525.2</v>
      </c>
      <c r="N38" t="n">
        <v>546.9</v>
      </c>
      <c r="O38" t="n">
        <v>594</v>
      </c>
      <c r="P38" t="n">
        <v>615.4</v>
      </c>
      <c r="Q38" t="n">
        <v>631.1</v>
      </c>
      <c r="R38" t="n">
        <v>654.2</v>
      </c>
      <c r="S38" t="n">
        <v>671.9</v>
      </c>
      <c r="T38" t="n">
        <v>646.7</v>
      </c>
      <c r="U38" t="n">
        <v>641.9</v>
      </c>
      <c r="V38" t="n">
        <v>602</v>
      </c>
      <c r="W38" t="n">
        <v>518.9</v>
      </c>
      <c r="X38" t="n">
        <v>449.3</v>
      </c>
      <c r="Y38" t="n">
        <v>451.4</v>
      </c>
      <c r="Z38" t="n">
        <v>521.2</v>
      </c>
      <c r="AA38" t="n">
        <v>691.5</v>
      </c>
      <c r="AB38" t="n">
        <v>802.5</v>
      </c>
      <c r="AC38" t="n">
        <v>1005.1</v>
      </c>
      <c r="AD38" t="n">
        <v>1211.7</v>
      </c>
      <c r="AE38" t="n">
        <v>1418.5</v>
      </c>
      <c r="AF38"/>
    </row>
    <row r="39">
      <c r="A39" t="s">
        <v>101</v>
      </c>
      <c r="B39" t="s">
        <v>348</v>
      </c>
      <c r="C39" t="s">
        <v>246</v>
      </c>
      <c r="D39" t="s">
        <v>349</v>
      </c>
      <c r="E39" t="s">
        <v>247</v>
      </c>
      <c r="F39" t="n">
        <v>585.6</v>
      </c>
      <c r="G39" t="n">
        <v>612.8</v>
      </c>
      <c r="H39" t="n">
        <v>655.4</v>
      </c>
      <c r="I39" t="n">
        <v>685.4</v>
      </c>
      <c r="J39" t="n">
        <v>710.3</v>
      </c>
      <c r="K39" t="n">
        <v>741.9</v>
      </c>
      <c r="L39" t="n">
        <v>767.6</v>
      </c>
      <c r="M39" t="n">
        <v>811</v>
      </c>
      <c r="N39" t="n">
        <v>852</v>
      </c>
      <c r="O39" t="n">
        <v>867.5</v>
      </c>
      <c r="P39" t="n">
        <v>894</v>
      </c>
      <c r="Q39" t="n">
        <v>911.1</v>
      </c>
      <c r="R39" t="n">
        <v>938.1</v>
      </c>
      <c r="S39" t="n">
        <v>955.9</v>
      </c>
      <c r="T39" t="n">
        <v>994</v>
      </c>
      <c r="U39" t="n">
        <v>963.1</v>
      </c>
      <c r="V39" t="n">
        <v>909.6</v>
      </c>
      <c r="W39" t="n">
        <v>782.8</v>
      </c>
      <c r="X39" t="n">
        <v>768.1</v>
      </c>
      <c r="Y39" t="n">
        <v>772</v>
      </c>
      <c r="Z39" t="n">
        <v>824.1</v>
      </c>
      <c r="AA39" t="n">
        <v>928.3</v>
      </c>
      <c r="AB39" t="n">
        <v>1008</v>
      </c>
      <c r="AC39" t="n">
        <v>1061.3</v>
      </c>
      <c r="AD39" t="n">
        <v>1133.7</v>
      </c>
      <c r="AE39" t="n">
        <v>1111.1</v>
      </c>
      <c r="AF39" t="n">
        <v>1173.5</v>
      </c>
    </row>
    <row r="40">
      <c r="A40" t="s">
        <v>101</v>
      </c>
      <c r="B40" t="s">
        <v>350</v>
      </c>
      <c r="C40" t="s">
        <v>246</v>
      </c>
      <c r="D40" t="s">
        <v>351</v>
      </c>
      <c r="E40" t="s">
        <v>247</v>
      </c>
      <c r="F40" t="n">
        <v>564.5</v>
      </c>
      <c r="G40" t="n">
        <v>622.1</v>
      </c>
      <c r="H40" t="n">
        <v>640.6</v>
      </c>
      <c r="I40" t="n">
        <v>701.9</v>
      </c>
      <c r="J40" t="n">
        <v>753.5</v>
      </c>
      <c r="K40" t="n">
        <v>762.5</v>
      </c>
      <c r="L40" t="n">
        <v>924.2</v>
      </c>
      <c r="M40" t="n">
        <v>983.4</v>
      </c>
      <c r="N40" t="n">
        <v>1009.9</v>
      </c>
      <c r="O40" t="n">
        <v>1059.5</v>
      </c>
      <c r="P40" t="n">
        <v>1076.2</v>
      </c>
      <c r="Q40" t="n">
        <v>1103.3</v>
      </c>
      <c r="R40" t="n">
        <v>1143.2</v>
      </c>
      <c r="S40" t="n">
        <v>1149.4</v>
      </c>
      <c r="T40" t="n">
        <v>1096.3</v>
      </c>
      <c r="U40" t="n">
        <v>1105.7</v>
      </c>
      <c r="V40" t="n">
        <v>1038.7</v>
      </c>
      <c r="W40" t="n">
        <v>877.2</v>
      </c>
      <c r="X40" t="n">
        <v>731.7</v>
      </c>
      <c r="Y40" t="n">
        <v>640.9</v>
      </c>
      <c r="Z40" t="n">
        <v>584.3</v>
      </c>
      <c r="AA40" t="n">
        <v>568.9</v>
      </c>
      <c r="AB40" t="n">
        <v>603</v>
      </c>
      <c r="AC40" t="n">
        <v>619.5</v>
      </c>
      <c r="AD40" t="n">
        <v>679.1</v>
      </c>
      <c r="AE40" t="n">
        <v>681.5</v>
      </c>
      <c r="AF40" t="n">
        <v>759.8</v>
      </c>
    </row>
    <row r="41">
      <c r="A41" t="s">
        <v>101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101</v>
      </c>
      <c r="B42" t="s">
        <v>354</v>
      </c>
      <c r="C42" t="s">
        <v>246</v>
      </c>
      <c r="D42" t="s">
        <v>355</v>
      </c>
      <c r="E42" t="s">
        <v>247</v>
      </c>
      <c r="F42" t="n">
        <v>908.9</v>
      </c>
      <c r="G42" t="n">
        <v>1036</v>
      </c>
      <c r="H42" t="n">
        <v>1092.6</v>
      </c>
      <c r="I42" t="n">
        <v>1208.3</v>
      </c>
      <c r="J42" t="n">
        <v>1314.3</v>
      </c>
      <c r="K42" t="n">
        <v>1514.4</v>
      </c>
      <c r="L42" t="n">
        <v>1629.1</v>
      </c>
      <c r="M42" t="n">
        <v>1750.8</v>
      </c>
      <c r="N42" t="n">
        <v>1839.9</v>
      </c>
      <c r="O42" t="n">
        <v>1897.2</v>
      </c>
      <c r="P42" t="n">
        <v>1992.9</v>
      </c>
      <c r="Q42" t="n">
        <v>2084.4</v>
      </c>
      <c r="R42" t="n">
        <v>2119</v>
      </c>
      <c r="S42" t="n">
        <v>2175.6</v>
      </c>
      <c r="T42" t="n">
        <v>2094</v>
      </c>
      <c r="U42" t="n">
        <v>2086</v>
      </c>
      <c r="V42" t="n">
        <v>1963.6</v>
      </c>
      <c r="W42" t="n">
        <v>1654.5</v>
      </c>
      <c r="X42" t="n">
        <v>1432.1</v>
      </c>
      <c r="Y42" t="n">
        <v>1245.5</v>
      </c>
      <c r="Z42" t="n">
        <v>1166.6</v>
      </c>
      <c r="AA42" t="n">
        <v>1153.2</v>
      </c>
      <c r="AB42" t="n">
        <v>1182.7</v>
      </c>
      <c r="AC42" t="n">
        <v>1181.1</v>
      </c>
      <c r="AD42" t="n">
        <v>1237.3</v>
      </c>
      <c r="AE42" t="n">
        <v>1209.2</v>
      </c>
      <c r="AF42" t="n">
        <v>1294.3</v>
      </c>
    </row>
    <row r="43">
      <c r="A43" t="s">
        <v>101</v>
      </c>
      <c r="B43" t="s">
        <v>356</v>
      </c>
      <c r="C43" t="s">
        <v>246</v>
      </c>
      <c r="D43" t="s">
        <v>357</v>
      </c>
      <c r="E43" t="s">
        <v>247</v>
      </c>
      <c r="F43" t="n">
        <v>15391.6</v>
      </c>
      <c r="G43" t="n">
        <v>16837.4</v>
      </c>
      <c r="H43" t="n">
        <v>17754</v>
      </c>
      <c r="I43" t="n">
        <v>19172.4</v>
      </c>
      <c r="J43" t="n">
        <v>20413.1</v>
      </c>
      <c r="K43" t="n">
        <v>23055.3</v>
      </c>
      <c r="L43" t="n">
        <v>25269.3</v>
      </c>
      <c r="M43" t="n">
        <v>26690</v>
      </c>
      <c r="N43" t="n">
        <v>26919.9</v>
      </c>
      <c r="O43" t="n">
        <v>27616.1</v>
      </c>
      <c r="P43" t="n">
        <v>28760.6</v>
      </c>
      <c r="Q43" t="n">
        <v>29723.1</v>
      </c>
      <c r="R43" t="n">
        <v>31518.4</v>
      </c>
      <c r="S43" t="n">
        <v>33590.3</v>
      </c>
      <c r="T43" t="n">
        <v>32193.9</v>
      </c>
      <c r="U43" t="n">
        <v>32668.1</v>
      </c>
      <c r="V43" t="n">
        <v>30808.5</v>
      </c>
      <c r="W43" t="n">
        <v>30776.1</v>
      </c>
      <c r="X43" t="n">
        <v>29259.9</v>
      </c>
      <c r="Y43" t="n">
        <v>27010.5</v>
      </c>
      <c r="Z43" t="n">
        <v>26755.3</v>
      </c>
      <c r="AA43" t="n">
        <v>26446</v>
      </c>
      <c r="AB43" t="n">
        <v>29360</v>
      </c>
      <c r="AC43" t="n">
        <v>30870.6</v>
      </c>
      <c r="AD43" t="n">
        <v>33311.3</v>
      </c>
      <c r="AE43" t="n">
        <v>32550.7</v>
      </c>
      <c r="AF43" t="n">
        <v>33732.9</v>
      </c>
    </row>
    <row r="44">
      <c r="A44" t="s">
        <v>101</v>
      </c>
      <c r="B44" t="s">
        <v>358</v>
      </c>
      <c r="C44" t="s">
        <v>246</v>
      </c>
      <c r="D44" t="s">
        <v>359</v>
      </c>
      <c r="E44" t="s">
        <v>247</v>
      </c>
      <c r="F44" t="n">
        <v>72924.4</v>
      </c>
      <c r="G44" t="n">
        <v>78361.6</v>
      </c>
      <c r="H44" t="n">
        <v>82095.9</v>
      </c>
      <c r="I44" t="n">
        <v>89307</v>
      </c>
      <c r="J44" t="n">
        <v>95527.3</v>
      </c>
      <c r="K44" t="n">
        <v>103822.6</v>
      </c>
      <c r="L44" t="n">
        <v>111114.1</v>
      </c>
      <c r="M44" t="n">
        <v>117616.4</v>
      </c>
      <c r="N44" t="n">
        <v>120399.4</v>
      </c>
      <c r="O44" t="n">
        <v>126402.9</v>
      </c>
      <c r="P44" t="n">
        <v>130187.1</v>
      </c>
      <c r="Q44" t="n">
        <v>136618.8</v>
      </c>
      <c r="R44" t="n">
        <v>141642.1</v>
      </c>
      <c r="S44" t="n">
        <v>148788.9</v>
      </c>
      <c r="T44" t="n">
        <v>143545.5</v>
      </c>
      <c r="U44" t="n">
        <v>145793.7</v>
      </c>
      <c r="V44" t="n">
        <v>138417</v>
      </c>
      <c r="W44" t="n">
        <v>135847</v>
      </c>
      <c r="X44" t="n">
        <v>128378.3</v>
      </c>
      <c r="Y44" t="n">
        <v>120745</v>
      </c>
      <c r="Z44" t="n">
        <v>119351</v>
      </c>
      <c r="AA44" t="n">
        <v>118662</v>
      </c>
      <c r="AB44" t="n">
        <v>121544</v>
      </c>
      <c r="AC44" t="n">
        <v>124725.1</v>
      </c>
      <c r="AD44" t="n">
        <v>131082.4</v>
      </c>
      <c r="AE44" t="n">
        <v>128280.6</v>
      </c>
      <c r="AF44" t="n">
        <v>133440.7</v>
      </c>
    </row>
    <row r="45">
      <c r="A45" t="s">
        <v>101</v>
      </c>
      <c r="B45" t="s">
        <v>360</v>
      </c>
      <c r="C45" t="s">
        <v>246</v>
      </c>
      <c r="D45" t="s">
        <v>361</v>
      </c>
      <c r="E45" t="s">
        <v>247</v>
      </c>
      <c r="F45" t="n">
        <v>71553.4</v>
      </c>
      <c r="G45" t="n">
        <v>76892.5</v>
      </c>
      <c r="H45" t="n">
        <v>80534.8</v>
      </c>
      <c r="I45" t="n">
        <v>87592.7</v>
      </c>
      <c r="J45" t="n">
        <v>93630.5</v>
      </c>
      <c r="K45" t="n">
        <v>101797.8</v>
      </c>
      <c r="L45" t="n">
        <v>108997.8</v>
      </c>
      <c r="M45" t="n">
        <v>115332</v>
      </c>
      <c r="N45" t="n">
        <v>118084.6</v>
      </c>
      <c r="O45" t="n">
        <v>123958.8</v>
      </c>
      <c r="P45" t="n">
        <v>127668</v>
      </c>
      <c r="Q45" t="n">
        <v>134011.2</v>
      </c>
      <c r="R45" t="n">
        <v>138971.5</v>
      </c>
      <c r="S45" t="n">
        <v>146065.7</v>
      </c>
      <c r="T45" t="n">
        <v>140925.2</v>
      </c>
      <c r="U45" t="n">
        <v>143180.5</v>
      </c>
      <c r="V45" t="n">
        <v>135939.2</v>
      </c>
      <c r="W45" t="n">
        <v>133612</v>
      </c>
      <c r="X45" t="n">
        <v>126407.3</v>
      </c>
      <c r="Y45" t="n">
        <v>119029.3</v>
      </c>
      <c r="Z45" t="n">
        <v>117788.6</v>
      </c>
      <c r="AA45" t="n">
        <v>117190.3</v>
      </c>
      <c r="AB45" t="n">
        <v>120090.4</v>
      </c>
      <c r="AC45" t="n">
        <v>123287.1</v>
      </c>
      <c r="AD45" t="n">
        <v>129589.5</v>
      </c>
      <c r="AE45" t="n">
        <v>126826</v>
      </c>
      <c r="AF45" t="n">
        <v>131917.1</v>
      </c>
    </row>
    <row r="46">
      <c r="A46" t="s">
        <v>101</v>
      </c>
      <c r="B46" t="s">
        <v>362</v>
      </c>
      <c r="C46" t="s">
        <v>246</v>
      </c>
      <c r="D46" t="s">
        <v>363</v>
      </c>
      <c r="E46" t="s">
        <v>247</v>
      </c>
      <c r="F46" t="n">
        <v>14482.7</v>
      </c>
      <c r="G46" t="n">
        <v>15801.4</v>
      </c>
      <c r="H46" t="n">
        <v>16661.4</v>
      </c>
      <c r="I46" t="n">
        <v>17964.1</v>
      </c>
      <c r="J46" t="n">
        <v>19098.8</v>
      </c>
      <c r="K46" t="n">
        <v>21540.9</v>
      </c>
      <c r="L46" t="n">
        <v>23640.2</v>
      </c>
      <c r="M46" t="n">
        <v>24939.2</v>
      </c>
      <c r="N46" t="n">
        <v>25080</v>
      </c>
      <c r="O46" t="n">
        <v>25718.9</v>
      </c>
      <c r="P46" t="n">
        <v>26767.7</v>
      </c>
      <c r="Q46" t="n">
        <v>27638.7</v>
      </c>
      <c r="R46" t="n">
        <v>29399.4</v>
      </c>
      <c r="S46" t="n">
        <v>31414.7</v>
      </c>
      <c r="T46" t="n">
        <v>30099.9</v>
      </c>
      <c r="U46" t="n">
        <v>30582.1</v>
      </c>
      <c r="V46" t="n">
        <v>28844.9</v>
      </c>
      <c r="W46" t="n">
        <v>29121.6</v>
      </c>
      <c r="X46" t="n">
        <v>27827.8</v>
      </c>
      <c r="Y46" t="n">
        <v>25765</v>
      </c>
      <c r="Z46" t="n">
        <v>25588.7</v>
      </c>
      <c r="AA46" t="n">
        <v>25292.8</v>
      </c>
      <c r="AB46" t="n">
        <v>28177.3</v>
      </c>
      <c r="AC46" t="n">
        <v>29689.5</v>
      </c>
      <c r="AD46" t="n">
        <v>32074</v>
      </c>
      <c r="AE46" t="n">
        <v>31341.5</v>
      </c>
      <c r="AF46" t="n">
        <v>32438.6</v>
      </c>
    </row>
    <row r="47">
      <c r="A47" t="s">
        <v>101</v>
      </c>
      <c r="B47" t="s">
        <v>364</v>
      </c>
      <c r="C47" t="s">
        <v>246</v>
      </c>
      <c r="D47" t="s">
        <v>365</v>
      </c>
      <c r="E47" t="s">
        <v>247</v>
      </c>
      <c r="F47" t="n">
        <v>3680.4</v>
      </c>
      <c r="G47" t="n">
        <v>3887.3</v>
      </c>
      <c r="H47" t="n">
        <v>4165.6</v>
      </c>
      <c r="I47" t="n">
        <v>4485.1</v>
      </c>
      <c r="J47" t="n">
        <v>4839.7</v>
      </c>
      <c r="K47" t="n">
        <v>5120.5</v>
      </c>
      <c r="L47" t="n">
        <v>5377.8</v>
      </c>
      <c r="M47" t="n">
        <v>5463.6</v>
      </c>
      <c r="N47" t="n">
        <v>5501</v>
      </c>
      <c r="O47" t="n">
        <v>5448.1</v>
      </c>
      <c r="P47" t="n">
        <v>6310.7</v>
      </c>
      <c r="Q47" t="n">
        <v>6621.7</v>
      </c>
      <c r="R47" t="n">
        <v>7056.5</v>
      </c>
      <c r="S47" t="n">
        <v>7414.7</v>
      </c>
      <c r="T47" t="n">
        <v>7467.6</v>
      </c>
      <c r="U47" t="n">
        <v>8196.7</v>
      </c>
      <c r="V47" t="n">
        <v>9774.1</v>
      </c>
      <c r="W47" t="n">
        <v>10286.2</v>
      </c>
      <c r="X47" t="n">
        <v>9003.5</v>
      </c>
      <c r="Y47" t="n">
        <v>8644.7</v>
      </c>
      <c r="Z47" t="n">
        <v>8149</v>
      </c>
      <c r="AA47" t="n">
        <v>7908.6</v>
      </c>
      <c r="AB47" t="n">
        <v>8029.2</v>
      </c>
      <c r="AC47" t="n">
        <v>7828.8</v>
      </c>
      <c r="AD47" t="n">
        <v>7884.3</v>
      </c>
      <c r="AE47" t="n">
        <v>7955.9</v>
      </c>
      <c r="AF47" t="n">
        <v>8336.8</v>
      </c>
    </row>
    <row r="48">
      <c r="A48" t="s">
        <v>101</v>
      </c>
      <c r="B48" t="s">
        <v>366</v>
      </c>
      <c r="C48" t="s">
        <v>246</v>
      </c>
      <c r="D48" t="s">
        <v>367</v>
      </c>
      <c r="E48" t="s">
        <v>247</v>
      </c>
      <c r="F48" t="n">
        <v>4615.3</v>
      </c>
      <c r="G48" t="n">
        <v>4883.2</v>
      </c>
      <c r="H48" t="n">
        <v>5144.5</v>
      </c>
      <c r="I48" t="n">
        <v>5586.7</v>
      </c>
      <c r="J48" t="n">
        <v>6061.5</v>
      </c>
      <c r="K48" t="n">
        <v>6447</v>
      </c>
      <c r="L48" t="n">
        <v>6791.1</v>
      </c>
      <c r="M48" t="n">
        <v>6975.6</v>
      </c>
      <c r="N48" t="n">
        <v>7066.2</v>
      </c>
      <c r="O48" t="n">
        <v>7086.5</v>
      </c>
      <c r="P48" t="n">
        <v>8043.4</v>
      </c>
      <c r="Q48" t="n">
        <v>8427.2</v>
      </c>
      <c r="R48" t="n">
        <v>8949.8</v>
      </c>
      <c r="S48" t="n">
        <v>9340.1</v>
      </c>
      <c r="T48" t="n">
        <v>9418.6</v>
      </c>
      <c r="U48" t="n">
        <v>10156</v>
      </c>
      <c r="V48" t="n">
        <v>11637.3</v>
      </c>
      <c r="W48" t="n">
        <v>12043</v>
      </c>
      <c r="X48" t="n">
        <v>10573.7</v>
      </c>
      <c r="Y48" t="n">
        <v>10057</v>
      </c>
      <c r="Z48" t="n">
        <v>9487.9</v>
      </c>
      <c r="AA48" t="n">
        <v>9188.6</v>
      </c>
      <c r="AB48" t="n">
        <v>9363.7</v>
      </c>
      <c r="AC48" t="n">
        <v>9189.7</v>
      </c>
      <c r="AD48" t="n">
        <v>9349.2</v>
      </c>
      <c r="AE48" t="n">
        <v>9378.1</v>
      </c>
      <c r="AF48" t="n">
        <v>9816.2</v>
      </c>
    </row>
    <row r="49">
      <c r="A49" t="s">
        <v>101</v>
      </c>
      <c r="B49" t="s">
        <v>368</v>
      </c>
      <c r="C49" t="s">
        <v>246</v>
      </c>
      <c r="D49" t="s">
        <v>369</v>
      </c>
      <c r="E49" t="s">
        <v>247</v>
      </c>
      <c r="F49" t="n">
        <v>251.8</v>
      </c>
      <c r="G49" t="n">
        <v>280.8</v>
      </c>
      <c r="H49" t="n">
        <v>284.8</v>
      </c>
      <c r="I49" t="n">
        <v>313.1</v>
      </c>
      <c r="J49" t="n">
        <v>352.5</v>
      </c>
      <c r="K49" t="n">
        <v>378.1</v>
      </c>
      <c r="L49" t="n">
        <v>401.1</v>
      </c>
      <c r="M49" t="n">
        <v>423.4</v>
      </c>
      <c r="N49" t="n">
        <v>429.8</v>
      </c>
      <c r="O49" t="n">
        <v>428.2</v>
      </c>
      <c r="P49" t="n">
        <v>456</v>
      </c>
      <c r="Q49" t="n">
        <v>483.8</v>
      </c>
      <c r="R49" t="n">
        <v>509.6</v>
      </c>
      <c r="S49" t="n">
        <v>550.7</v>
      </c>
      <c r="T49" t="n">
        <v>552.4</v>
      </c>
      <c r="U49" t="n">
        <v>548</v>
      </c>
      <c r="V49" t="n">
        <v>512</v>
      </c>
      <c r="W49" t="n">
        <v>466.6</v>
      </c>
      <c r="X49" t="n">
        <v>417.1</v>
      </c>
      <c r="Y49" t="n">
        <v>388.5</v>
      </c>
      <c r="Z49" t="n">
        <v>362.7</v>
      </c>
      <c r="AA49" t="n">
        <v>348.6</v>
      </c>
      <c r="AB49" t="n">
        <v>358.6</v>
      </c>
      <c r="AC49" t="n">
        <v>384.7</v>
      </c>
      <c r="AD49" t="n">
        <v>440.4</v>
      </c>
      <c r="AE49" t="n">
        <v>409.3</v>
      </c>
      <c r="AF49" t="n">
        <v>405.7</v>
      </c>
    </row>
    <row r="50">
      <c r="A50" t="s">
        <v>101</v>
      </c>
      <c r="B50" t="s">
        <v>370</v>
      </c>
      <c r="C50" t="s">
        <v>246</v>
      </c>
      <c r="D50" t="s">
        <v>371</v>
      </c>
      <c r="E50" t="s">
        <v>247</v>
      </c>
      <c r="F50" t="n">
        <v>683.1</v>
      </c>
      <c r="G50" t="n">
        <v>715</v>
      </c>
      <c r="H50" t="n">
        <v>694.1</v>
      </c>
      <c r="I50" t="n">
        <v>788.5</v>
      </c>
      <c r="J50" t="n">
        <v>869.4</v>
      </c>
      <c r="K50" t="n">
        <v>948.5</v>
      </c>
      <c r="L50" t="n">
        <v>1012.2</v>
      </c>
      <c r="M50" t="n">
        <v>1088.6</v>
      </c>
      <c r="N50" t="n">
        <v>1135.4</v>
      </c>
      <c r="O50" t="n">
        <v>1210.2</v>
      </c>
      <c r="P50" t="n">
        <v>1276.8</v>
      </c>
      <c r="Q50" t="n">
        <v>1321.8</v>
      </c>
      <c r="R50" t="n">
        <v>1383.6</v>
      </c>
      <c r="S50" t="n">
        <v>1374.7</v>
      </c>
      <c r="T50" t="n">
        <v>1398.5</v>
      </c>
      <c r="U50" t="n">
        <v>1411.3</v>
      </c>
      <c r="V50" t="n">
        <v>1351.1</v>
      </c>
      <c r="W50" t="n">
        <v>1290.2</v>
      </c>
      <c r="X50" t="n">
        <v>1153.1</v>
      </c>
      <c r="Y50" t="n">
        <v>1023.7</v>
      </c>
      <c r="Z50" t="n">
        <v>976.3</v>
      </c>
      <c r="AA50" t="n">
        <v>931.5</v>
      </c>
      <c r="AB50" t="n">
        <v>976</v>
      </c>
      <c r="AC50" t="n">
        <v>976.3</v>
      </c>
      <c r="AD50" t="n">
        <v>1024.5</v>
      </c>
      <c r="AE50" t="n">
        <v>1012.9</v>
      </c>
      <c r="AF50" t="n">
        <v>1073.7</v>
      </c>
    </row>
    <row r="51">
      <c r="A51" t="s">
        <v>101</v>
      </c>
      <c r="B51" t="s">
        <v>372</v>
      </c>
      <c r="C51" t="s">
        <v>246</v>
      </c>
      <c r="D51" t="s">
        <v>373</v>
      </c>
      <c r="E51" t="s">
        <v>247</v>
      </c>
      <c r="F51" t="n">
        <v>473.6</v>
      </c>
      <c r="G51" t="n">
        <v>493.2</v>
      </c>
      <c r="H51" t="n">
        <v>477.3</v>
      </c>
      <c r="I51" t="n">
        <v>539.3</v>
      </c>
      <c r="J51" t="n">
        <v>591.2</v>
      </c>
      <c r="K51" t="n">
        <v>632.4</v>
      </c>
      <c r="L51" t="n">
        <v>668.6</v>
      </c>
      <c r="M51" t="n">
        <v>730.5</v>
      </c>
      <c r="N51" t="n">
        <v>772.1</v>
      </c>
      <c r="O51" t="n">
        <v>823.1</v>
      </c>
      <c r="P51" t="n">
        <v>873.3</v>
      </c>
      <c r="Q51" t="n">
        <v>909.2</v>
      </c>
      <c r="R51" t="n">
        <v>947.5</v>
      </c>
      <c r="S51" t="n">
        <v>941.2</v>
      </c>
      <c r="T51" t="n">
        <v>943.9</v>
      </c>
      <c r="U51" t="n">
        <v>957.1</v>
      </c>
      <c r="V51" t="n">
        <v>913.6</v>
      </c>
      <c r="W51" t="n">
        <v>854.3</v>
      </c>
      <c r="X51" t="n">
        <v>758.2</v>
      </c>
      <c r="Y51" t="n">
        <v>668.8</v>
      </c>
      <c r="Z51" t="n">
        <v>634.3</v>
      </c>
      <c r="AA51" t="n">
        <v>602.4</v>
      </c>
      <c r="AB51" t="n">
        <v>599.5</v>
      </c>
      <c r="AC51" t="n">
        <v>597</v>
      </c>
      <c r="AD51" t="n">
        <v>629.3</v>
      </c>
      <c r="AE51" t="n">
        <v>624.7</v>
      </c>
      <c r="AF51"/>
    </row>
    <row r="52">
      <c r="A52" t="s">
        <v>101</v>
      </c>
      <c r="B52" t="s">
        <v>374</v>
      </c>
      <c r="C52" t="s">
        <v>246</v>
      </c>
      <c r="D52" t="s">
        <v>375</v>
      </c>
      <c r="E52" t="s">
        <v>247</v>
      </c>
      <c r="F52" t="n">
        <v>209.5</v>
      </c>
      <c r="G52" t="n">
        <v>221.8</v>
      </c>
      <c r="H52" t="n">
        <v>216.8</v>
      </c>
      <c r="I52" t="n">
        <v>249.2</v>
      </c>
      <c r="J52" t="n">
        <v>278.2</v>
      </c>
      <c r="K52" t="n">
        <v>316.1</v>
      </c>
      <c r="L52" t="n">
        <v>343.6</v>
      </c>
      <c r="M52" t="n">
        <v>358.1</v>
      </c>
      <c r="N52" t="n">
        <v>363.3</v>
      </c>
      <c r="O52" t="n">
        <v>387.1</v>
      </c>
      <c r="P52" t="n">
        <v>403.5</v>
      </c>
      <c r="Q52" t="n">
        <v>412.6</v>
      </c>
      <c r="R52" t="n">
        <v>436.1</v>
      </c>
      <c r="S52" t="n">
        <v>433.5</v>
      </c>
      <c r="T52" t="n">
        <v>454.6</v>
      </c>
      <c r="U52" t="n">
        <v>454.2</v>
      </c>
      <c r="V52" t="n">
        <v>437.5</v>
      </c>
      <c r="W52" t="n">
        <v>435.9</v>
      </c>
      <c r="X52" t="n">
        <v>394.9</v>
      </c>
      <c r="Y52" t="n">
        <v>354.9</v>
      </c>
      <c r="Z52" t="n">
        <v>342</v>
      </c>
      <c r="AA52" t="n">
        <v>329.1</v>
      </c>
      <c r="AB52" t="n">
        <v>376.5</v>
      </c>
      <c r="AC52" t="n">
        <v>379.3</v>
      </c>
      <c r="AD52" t="n">
        <v>395.2</v>
      </c>
      <c r="AE52" t="n">
        <v>388.2</v>
      </c>
      <c r="AF52"/>
    </row>
    <row r="53">
      <c r="A53" t="s">
        <v>101</v>
      </c>
      <c r="B53" t="s">
        <v>376</v>
      </c>
      <c r="C53" t="s">
        <v>246</v>
      </c>
      <c r="D53" t="s">
        <v>377</v>
      </c>
      <c r="E53" t="s">
        <v>247</v>
      </c>
      <c r="F53" t="n">
        <v>171.2</v>
      </c>
      <c r="G53" t="n">
        <v>211.8</v>
      </c>
      <c r="H53" t="n">
        <v>253.5</v>
      </c>
      <c r="I53" t="n">
        <v>329.1</v>
      </c>
      <c r="J53" t="n">
        <v>381.4</v>
      </c>
      <c r="K53" t="n">
        <v>443.9</v>
      </c>
      <c r="L53" t="n">
        <v>515.6</v>
      </c>
      <c r="M53" t="n">
        <v>544.4</v>
      </c>
      <c r="N53" t="n">
        <v>567</v>
      </c>
      <c r="O53" t="n">
        <v>592.2</v>
      </c>
      <c r="P53" t="n">
        <v>548.5</v>
      </c>
      <c r="Q53" t="n">
        <v>562.6</v>
      </c>
      <c r="R53" t="n">
        <v>625.4</v>
      </c>
      <c r="S53" t="n">
        <v>623.7</v>
      </c>
      <c r="T53" t="n">
        <v>596</v>
      </c>
      <c r="U53" t="n">
        <v>629.2</v>
      </c>
      <c r="V53" t="n">
        <v>598.5</v>
      </c>
      <c r="W53" t="n">
        <v>584.4</v>
      </c>
      <c r="X53" t="n">
        <v>482.4</v>
      </c>
      <c r="Y53" t="n">
        <v>446</v>
      </c>
      <c r="Z53" t="n">
        <v>424.6</v>
      </c>
      <c r="AA53" t="n">
        <v>410.9</v>
      </c>
      <c r="AB53" t="n">
        <v>414</v>
      </c>
      <c r="AC53" t="n">
        <v>416.1</v>
      </c>
      <c r="AD53" t="n">
        <v>425.9</v>
      </c>
      <c r="AE53" t="n">
        <v>396.6</v>
      </c>
      <c r="AF53" t="n">
        <v>397.4</v>
      </c>
    </row>
    <row r="54">
      <c r="A54" t="s">
        <v>101</v>
      </c>
      <c r="B54" t="s">
        <v>378</v>
      </c>
      <c r="C54" t="s">
        <v>246</v>
      </c>
      <c r="D54" t="s">
        <v>379</v>
      </c>
      <c r="E54" t="s">
        <v>247</v>
      </c>
      <c r="F54" t="n">
        <v>456.9</v>
      </c>
      <c r="G54" t="n">
        <v>545.3</v>
      </c>
      <c r="H54" t="n">
        <v>634.2</v>
      </c>
      <c r="I54" t="n">
        <v>807.2</v>
      </c>
      <c r="J54" t="n">
        <v>924.3</v>
      </c>
      <c r="K54" t="n">
        <v>1037.5</v>
      </c>
      <c r="L54" t="n">
        <v>1188</v>
      </c>
      <c r="M54" t="n">
        <v>1300.9</v>
      </c>
      <c r="N54" t="n">
        <v>1365.7</v>
      </c>
      <c r="O54" t="n">
        <v>1449.1</v>
      </c>
      <c r="P54" t="n">
        <v>1433.7</v>
      </c>
      <c r="Q54" t="n">
        <v>1503.1</v>
      </c>
      <c r="R54" t="n">
        <v>1579.8</v>
      </c>
      <c r="S54" t="n">
        <v>1599</v>
      </c>
      <c r="T54" t="n">
        <v>1529</v>
      </c>
      <c r="U54" t="n">
        <v>1558.3</v>
      </c>
      <c r="V54" t="n">
        <v>1494.7</v>
      </c>
      <c r="W54" t="n">
        <v>1354.6</v>
      </c>
      <c r="X54" t="n">
        <v>1177.4</v>
      </c>
      <c r="Y54" t="n">
        <v>1078.5</v>
      </c>
      <c r="Z54" t="n">
        <v>1046.3</v>
      </c>
      <c r="AA54" t="n">
        <v>1032.7</v>
      </c>
      <c r="AB54" t="n">
        <v>1063.7</v>
      </c>
      <c r="AC54" t="n">
        <v>1071</v>
      </c>
      <c r="AD54" t="n">
        <v>1107.9</v>
      </c>
      <c r="AE54" t="n">
        <v>1057.5</v>
      </c>
      <c r="AF54" t="n">
        <v>1076.7</v>
      </c>
    </row>
    <row r="55">
      <c r="A55" t="s">
        <v>101</v>
      </c>
      <c r="B55" t="s">
        <v>380</v>
      </c>
      <c r="C55" t="s">
        <v>246</v>
      </c>
      <c r="D55" t="s">
        <v>381</v>
      </c>
      <c r="E55" t="s">
        <v>247</v>
      </c>
      <c r="F55" t="n">
        <v>285.7</v>
      </c>
      <c r="G55" t="n">
        <v>333.5</v>
      </c>
      <c r="H55" t="n">
        <v>380.7</v>
      </c>
      <c r="I55" t="n">
        <v>478.1</v>
      </c>
      <c r="J55" t="n">
        <v>542.9</v>
      </c>
      <c r="K55" t="n">
        <v>593.6</v>
      </c>
      <c r="L55" t="n">
        <v>672.4</v>
      </c>
      <c r="M55" t="n">
        <v>756.5</v>
      </c>
      <c r="N55" t="n">
        <v>798.7</v>
      </c>
      <c r="O55" t="n">
        <v>856.9</v>
      </c>
      <c r="P55" t="n">
        <v>885.2</v>
      </c>
      <c r="Q55" t="n">
        <v>940.5</v>
      </c>
      <c r="R55" t="n">
        <v>954.4</v>
      </c>
      <c r="S55" t="n">
        <v>975.3</v>
      </c>
      <c r="T55" t="n">
        <v>933</v>
      </c>
      <c r="U55" t="n">
        <v>929.1</v>
      </c>
      <c r="V55" t="n">
        <v>896.2</v>
      </c>
      <c r="W55" t="n">
        <v>770.2</v>
      </c>
      <c r="X55" t="n">
        <v>695</v>
      </c>
      <c r="Y55" t="n">
        <v>632.5</v>
      </c>
      <c r="Z55" t="n">
        <v>621.7</v>
      </c>
      <c r="AA55" t="n">
        <v>621.8</v>
      </c>
      <c r="AB55" t="n">
        <v>649.7</v>
      </c>
      <c r="AC55" t="n">
        <v>654.9</v>
      </c>
      <c r="AD55" t="n">
        <v>682</v>
      </c>
      <c r="AE55" t="n">
        <v>660.9</v>
      </c>
      <c r="AF55" t="n">
        <v>679.3</v>
      </c>
    </row>
    <row r="56">
      <c r="A56" t="s">
        <v>101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101</v>
      </c>
      <c r="B57" t="s">
        <v>384</v>
      </c>
      <c r="C57" t="s">
        <v>246</v>
      </c>
      <c r="D57" t="s">
        <v>385</v>
      </c>
      <c r="E57" t="s">
        <v>247</v>
      </c>
      <c r="F57" t="n">
        <v>78104.2</v>
      </c>
      <c r="G57" t="n">
        <v>83866.8</v>
      </c>
      <c r="H57" t="n">
        <v>87881</v>
      </c>
      <c r="I57" t="n">
        <v>95595.6</v>
      </c>
      <c r="J57" t="n">
        <v>102342.4</v>
      </c>
      <c r="K57" t="n">
        <v>111032.2</v>
      </c>
      <c r="L57" t="n">
        <v>118829.4</v>
      </c>
      <c r="M57" t="n">
        <v>125575.4</v>
      </c>
      <c r="N57" t="n">
        <v>128475.5</v>
      </c>
      <c r="O57" t="n">
        <v>134548.9</v>
      </c>
      <c r="P57" t="n">
        <v>139306.8</v>
      </c>
      <c r="Q57" t="n">
        <v>146149.4</v>
      </c>
      <c r="R57" t="n">
        <v>151735</v>
      </c>
      <c r="S57" t="n">
        <v>159278.4</v>
      </c>
      <c r="T57" t="n">
        <v>154060.3</v>
      </c>
      <c r="U57" t="n">
        <v>157055.4</v>
      </c>
      <c r="V57" t="n">
        <v>151092.9</v>
      </c>
      <c r="W57" t="n">
        <v>148767.2</v>
      </c>
      <c r="X57" t="n">
        <v>139683.7</v>
      </c>
      <c r="Y57" t="n">
        <v>131442.8</v>
      </c>
      <c r="Z57" t="n">
        <v>129423.3</v>
      </c>
      <c r="AA57" t="n">
        <v>128419.6</v>
      </c>
      <c r="AB57" t="n">
        <v>131510.8</v>
      </c>
      <c r="AC57" t="n">
        <v>134534.4</v>
      </c>
      <c r="AD57" t="n">
        <v>141110.7</v>
      </c>
      <c r="AE57" t="n">
        <v>138340.2</v>
      </c>
      <c r="AF57" t="n">
        <v>144016.7</v>
      </c>
    </row>
    <row r="58">
      <c r="A58" t="s">
        <v>101</v>
      </c>
      <c r="B58" t="s">
        <v>386</v>
      </c>
      <c r="C58" t="s">
        <v>246</v>
      </c>
      <c r="D58" t="s">
        <v>387</v>
      </c>
      <c r="E58" t="s">
        <v>247</v>
      </c>
      <c r="F58" t="n">
        <v>78104.2</v>
      </c>
      <c r="G58" t="n">
        <v>83866.8</v>
      </c>
      <c r="H58" t="n">
        <v>87881</v>
      </c>
      <c r="I58" t="n">
        <v>95595.6</v>
      </c>
      <c r="J58" t="n">
        <v>102342.4</v>
      </c>
      <c r="K58" t="n">
        <v>111032.2</v>
      </c>
      <c r="L58" t="n">
        <v>118829.4</v>
      </c>
      <c r="M58" t="n">
        <v>125575.4</v>
      </c>
      <c r="N58" t="n">
        <v>128475.5</v>
      </c>
      <c r="O58" t="n">
        <v>134548.9</v>
      </c>
      <c r="P58" t="n">
        <v>139306.8</v>
      </c>
      <c r="Q58" t="n">
        <v>146149.4</v>
      </c>
      <c r="R58" t="n">
        <v>151735</v>
      </c>
      <c r="S58" t="n">
        <v>159278.4</v>
      </c>
      <c r="T58" t="n">
        <v>154060.3</v>
      </c>
      <c r="U58" t="n">
        <v>157055.4</v>
      </c>
      <c r="V58" t="n">
        <v>151092.9</v>
      </c>
      <c r="W58" t="n">
        <v>148767.2</v>
      </c>
      <c r="X58" t="n">
        <v>139683.7</v>
      </c>
      <c r="Y58" t="n">
        <v>131442.8</v>
      </c>
      <c r="Z58" t="n">
        <v>129423.3</v>
      </c>
      <c r="AA58" t="n">
        <v>128419.6</v>
      </c>
      <c r="AB58" t="n">
        <v>131510.8</v>
      </c>
      <c r="AC58" t="n">
        <v>134534.4</v>
      </c>
      <c r="AD58" t="n">
        <v>141110.7</v>
      </c>
      <c r="AE58" t="n">
        <v>138340.2</v>
      </c>
      <c r="AF58" t="n">
        <v>144016.7</v>
      </c>
    </row>
    <row r="59">
      <c r="A59" t="s">
        <v>101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103</v>
      </c>
      <c r="B2" t="s">
        <v>197</v>
      </c>
      <c r="C2" t="s">
        <v>246</v>
      </c>
      <c r="D2" t="s">
        <v>199</v>
      </c>
      <c r="E2" t="s">
        <v>247</v>
      </c>
      <c r="F2" t="n">
        <v>17878.1</v>
      </c>
      <c r="G2" t="n">
        <v>19013.8</v>
      </c>
      <c r="H2" t="n">
        <v>19922.3</v>
      </c>
      <c r="I2" t="n">
        <v>20756.6</v>
      </c>
      <c r="J2" t="n">
        <v>21485.7</v>
      </c>
      <c r="K2" t="n">
        <v>23139.4</v>
      </c>
      <c r="L2" t="n">
        <v>24673.4</v>
      </c>
      <c r="M2" t="n">
        <v>25648.2</v>
      </c>
      <c r="N2" t="n">
        <v>26177.4</v>
      </c>
      <c r="O2" t="n">
        <v>27739.1</v>
      </c>
      <c r="P2" t="n">
        <v>28832.4</v>
      </c>
      <c r="Q2" t="n">
        <v>30655.6</v>
      </c>
      <c r="R2" t="n">
        <v>32280.4</v>
      </c>
      <c r="S2" t="n">
        <v>33161.5</v>
      </c>
      <c r="T2" t="n">
        <v>33245.8</v>
      </c>
      <c r="U2" t="n">
        <v>33310.6</v>
      </c>
      <c r="V2" t="n">
        <v>33875.2</v>
      </c>
      <c r="W2" t="n">
        <v>34440.1</v>
      </c>
      <c r="X2" t="n">
        <v>33209.2</v>
      </c>
      <c r="Y2" t="n">
        <v>32943.8</v>
      </c>
      <c r="Z2" t="n">
        <v>32907.7</v>
      </c>
      <c r="AA2" t="n">
        <v>32779.5</v>
      </c>
      <c r="AB2" t="n">
        <v>33900.1</v>
      </c>
      <c r="AC2" t="n">
        <v>35626.4</v>
      </c>
      <c r="AD2" t="n">
        <v>37531.5</v>
      </c>
      <c r="AE2" t="n">
        <v>37353.8</v>
      </c>
      <c r="AF2" t="n">
        <v>40170.4</v>
      </c>
    </row>
    <row r="3">
      <c r="A3" t="s">
        <v>103</v>
      </c>
      <c r="B3" t="s">
        <v>276</v>
      </c>
      <c r="C3" t="s">
        <v>246</v>
      </c>
      <c r="D3" t="s">
        <v>277</v>
      </c>
      <c r="E3" t="s">
        <v>247</v>
      </c>
      <c r="F3" t="n">
        <v>2034.1</v>
      </c>
      <c r="G3" t="n">
        <v>2202.3</v>
      </c>
      <c r="H3" t="n">
        <v>2406</v>
      </c>
      <c r="I3" t="n">
        <v>2544.7</v>
      </c>
      <c r="J3" t="n">
        <v>2652.7</v>
      </c>
      <c r="K3" t="n">
        <v>2906.3</v>
      </c>
      <c r="L3" t="n">
        <v>3062.5</v>
      </c>
      <c r="M3" t="n">
        <v>3221.1</v>
      </c>
      <c r="N3" t="n">
        <v>3222.7</v>
      </c>
      <c r="O3" t="n">
        <v>3331</v>
      </c>
      <c r="P3" t="n">
        <v>3527.4</v>
      </c>
      <c r="Q3" t="n">
        <v>3689.9</v>
      </c>
      <c r="R3" t="n">
        <v>3977.9</v>
      </c>
      <c r="S3" t="n">
        <v>4114.5</v>
      </c>
      <c r="T3" t="n">
        <v>3941</v>
      </c>
      <c r="U3" t="n">
        <v>4030.6</v>
      </c>
      <c r="V3" t="n">
        <v>4171.6</v>
      </c>
      <c r="W3" t="n">
        <v>4213.1</v>
      </c>
      <c r="X3" t="n">
        <v>4219</v>
      </c>
      <c r="Y3" t="n">
        <v>4263.9</v>
      </c>
      <c r="Z3" t="n">
        <v>4344.3</v>
      </c>
      <c r="AA3" t="n">
        <v>4525.9</v>
      </c>
      <c r="AB3" t="n">
        <v>4515.9</v>
      </c>
      <c r="AC3" t="n">
        <v>4914</v>
      </c>
      <c r="AD3" t="n">
        <v>4946.3</v>
      </c>
      <c r="AE3" t="n">
        <v>4703.6</v>
      </c>
      <c r="AF3" t="n">
        <v>4778.3</v>
      </c>
    </row>
    <row r="4">
      <c r="A4" t="s">
        <v>103</v>
      </c>
      <c r="B4" t="s">
        <v>278</v>
      </c>
      <c r="C4" t="s">
        <v>246</v>
      </c>
      <c r="D4" t="s">
        <v>279</v>
      </c>
      <c r="E4" t="s">
        <v>247</v>
      </c>
      <c r="F4" t="n">
        <v>161731.5</v>
      </c>
      <c r="G4" t="n">
        <v>165071.6</v>
      </c>
      <c r="H4" t="n">
        <v>166644</v>
      </c>
      <c r="I4" t="n">
        <v>170249.6</v>
      </c>
      <c r="J4" t="n">
        <v>173148.5</v>
      </c>
      <c r="K4" t="n">
        <v>183142.1</v>
      </c>
      <c r="L4" t="n">
        <v>191974.7</v>
      </c>
      <c r="M4" t="n">
        <v>199505.1</v>
      </c>
      <c r="N4" t="n">
        <v>204064.2</v>
      </c>
      <c r="O4" t="n">
        <v>210968.9</v>
      </c>
      <c r="P4" t="n">
        <v>214362.4</v>
      </c>
      <c r="Q4" t="n">
        <v>226583.6</v>
      </c>
      <c r="R4" t="n">
        <v>237973.9</v>
      </c>
      <c r="S4" t="n">
        <v>249382.2</v>
      </c>
      <c r="T4" t="n">
        <v>245322.9</v>
      </c>
      <c r="U4" t="n">
        <v>248380.2</v>
      </c>
      <c r="V4" t="n">
        <v>254719.7</v>
      </c>
      <c r="W4" t="n">
        <v>259380.9</v>
      </c>
      <c r="X4" t="n">
        <v>253626.6</v>
      </c>
      <c r="Y4" t="n">
        <v>254190.9</v>
      </c>
      <c r="Z4" t="n">
        <v>258123.8</v>
      </c>
      <c r="AA4" t="n">
        <v>258508.6</v>
      </c>
      <c r="AB4" t="n">
        <v>266031.8</v>
      </c>
      <c r="AC4" t="n">
        <v>273232</v>
      </c>
      <c r="AD4" t="n">
        <v>282462</v>
      </c>
      <c r="AE4" t="n">
        <v>278596.9</v>
      </c>
      <c r="AF4" t="n">
        <v>287145.3</v>
      </c>
    </row>
    <row r="5">
      <c r="A5" t="s">
        <v>103</v>
      </c>
      <c r="B5" t="s">
        <v>280</v>
      </c>
      <c r="C5" t="s">
        <v>246</v>
      </c>
      <c r="D5" t="s">
        <v>281</v>
      </c>
      <c r="E5" t="s">
        <v>247</v>
      </c>
      <c r="F5" t="n">
        <v>20803.5</v>
      </c>
      <c r="G5" t="n">
        <v>21814.1</v>
      </c>
      <c r="H5" t="n">
        <v>22718.5</v>
      </c>
      <c r="I5" t="n">
        <v>23041.4</v>
      </c>
      <c r="J5" t="n">
        <v>24337.7</v>
      </c>
      <c r="K5" t="n">
        <v>26044.2</v>
      </c>
      <c r="L5" t="n">
        <v>27465.9</v>
      </c>
      <c r="M5" t="n">
        <v>28703.2</v>
      </c>
      <c r="N5" t="n">
        <v>29121.7</v>
      </c>
      <c r="O5" t="n">
        <v>30639.6</v>
      </c>
      <c r="P5" t="n">
        <v>31016.9</v>
      </c>
      <c r="Q5" t="n">
        <v>33102.8</v>
      </c>
      <c r="R5" t="n">
        <v>34577.2</v>
      </c>
      <c r="S5" t="n">
        <v>36148.6</v>
      </c>
      <c r="T5" t="n">
        <v>35181</v>
      </c>
      <c r="U5" t="n">
        <v>35787.6</v>
      </c>
      <c r="V5" t="n">
        <v>36652.7</v>
      </c>
      <c r="W5" t="n">
        <v>37446.3</v>
      </c>
      <c r="X5" t="n">
        <v>36713.6</v>
      </c>
      <c r="Y5" t="n">
        <v>36698.7</v>
      </c>
      <c r="Z5" t="n">
        <v>36664</v>
      </c>
      <c r="AA5" t="n">
        <v>36373.7</v>
      </c>
      <c r="AB5" t="n">
        <v>37209.4</v>
      </c>
      <c r="AC5" t="n">
        <v>39061.9</v>
      </c>
      <c r="AD5" t="n">
        <v>40370.1</v>
      </c>
      <c r="AE5" t="n">
        <v>39523.7</v>
      </c>
      <c r="AF5"/>
    </row>
    <row r="6">
      <c r="A6" t="s">
        <v>103</v>
      </c>
      <c r="B6" t="s">
        <v>282</v>
      </c>
      <c r="C6" t="s">
        <v>246</v>
      </c>
      <c r="D6" t="s">
        <v>283</v>
      </c>
      <c r="E6" t="s">
        <v>247</v>
      </c>
      <c r="F6" t="n">
        <v>7602.3</v>
      </c>
      <c r="G6" t="n">
        <v>7920.5</v>
      </c>
      <c r="H6" t="n">
        <v>7988.4</v>
      </c>
      <c r="I6" t="n">
        <v>8519.2</v>
      </c>
      <c r="J6" t="n">
        <v>8614.2</v>
      </c>
      <c r="K6" t="n">
        <v>9107.6</v>
      </c>
      <c r="L6" t="n">
        <v>9561.3</v>
      </c>
      <c r="M6" t="n">
        <v>10161.9</v>
      </c>
      <c r="N6" t="n">
        <v>10662.3</v>
      </c>
      <c r="O6" t="n">
        <v>11140.9</v>
      </c>
      <c r="P6" t="n">
        <v>11456.9</v>
      </c>
      <c r="Q6" t="n">
        <v>12005</v>
      </c>
      <c r="R6" t="n">
        <v>12538.4</v>
      </c>
      <c r="S6" t="n">
        <v>13248.3</v>
      </c>
      <c r="T6" t="n">
        <v>13136</v>
      </c>
      <c r="U6" t="n">
        <v>13338</v>
      </c>
      <c r="V6" t="n">
        <v>14143.8</v>
      </c>
      <c r="W6" t="n">
        <v>14557</v>
      </c>
      <c r="X6" t="n">
        <v>14492.7</v>
      </c>
      <c r="Y6" t="n">
        <v>14975.5</v>
      </c>
      <c r="Z6" t="n">
        <v>15543.6</v>
      </c>
      <c r="AA6" t="n">
        <v>15343.5</v>
      </c>
      <c r="AB6" t="n">
        <v>15478.3</v>
      </c>
      <c r="AC6" t="n">
        <v>15096.1</v>
      </c>
      <c r="AD6" t="n">
        <v>15134</v>
      </c>
      <c r="AE6" t="n">
        <v>14345.3</v>
      </c>
      <c r="AF6"/>
    </row>
    <row r="7">
      <c r="A7" t="s">
        <v>103</v>
      </c>
      <c r="B7" t="s">
        <v>284</v>
      </c>
      <c r="C7" t="s">
        <v>246</v>
      </c>
      <c r="D7" t="s">
        <v>285</v>
      </c>
      <c r="E7" t="s">
        <v>247</v>
      </c>
      <c r="F7" t="n">
        <v>18197.1</v>
      </c>
      <c r="G7" t="n">
        <v>17821</v>
      </c>
      <c r="H7" t="n">
        <v>17106.2</v>
      </c>
      <c r="I7" t="n">
        <v>16883.8</v>
      </c>
      <c r="J7" t="n">
        <v>16431.9</v>
      </c>
      <c r="K7" t="n">
        <v>16687.6</v>
      </c>
      <c r="L7" t="n">
        <v>16911.3</v>
      </c>
      <c r="M7" t="n">
        <v>16822.8</v>
      </c>
      <c r="N7" t="n">
        <v>16606.9</v>
      </c>
      <c r="O7" t="n">
        <v>16595.6</v>
      </c>
      <c r="P7" t="n">
        <v>16556.2</v>
      </c>
      <c r="Q7" t="n">
        <v>17071.8</v>
      </c>
      <c r="R7" t="n">
        <v>17543.2</v>
      </c>
      <c r="S7" t="n">
        <v>17998.4</v>
      </c>
      <c r="T7" t="n">
        <v>17263.8</v>
      </c>
      <c r="U7" t="n">
        <v>17409.5</v>
      </c>
      <c r="V7" t="n">
        <v>17753.4</v>
      </c>
      <c r="W7" t="n">
        <v>18031.7</v>
      </c>
      <c r="X7" t="n">
        <v>17450.8</v>
      </c>
      <c r="Y7" t="n">
        <v>17254.7</v>
      </c>
      <c r="Z7" t="n">
        <v>17474.5</v>
      </c>
      <c r="AA7" t="n">
        <v>17344.3</v>
      </c>
      <c r="AB7" t="n">
        <v>17918.8</v>
      </c>
      <c r="AC7" t="n">
        <v>18813.8</v>
      </c>
      <c r="AD7" t="n">
        <v>19274.7</v>
      </c>
      <c r="AE7" t="n">
        <v>18883.9</v>
      </c>
      <c r="AF7"/>
    </row>
    <row r="8">
      <c r="A8" t="s">
        <v>103</v>
      </c>
      <c r="B8" t="s">
        <v>286</v>
      </c>
      <c r="C8" t="s">
        <v>246</v>
      </c>
      <c r="D8" t="s">
        <v>287</v>
      </c>
      <c r="E8" t="s">
        <v>247</v>
      </c>
      <c r="F8" t="n">
        <v>5443.7</v>
      </c>
      <c r="G8" t="n">
        <v>5793.3</v>
      </c>
      <c r="H8" t="n">
        <v>5774.6</v>
      </c>
      <c r="I8" t="n">
        <v>6359.9</v>
      </c>
      <c r="J8" t="n">
        <v>6270.8</v>
      </c>
      <c r="K8" t="n">
        <v>6846.2</v>
      </c>
      <c r="L8" t="n">
        <v>7559.9</v>
      </c>
      <c r="M8" t="n">
        <v>7821.5</v>
      </c>
      <c r="N8" t="n">
        <v>7882.3</v>
      </c>
      <c r="O8" t="n">
        <v>7922.5</v>
      </c>
      <c r="P8" t="n">
        <v>7919.6</v>
      </c>
      <c r="Q8" t="n">
        <v>8235.5</v>
      </c>
      <c r="R8" t="n">
        <v>8748.5</v>
      </c>
      <c r="S8" t="n">
        <v>9064.1</v>
      </c>
      <c r="T8" t="n">
        <v>9143.5</v>
      </c>
      <c r="U8" t="n">
        <v>9301.5</v>
      </c>
      <c r="V8" t="n">
        <v>9550.5</v>
      </c>
      <c r="W8" t="n">
        <v>9817.7</v>
      </c>
      <c r="X8" t="n">
        <v>9539.5</v>
      </c>
      <c r="Y8" t="n">
        <v>9400.7</v>
      </c>
      <c r="Z8" t="n">
        <v>9036.3</v>
      </c>
      <c r="AA8" t="n">
        <v>8711.3</v>
      </c>
      <c r="AB8" t="n">
        <v>8663.5</v>
      </c>
      <c r="AC8" t="n">
        <v>8343.3</v>
      </c>
      <c r="AD8" t="n">
        <v>8471.3</v>
      </c>
      <c r="AE8" t="n">
        <v>8017.2</v>
      </c>
      <c r="AF8"/>
    </row>
    <row r="9">
      <c r="A9" t="s">
        <v>103</v>
      </c>
      <c r="B9" t="s">
        <v>288</v>
      </c>
      <c r="C9" t="s">
        <v>246</v>
      </c>
      <c r="D9" t="s">
        <v>289</v>
      </c>
      <c r="E9" t="s">
        <v>247</v>
      </c>
      <c r="F9" t="n">
        <v>6093</v>
      </c>
      <c r="G9" t="n">
        <v>6548.9</v>
      </c>
      <c r="H9" t="n">
        <v>7492.1</v>
      </c>
      <c r="I9" t="n">
        <v>8575.1</v>
      </c>
      <c r="J9" t="n">
        <v>9605.6</v>
      </c>
      <c r="K9" t="n">
        <v>10817.6</v>
      </c>
      <c r="L9" t="n">
        <v>12041.4</v>
      </c>
      <c r="M9" t="n">
        <v>12965.5</v>
      </c>
      <c r="N9" t="n">
        <v>14090.1</v>
      </c>
      <c r="O9" t="n">
        <v>14951.2</v>
      </c>
      <c r="P9" t="n">
        <v>15458.4</v>
      </c>
      <c r="Q9" t="n">
        <v>16876.6</v>
      </c>
      <c r="R9" t="n">
        <v>18116.9</v>
      </c>
      <c r="S9" t="n">
        <v>18887.2</v>
      </c>
      <c r="T9" t="n">
        <v>18783.7</v>
      </c>
      <c r="U9" t="n">
        <v>19165.6</v>
      </c>
      <c r="V9" t="n">
        <v>19542.7</v>
      </c>
      <c r="W9" t="n">
        <v>19647.5</v>
      </c>
      <c r="X9" t="n">
        <v>19263</v>
      </c>
      <c r="Y9" t="n">
        <v>19583.9</v>
      </c>
      <c r="Z9" t="n">
        <v>19694</v>
      </c>
      <c r="AA9" t="n">
        <v>19433.3</v>
      </c>
      <c r="AB9" t="n">
        <v>19301.1</v>
      </c>
      <c r="AC9" t="n">
        <v>19282.8</v>
      </c>
      <c r="AD9" t="n">
        <v>19458.5</v>
      </c>
      <c r="AE9" t="n">
        <v>19068</v>
      </c>
      <c r="AF9"/>
    </row>
    <row r="10">
      <c r="A10" t="s">
        <v>103</v>
      </c>
      <c r="B10" t="s">
        <v>290</v>
      </c>
      <c r="C10" t="s">
        <v>246</v>
      </c>
      <c r="D10" t="s">
        <v>291</v>
      </c>
      <c r="E10" t="s">
        <v>247</v>
      </c>
      <c r="F10" t="n">
        <v>10268.7</v>
      </c>
      <c r="G10" t="n">
        <v>10854.1</v>
      </c>
      <c r="H10" t="n">
        <v>12002.9</v>
      </c>
      <c r="I10" t="n">
        <v>13631.3</v>
      </c>
      <c r="J10" t="n">
        <v>14997.8</v>
      </c>
      <c r="K10" t="n">
        <v>16554.4</v>
      </c>
      <c r="L10" t="n">
        <v>17940.5</v>
      </c>
      <c r="M10" t="n">
        <v>19209.6</v>
      </c>
      <c r="N10" t="n">
        <v>20580.6</v>
      </c>
      <c r="O10" t="n">
        <v>21596.3</v>
      </c>
      <c r="P10" t="n">
        <v>22217</v>
      </c>
      <c r="Q10" t="n">
        <v>23993.8</v>
      </c>
      <c r="R10" t="n">
        <v>25497.5</v>
      </c>
      <c r="S10" t="n">
        <v>26345</v>
      </c>
      <c r="T10" t="n">
        <v>26539.4</v>
      </c>
      <c r="U10" t="n">
        <v>26973.6</v>
      </c>
      <c r="V10" t="n">
        <v>27445.3</v>
      </c>
      <c r="W10" t="n">
        <v>27760.8</v>
      </c>
      <c r="X10" t="n">
        <v>27025.3</v>
      </c>
      <c r="Y10" t="n">
        <v>27609.7</v>
      </c>
      <c r="Z10" t="n">
        <v>28068.5</v>
      </c>
      <c r="AA10" t="n">
        <v>28634.5</v>
      </c>
      <c r="AB10" t="n">
        <v>29483.8</v>
      </c>
      <c r="AC10" t="n">
        <v>29987.8</v>
      </c>
      <c r="AD10" t="n">
        <v>30646.1</v>
      </c>
      <c r="AE10" t="n">
        <v>30718.4</v>
      </c>
      <c r="AF10"/>
    </row>
    <row r="11">
      <c r="A11" t="s">
        <v>103</v>
      </c>
      <c r="B11" t="s">
        <v>292</v>
      </c>
      <c r="C11" t="s">
        <v>246</v>
      </c>
      <c r="D11" t="s">
        <v>293</v>
      </c>
      <c r="E11" t="s">
        <v>247</v>
      </c>
      <c r="F11" t="n">
        <v>4175.7</v>
      </c>
      <c r="G11" t="n">
        <v>4305.2</v>
      </c>
      <c r="H11" t="n">
        <v>4510.8</v>
      </c>
      <c r="I11" t="n">
        <v>5056.2</v>
      </c>
      <c r="J11" t="n">
        <v>5392.2</v>
      </c>
      <c r="K11" t="n">
        <v>5736.8</v>
      </c>
      <c r="L11" t="n">
        <v>5899.1</v>
      </c>
      <c r="M11" t="n">
        <v>6244.1</v>
      </c>
      <c r="N11" t="n">
        <v>6490.5</v>
      </c>
      <c r="O11" t="n">
        <v>6645.1</v>
      </c>
      <c r="P11" t="n">
        <v>6758.6</v>
      </c>
      <c r="Q11" t="n">
        <v>7117.2</v>
      </c>
      <c r="R11" t="n">
        <v>7380.6</v>
      </c>
      <c r="S11" t="n">
        <v>7457.8</v>
      </c>
      <c r="T11" t="n">
        <v>7755.7</v>
      </c>
      <c r="U11" t="n">
        <v>7808</v>
      </c>
      <c r="V11" t="n">
        <v>7902.6</v>
      </c>
      <c r="W11" t="n">
        <v>8113.3</v>
      </c>
      <c r="X11" t="n">
        <v>7762.3</v>
      </c>
      <c r="Y11" t="n">
        <v>8025.8</v>
      </c>
      <c r="Z11" t="n">
        <v>8374.5</v>
      </c>
      <c r="AA11" t="n">
        <v>9201.2</v>
      </c>
      <c r="AB11" t="n">
        <v>10182.7</v>
      </c>
      <c r="AC11" t="n">
        <v>10705</v>
      </c>
      <c r="AD11" t="n">
        <v>11187.6</v>
      </c>
      <c r="AE11" t="n">
        <v>11650.4</v>
      </c>
      <c r="AF11"/>
    </row>
    <row r="12">
      <c r="A12" t="s">
        <v>103</v>
      </c>
      <c r="B12" t="s">
        <v>294</v>
      </c>
      <c r="C12" t="s">
        <v>246</v>
      </c>
      <c r="D12" t="s">
        <v>295</v>
      </c>
      <c r="E12" t="s">
        <v>247</v>
      </c>
      <c r="F12" t="n">
        <v>28933.3</v>
      </c>
      <c r="G12" t="n">
        <v>27722.5</v>
      </c>
      <c r="H12" t="n">
        <v>26176.2</v>
      </c>
      <c r="I12" t="n">
        <v>24775.1</v>
      </c>
      <c r="J12" t="n">
        <v>23913.6</v>
      </c>
      <c r="K12" t="n">
        <v>24093.9</v>
      </c>
      <c r="L12" t="n">
        <v>24063.9</v>
      </c>
      <c r="M12" t="n">
        <v>23807.5</v>
      </c>
      <c r="N12" t="n">
        <v>24065.2</v>
      </c>
      <c r="O12" t="n">
        <v>24643.9</v>
      </c>
      <c r="P12" t="n">
        <v>24551.4</v>
      </c>
      <c r="Q12" t="n">
        <v>25969.1</v>
      </c>
      <c r="R12" t="n">
        <v>27124</v>
      </c>
      <c r="S12" t="n">
        <v>28832.8</v>
      </c>
      <c r="T12" t="n">
        <v>27767.2</v>
      </c>
      <c r="U12" t="n">
        <v>28221.7</v>
      </c>
      <c r="V12" t="n">
        <v>29018.8</v>
      </c>
      <c r="W12" t="n">
        <v>29540.3</v>
      </c>
      <c r="X12" t="n">
        <v>28838.6</v>
      </c>
      <c r="Y12" t="n">
        <v>28738.5</v>
      </c>
      <c r="Z12" t="n">
        <v>29187.6</v>
      </c>
      <c r="AA12" t="n">
        <v>29394.4</v>
      </c>
      <c r="AB12" t="n">
        <v>30869.1</v>
      </c>
      <c r="AC12" t="n">
        <v>32242.4</v>
      </c>
      <c r="AD12" t="n">
        <v>33588.9</v>
      </c>
      <c r="AE12" t="n">
        <v>33449.6</v>
      </c>
      <c r="AF12"/>
    </row>
    <row r="13">
      <c r="A13" t="s">
        <v>103</v>
      </c>
      <c r="B13" t="s">
        <v>296</v>
      </c>
      <c r="C13" t="s">
        <v>246</v>
      </c>
      <c r="D13" t="s">
        <v>297</v>
      </c>
      <c r="E13" t="s">
        <v>247</v>
      </c>
      <c r="F13" t="n">
        <v>23606.1</v>
      </c>
      <c r="G13" t="n">
        <v>24945.4</v>
      </c>
      <c r="H13" t="n">
        <v>25490.4</v>
      </c>
      <c r="I13" t="n">
        <v>26669.2</v>
      </c>
      <c r="J13" t="n">
        <v>27308.2</v>
      </c>
      <c r="K13" t="n">
        <v>29110.2</v>
      </c>
      <c r="L13" t="n">
        <v>30902</v>
      </c>
      <c r="M13" t="n">
        <v>32952.3</v>
      </c>
      <c r="N13" t="n">
        <v>34221.3</v>
      </c>
      <c r="O13" t="n">
        <v>35731.9</v>
      </c>
      <c r="P13" t="n">
        <v>36255.7</v>
      </c>
      <c r="Q13" t="n">
        <v>37746.5</v>
      </c>
      <c r="R13" t="n">
        <v>40118.9</v>
      </c>
      <c r="S13" t="n">
        <v>42149.1</v>
      </c>
      <c r="T13" t="n">
        <v>41564.9</v>
      </c>
      <c r="U13" t="n">
        <v>41935</v>
      </c>
      <c r="V13" t="n">
        <v>42986.3</v>
      </c>
      <c r="W13" t="n">
        <v>43806.9</v>
      </c>
      <c r="X13" t="n">
        <v>42293.9</v>
      </c>
      <c r="Y13" t="n">
        <v>41955.5</v>
      </c>
      <c r="Z13" t="n">
        <v>42559.6</v>
      </c>
      <c r="AA13" t="n">
        <v>42051.6</v>
      </c>
      <c r="AB13" t="n">
        <v>42727.9</v>
      </c>
      <c r="AC13" t="n">
        <v>43503.1</v>
      </c>
      <c r="AD13" t="n">
        <v>45856.9</v>
      </c>
      <c r="AE13" t="n">
        <v>45101.8</v>
      </c>
      <c r="AF13"/>
    </row>
    <row r="14">
      <c r="A14" t="s">
        <v>103</v>
      </c>
      <c r="B14" t="s">
        <v>298</v>
      </c>
      <c r="C14" t="s">
        <v>246</v>
      </c>
      <c r="D14" t="s">
        <v>299</v>
      </c>
      <c r="E14" t="s">
        <v>247</v>
      </c>
      <c r="F14" t="n">
        <v>4567.7</v>
      </c>
      <c r="G14" t="n">
        <v>4891.9</v>
      </c>
      <c r="H14" t="n">
        <v>4866</v>
      </c>
      <c r="I14" t="n">
        <v>5519.2</v>
      </c>
      <c r="J14" t="n">
        <v>5787.4</v>
      </c>
      <c r="K14" t="n">
        <v>6110.3</v>
      </c>
      <c r="L14" t="n">
        <v>6737</v>
      </c>
      <c r="M14" t="n">
        <v>6716.9</v>
      </c>
      <c r="N14" t="n">
        <v>6723.6</v>
      </c>
      <c r="O14" t="n">
        <v>6872.8</v>
      </c>
      <c r="P14" t="n">
        <v>6975.5</v>
      </c>
      <c r="Q14" t="n">
        <v>7399.6</v>
      </c>
      <c r="R14" t="n">
        <v>7733.2</v>
      </c>
      <c r="S14" t="n">
        <v>7740.3</v>
      </c>
      <c r="T14" t="n">
        <v>7710</v>
      </c>
      <c r="U14" t="n">
        <v>7698.1</v>
      </c>
      <c r="V14" t="n">
        <v>7867.5</v>
      </c>
      <c r="W14" t="n">
        <v>7944.2</v>
      </c>
      <c r="X14" t="n">
        <v>7433.6</v>
      </c>
      <c r="Y14" t="n">
        <v>7124.2</v>
      </c>
      <c r="Z14" t="n">
        <v>6833</v>
      </c>
      <c r="AA14" t="n">
        <v>6513.4</v>
      </c>
      <c r="AB14" t="n">
        <v>6715.7</v>
      </c>
      <c r="AC14" t="n">
        <v>6920.1</v>
      </c>
      <c r="AD14" t="n">
        <v>7159.2</v>
      </c>
      <c r="AE14" t="n">
        <v>7245.2</v>
      </c>
      <c r="AF14"/>
    </row>
    <row r="15">
      <c r="A15" t="s">
        <v>103</v>
      </c>
      <c r="B15" t="s">
        <v>300</v>
      </c>
      <c r="C15" t="s">
        <v>246</v>
      </c>
      <c r="D15" t="s">
        <v>301</v>
      </c>
      <c r="E15" t="s">
        <v>247</v>
      </c>
      <c r="F15" t="n">
        <v>9619.6</v>
      </c>
      <c r="G15" t="n">
        <v>10653.2</v>
      </c>
      <c r="H15" t="n">
        <v>10966.6</v>
      </c>
      <c r="I15" t="n">
        <v>11957.5</v>
      </c>
      <c r="J15" t="n">
        <v>12564.3</v>
      </c>
      <c r="K15" t="n">
        <v>13573.9</v>
      </c>
      <c r="L15" t="n">
        <v>14846.2</v>
      </c>
      <c r="M15" t="n">
        <v>15300.3</v>
      </c>
      <c r="N15" t="n">
        <v>15580.7</v>
      </c>
      <c r="O15" t="n">
        <v>16266.5</v>
      </c>
      <c r="P15" t="n">
        <v>16693.9</v>
      </c>
      <c r="Q15" t="n">
        <v>17775.3</v>
      </c>
      <c r="R15" t="n">
        <v>18828.5</v>
      </c>
      <c r="S15" t="n">
        <v>19414.2</v>
      </c>
      <c r="T15" t="n">
        <v>19095.1</v>
      </c>
      <c r="U15" t="n">
        <v>19261.7</v>
      </c>
      <c r="V15" t="n">
        <v>19744.1</v>
      </c>
      <c r="W15" t="n">
        <v>19741.7</v>
      </c>
      <c r="X15" t="n">
        <v>18571</v>
      </c>
      <c r="Y15" t="n">
        <v>17830.3</v>
      </c>
      <c r="Z15" t="n">
        <v>17256.2</v>
      </c>
      <c r="AA15" t="n">
        <v>16617.7</v>
      </c>
      <c r="AB15" t="n">
        <v>16986.5</v>
      </c>
      <c r="AC15" t="n">
        <v>17192.4</v>
      </c>
      <c r="AD15" t="n">
        <v>17527.8</v>
      </c>
      <c r="AE15" t="n">
        <v>17304.8</v>
      </c>
      <c r="AF15"/>
    </row>
    <row r="16">
      <c r="A16" t="s">
        <v>103</v>
      </c>
      <c r="B16" t="s">
        <v>302</v>
      </c>
      <c r="C16" t="s">
        <v>246</v>
      </c>
      <c r="D16" t="s">
        <v>303</v>
      </c>
      <c r="E16" t="s">
        <v>247</v>
      </c>
      <c r="F16" t="n">
        <v>5051.9</v>
      </c>
      <c r="G16" t="n">
        <v>5761.3</v>
      </c>
      <c r="H16" t="n">
        <v>6100.6</v>
      </c>
      <c r="I16" t="n">
        <v>6438.3</v>
      </c>
      <c r="J16" t="n">
        <v>6776.9</v>
      </c>
      <c r="K16" t="n">
        <v>7463.6</v>
      </c>
      <c r="L16" t="n">
        <v>8109.2</v>
      </c>
      <c r="M16" t="n">
        <v>8583.4</v>
      </c>
      <c r="N16" t="n">
        <v>8857.1</v>
      </c>
      <c r="O16" t="n">
        <v>9393.7</v>
      </c>
      <c r="P16" t="n">
        <v>9718.4</v>
      </c>
      <c r="Q16" t="n">
        <v>10375.7</v>
      </c>
      <c r="R16" t="n">
        <v>11095.3</v>
      </c>
      <c r="S16" t="n">
        <v>11673.9</v>
      </c>
      <c r="T16" t="n">
        <v>11385.1</v>
      </c>
      <c r="U16" t="n">
        <v>11563.6</v>
      </c>
      <c r="V16" t="n">
        <v>11876.6</v>
      </c>
      <c r="W16" t="n">
        <v>11797.5</v>
      </c>
      <c r="X16" t="n">
        <v>11137.4</v>
      </c>
      <c r="Y16" t="n">
        <v>10706.1</v>
      </c>
      <c r="Z16" t="n">
        <v>10423.2</v>
      </c>
      <c r="AA16" t="n">
        <v>10104.3</v>
      </c>
      <c r="AB16" t="n">
        <v>10270.8</v>
      </c>
      <c r="AC16" t="n">
        <v>10272.3</v>
      </c>
      <c r="AD16" t="n">
        <v>10368.6</v>
      </c>
      <c r="AE16" t="n">
        <v>10059.6</v>
      </c>
      <c r="AF16"/>
    </row>
    <row r="17">
      <c r="A17" t="s">
        <v>103</v>
      </c>
      <c r="B17" t="s">
        <v>304</v>
      </c>
      <c r="C17" t="s">
        <v>246</v>
      </c>
      <c r="D17" t="s">
        <v>305</v>
      </c>
      <c r="E17" t="s">
        <v>247</v>
      </c>
      <c r="F17" t="n">
        <v>12638.7</v>
      </c>
      <c r="G17" t="n">
        <v>12701.7</v>
      </c>
      <c r="H17" t="n">
        <v>13048.8</v>
      </c>
      <c r="I17" t="n">
        <v>13050.6</v>
      </c>
      <c r="J17" t="n">
        <v>13363.4</v>
      </c>
      <c r="K17" t="n">
        <v>14367.3</v>
      </c>
      <c r="L17" t="n">
        <v>14992.2</v>
      </c>
      <c r="M17" t="n">
        <v>15753.3</v>
      </c>
      <c r="N17" t="n">
        <v>15899.9</v>
      </c>
      <c r="O17" t="n">
        <v>16422</v>
      </c>
      <c r="P17" t="n">
        <v>16869</v>
      </c>
      <c r="Q17" t="n">
        <v>17731</v>
      </c>
      <c r="R17" t="n">
        <v>18684.8</v>
      </c>
      <c r="S17" t="n">
        <v>19894.6</v>
      </c>
      <c r="T17" t="n">
        <v>19391.7</v>
      </c>
      <c r="U17" t="n">
        <v>19638.4</v>
      </c>
      <c r="V17" t="n">
        <v>20103.1</v>
      </c>
      <c r="W17" t="n">
        <v>20265.5</v>
      </c>
      <c r="X17" t="n">
        <v>19953.2</v>
      </c>
      <c r="Y17" t="n">
        <v>20011.1</v>
      </c>
      <c r="Z17" t="n">
        <v>20472.7</v>
      </c>
      <c r="AA17" t="n">
        <v>20588.7</v>
      </c>
      <c r="AB17" t="n">
        <v>21593.5</v>
      </c>
      <c r="AC17" t="n">
        <v>22890.7</v>
      </c>
      <c r="AD17" t="n">
        <v>23398</v>
      </c>
      <c r="AE17" t="n">
        <v>23101.2</v>
      </c>
      <c r="AF17"/>
    </row>
    <row r="18">
      <c r="A18" t="s">
        <v>103</v>
      </c>
      <c r="B18" t="s">
        <v>306</v>
      </c>
      <c r="C18" t="s">
        <v>246</v>
      </c>
      <c r="D18" t="s">
        <v>307</v>
      </c>
      <c r="E18" t="s">
        <v>247</v>
      </c>
      <c r="F18" t="n">
        <v>17614.6</v>
      </c>
      <c r="G18" t="n">
        <v>17654.9</v>
      </c>
      <c r="H18" t="n">
        <v>17929.1</v>
      </c>
      <c r="I18" t="n">
        <v>17706.5</v>
      </c>
      <c r="J18" t="n">
        <v>17713.8</v>
      </c>
      <c r="K18" t="n">
        <v>18618.8</v>
      </c>
      <c r="L18" t="n">
        <v>19176.5</v>
      </c>
      <c r="M18" t="n">
        <v>19897.3</v>
      </c>
      <c r="N18" t="n">
        <v>20033.1</v>
      </c>
      <c r="O18" t="n">
        <v>20285.3</v>
      </c>
      <c r="P18" t="n">
        <v>20978.3</v>
      </c>
      <c r="Q18" t="n">
        <v>22549.3</v>
      </c>
      <c r="R18" t="n">
        <v>23314.8</v>
      </c>
      <c r="S18" t="n">
        <v>24937.9</v>
      </c>
      <c r="T18" t="n">
        <v>24874.8</v>
      </c>
      <c r="U18" t="n">
        <v>25051.7</v>
      </c>
      <c r="V18" t="n">
        <v>25625.9</v>
      </c>
      <c r="W18" t="n">
        <v>26684.8</v>
      </c>
      <c r="X18" t="n">
        <v>27503.4</v>
      </c>
      <c r="Y18" t="n">
        <v>28704.4</v>
      </c>
      <c r="Z18" t="n">
        <v>30842.7</v>
      </c>
      <c r="AA18" t="n">
        <v>32700.3</v>
      </c>
      <c r="AB18" t="n">
        <v>34135.2</v>
      </c>
      <c r="AC18" t="n">
        <v>34922.4</v>
      </c>
      <c r="AD18" t="n">
        <v>36407.9</v>
      </c>
      <c r="AE18" t="n">
        <v>36496.7</v>
      </c>
      <c r="AF18"/>
    </row>
    <row r="19">
      <c r="A19" t="s">
        <v>103</v>
      </c>
      <c r="B19" t="s">
        <v>308</v>
      </c>
      <c r="C19" t="s">
        <v>246</v>
      </c>
      <c r="D19" t="s">
        <v>309</v>
      </c>
      <c r="E19" t="s">
        <v>247</v>
      </c>
      <c r="F19" t="n">
        <v>7003.9</v>
      </c>
      <c r="G19" t="n">
        <v>7190.9</v>
      </c>
      <c r="H19" t="n">
        <v>7442.3</v>
      </c>
      <c r="I19" t="n">
        <v>7655.1</v>
      </c>
      <c r="J19" t="n">
        <v>7632.8</v>
      </c>
      <c r="K19" t="n">
        <v>8138</v>
      </c>
      <c r="L19" t="n">
        <v>8555</v>
      </c>
      <c r="M19" t="n">
        <v>9075.4</v>
      </c>
      <c r="N19" t="n">
        <v>9410.2</v>
      </c>
      <c r="O19" t="n">
        <v>9724.4</v>
      </c>
      <c r="P19" t="n">
        <v>9847.5</v>
      </c>
      <c r="Q19" t="n">
        <v>10403.5</v>
      </c>
      <c r="R19" t="n">
        <v>10998.1</v>
      </c>
      <c r="S19" t="n">
        <v>11349.2</v>
      </c>
      <c r="T19" t="n">
        <v>11365.5</v>
      </c>
      <c r="U19" t="n">
        <v>11461.5</v>
      </c>
      <c r="V19" t="n">
        <v>11695.8</v>
      </c>
      <c r="W19" t="n">
        <v>11728.2</v>
      </c>
      <c r="X19" t="n">
        <v>11244.6</v>
      </c>
      <c r="Y19" t="n">
        <v>11011.8</v>
      </c>
      <c r="Z19" t="n">
        <v>11018.1</v>
      </c>
      <c r="AA19" t="n">
        <v>10748.6</v>
      </c>
      <c r="AB19" t="n">
        <v>10965.8</v>
      </c>
      <c r="AC19" t="n">
        <v>11178.1</v>
      </c>
      <c r="AD19" t="n">
        <v>11786.3</v>
      </c>
      <c r="AE19" t="n">
        <v>11654.3</v>
      </c>
      <c r="AF19"/>
    </row>
    <row r="20">
      <c r="A20" t="s">
        <v>103</v>
      </c>
      <c r="B20" t="s">
        <v>310</v>
      </c>
      <c r="C20" t="s">
        <v>246</v>
      </c>
      <c r="D20" t="s">
        <v>311</v>
      </c>
      <c r="E20" t="s">
        <v>247</v>
      </c>
      <c r="F20" t="n">
        <v>16648.8</v>
      </c>
      <c r="G20" t="n">
        <v>17669.5</v>
      </c>
      <c r="H20" t="n">
        <v>18883.3</v>
      </c>
      <c r="I20" t="n">
        <v>20515.2</v>
      </c>
      <c r="J20" t="n">
        <v>21861.8</v>
      </c>
      <c r="K20" t="n">
        <v>23371.7</v>
      </c>
      <c r="L20" t="n">
        <v>24304.2</v>
      </c>
      <c r="M20" t="n">
        <v>25214.4</v>
      </c>
      <c r="N20" t="n">
        <v>26069.7</v>
      </c>
      <c r="O20" t="n">
        <v>26529.8</v>
      </c>
      <c r="P20" t="n">
        <v>27281.4</v>
      </c>
      <c r="Q20" t="n">
        <v>28610.6</v>
      </c>
      <c r="R20" t="n">
        <v>29715.8</v>
      </c>
      <c r="S20" t="n">
        <v>31958.3</v>
      </c>
      <c r="T20" t="n">
        <v>31465.6</v>
      </c>
      <c r="U20" t="n">
        <v>31832.7</v>
      </c>
      <c r="V20" t="n">
        <v>32584.2</v>
      </c>
      <c r="W20" t="n">
        <v>32998</v>
      </c>
      <c r="X20" t="n">
        <v>32766.8</v>
      </c>
      <c r="Y20" t="n">
        <v>31837.6</v>
      </c>
      <c r="Z20" t="n">
        <v>30418.8</v>
      </c>
      <c r="AA20" t="n">
        <v>29144.2</v>
      </c>
      <c r="AB20" t="n">
        <v>27693.3</v>
      </c>
      <c r="AC20" t="n">
        <v>26051.8</v>
      </c>
      <c r="AD20" t="n">
        <v>25030.8</v>
      </c>
      <c r="AE20" t="n">
        <v>23052.7</v>
      </c>
      <c r="AF20" t="n">
        <v>22227.1</v>
      </c>
    </row>
    <row r="21">
      <c r="A21" t="s">
        <v>103</v>
      </c>
      <c r="B21" t="s">
        <v>312</v>
      </c>
      <c r="C21" t="s">
        <v>246</v>
      </c>
      <c r="D21" t="s">
        <v>313</v>
      </c>
      <c r="E21" t="s">
        <v>247</v>
      </c>
      <c r="F21" t="n">
        <v>23255.5</v>
      </c>
      <c r="G21" t="n">
        <v>24857.2</v>
      </c>
      <c r="H21" t="n">
        <v>26758.2</v>
      </c>
      <c r="I21" t="n">
        <v>29072.9</v>
      </c>
      <c r="J21" t="n">
        <v>31005.6</v>
      </c>
      <c r="K21" t="n">
        <v>33083.3</v>
      </c>
      <c r="L21" t="n">
        <v>34755.7</v>
      </c>
      <c r="M21" t="n">
        <v>36214.2</v>
      </c>
      <c r="N21" t="n">
        <v>37450.1</v>
      </c>
      <c r="O21" t="n">
        <v>38697.6</v>
      </c>
      <c r="P21" t="n">
        <v>39709.4</v>
      </c>
      <c r="Q21" t="n">
        <v>42048</v>
      </c>
      <c r="R21" t="n">
        <v>43957.5</v>
      </c>
      <c r="S21" t="n">
        <v>46788.6</v>
      </c>
      <c r="T21" t="n">
        <v>46056.4</v>
      </c>
      <c r="U21" t="n">
        <v>46640.2</v>
      </c>
      <c r="V21" t="n">
        <v>47737.5</v>
      </c>
      <c r="W21" t="n">
        <v>49072.7</v>
      </c>
      <c r="X21" t="n">
        <v>48462</v>
      </c>
      <c r="Y21" t="n">
        <v>47412.1</v>
      </c>
      <c r="Z21" t="n">
        <v>46272.1</v>
      </c>
      <c r="AA21" t="n">
        <v>45031.1</v>
      </c>
      <c r="AB21" t="n">
        <v>44316.2</v>
      </c>
      <c r="AC21" t="n">
        <v>43529.3</v>
      </c>
      <c r="AD21" t="n">
        <v>43760.6</v>
      </c>
      <c r="AE21" t="n">
        <v>42337.5</v>
      </c>
      <c r="AF21" t="n">
        <v>43122.6</v>
      </c>
    </row>
    <row r="22">
      <c r="A22" t="s">
        <v>103</v>
      </c>
      <c r="B22" t="s">
        <v>314</v>
      </c>
      <c r="C22" t="s">
        <v>246</v>
      </c>
      <c r="D22" t="s">
        <v>315</v>
      </c>
      <c r="E22" t="s">
        <v>247</v>
      </c>
      <c r="F22" t="n">
        <v>6606.7</v>
      </c>
      <c r="G22" t="n">
        <v>7187.7</v>
      </c>
      <c r="H22" t="n">
        <v>7874.9</v>
      </c>
      <c r="I22" t="n">
        <v>8557.7</v>
      </c>
      <c r="J22" t="n">
        <v>9143.8</v>
      </c>
      <c r="K22" t="n">
        <v>9711.6</v>
      </c>
      <c r="L22" t="n">
        <v>10451.5</v>
      </c>
      <c r="M22" t="n">
        <v>10999.8</v>
      </c>
      <c r="N22" t="n">
        <v>11380.4</v>
      </c>
      <c r="O22" t="n">
        <v>12167.8</v>
      </c>
      <c r="P22" t="n">
        <v>12428</v>
      </c>
      <c r="Q22" t="n">
        <v>13437.4</v>
      </c>
      <c r="R22" t="n">
        <v>14241.7</v>
      </c>
      <c r="S22" t="n">
        <v>14830.3</v>
      </c>
      <c r="T22" t="n">
        <v>14590.8</v>
      </c>
      <c r="U22" t="n">
        <v>14807.5</v>
      </c>
      <c r="V22" t="n">
        <v>15153.3</v>
      </c>
      <c r="W22" t="n">
        <v>16074.7</v>
      </c>
      <c r="X22" t="n">
        <v>15695.2</v>
      </c>
      <c r="Y22" t="n">
        <v>15574.5</v>
      </c>
      <c r="Z22" t="n">
        <v>15853.3</v>
      </c>
      <c r="AA22" t="n">
        <v>15886.9</v>
      </c>
      <c r="AB22" t="n">
        <v>16622.9</v>
      </c>
      <c r="AC22" t="n">
        <v>17477.5</v>
      </c>
      <c r="AD22" t="n">
        <v>18729.8</v>
      </c>
      <c r="AE22" t="n">
        <v>19284.8</v>
      </c>
      <c r="AF22" t="n">
        <v>20895.5</v>
      </c>
    </row>
    <row r="23">
      <c r="A23" t="s">
        <v>103</v>
      </c>
      <c r="B23" t="s">
        <v>316</v>
      </c>
      <c r="C23" t="s">
        <v>246</v>
      </c>
      <c r="D23" t="s">
        <v>317</v>
      </c>
      <c r="E23" t="s">
        <v>247</v>
      </c>
      <c r="F23" t="n">
        <v>13346.9</v>
      </c>
      <c r="G23" t="n">
        <v>13414</v>
      </c>
      <c r="H23" t="n">
        <v>13551.4</v>
      </c>
      <c r="I23" t="n">
        <v>14433.2</v>
      </c>
      <c r="J23" t="n">
        <v>14223.9</v>
      </c>
      <c r="K23" t="n">
        <v>15003.8</v>
      </c>
      <c r="L23" t="n">
        <v>16192.4</v>
      </c>
      <c r="M23" t="n">
        <v>16907.8</v>
      </c>
      <c r="N23" t="n">
        <v>17894.9</v>
      </c>
      <c r="O23" t="n">
        <v>18209.4</v>
      </c>
      <c r="P23" t="n">
        <v>18698.6</v>
      </c>
      <c r="Q23" t="n">
        <v>20005.6</v>
      </c>
      <c r="R23" t="n">
        <v>21417</v>
      </c>
      <c r="S23" t="n">
        <v>22256</v>
      </c>
      <c r="T23" t="n">
        <v>21003.4</v>
      </c>
      <c r="U23" t="n">
        <v>21342</v>
      </c>
      <c r="V23" t="n">
        <v>21749.6</v>
      </c>
      <c r="W23" t="n">
        <v>20668.1</v>
      </c>
      <c r="X23" t="n">
        <v>18930.2</v>
      </c>
      <c r="Y23" t="n">
        <v>17657.4</v>
      </c>
      <c r="Z23" t="n">
        <v>16801.3</v>
      </c>
      <c r="AA23" t="n">
        <v>16184.6</v>
      </c>
      <c r="AB23" t="n">
        <v>16782.4</v>
      </c>
      <c r="AC23" t="n">
        <v>16280.4</v>
      </c>
      <c r="AD23" t="n">
        <v>16174</v>
      </c>
      <c r="AE23" t="n">
        <v>15651.9</v>
      </c>
      <c r="AF23" t="n">
        <v>16511.8</v>
      </c>
    </row>
    <row r="24">
      <c r="A24" t="s">
        <v>103</v>
      </c>
      <c r="B24" t="s">
        <v>318</v>
      </c>
      <c r="C24" t="s">
        <v>246</v>
      </c>
      <c r="D24" t="s">
        <v>319</v>
      </c>
      <c r="E24" t="s">
        <v>247</v>
      </c>
      <c r="F24" t="n">
        <v>26535.1</v>
      </c>
      <c r="G24" t="n">
        <v>27895.4</v>
      </c>
      <c r="H24" t="n">
        <v>29802.3</v>
      </c>
      <c r="I24" t="n">
        <v>30324.1</v>
      </c>
      <c r="J24" t="n">
        <v>31074.1</v>
      </c>
      <c r="K24" t="n">
        <v>33581.5</v>
      </c>
      <c r="L24" t="n">
        <v>35494.5</v>
      </c>
      <c r="M24" t="n">
        <v>37528.8</v>
      </c>
      <c r="N24" t="n">
        <v>38244.3</v>
      </c>
      <c r="O24" t="n">
        <v>40146</v>
      </c>
      <c r="P24" t="n">
        <v>41396.9</v>
      </c>
      <c r="Q24" t="n">
        <v>44153.8</v>
      </c>
      <c r="R24" t="n">
        <v>47102.2</v>
      </c>
      <c r="S24" t="n">
        <v>48473.3</v>
      </c>
      <c r="T24" t="n">
        <v>48015.5</v>
      </c>
      <c r="U24" t="n">
        <v>48338.4</v>
      </c>
      <c r="V24" t="n">
        <v>48641.4</v>
      </c>
      <c r="W24" t="n">
        <v>48524.3</v>
      </c>
      <c r="X24" t="n">
        <v>46306.3</v>
      </c>
      <c r="Y24" t="n">
        <v>44544.8</v>
      </c>
      <c r="Z24" t="n">
        <v>43783.3</v>
      </c>
      <c r="AA24" t="n">
        <v>41862.6</v>
      </c>
      <c r="AB24" t="n">
        <v>43020.5</v>
      </c>
      <c r="AC24" t="n">
        <v>44498.7</v>
      </c>
      <c r="AD24" t="n">
        <v>45900</v>
      </c>
      <c r="AE24" t="n">
        <v>44932.1</v>
      </c>
      <c r="AF24" t="n">
        <v>45775.1</v>
      </c>
    </row>
    <row r="25">
      <c r="A25" t="s">
        <v>103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103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103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103</v>
      </c>
      <c r="B28" t="s">
        <v>326</v>
      </c>
      <c r="C28" t="s">
        <v>246</v>
      </c>
      <c r="D28" t="s">
        <v>327</v>
      </c>
      <c r="E28" t="s">
        <v>247</v>
      </c>
      <c r="F28" t="n">
        <v>9992.5</v>
      </c>
      <c r="G28" t="n">
        <v>10534.2</v>
      </c>
      <c r="H28" t="n">
        <v>11608.5</v>
      </c>
      <c r="I28" t="n">
        <v>12705.3</v>
      </c>
      <c r="J28" t="n">
        <v>13847.2</v>
      </c>
      <c r="K28" t="n">
        <v>15041.4</v>
      </c>
      <c r="L28" t="n">
        <v>16246.4</v>
      </c>
      <c r="M28" t="n">
        <v>17696.3</v>
      </c>
      <c r="N28" t="n">
        <v>18063</v>
      </c>
      <c r="O28" t="n">
        <v>19071.9</v>
      </c>
      <c r="P28" t="n">
        <v>20220.7</v>
      </c>
      <c r="Q28" t="n">
        <v>21881.3</v>
      </c>
      <c r="R28" t="n">
        <v>23808.4</v>
      </c>
      <c r="S28" t="n">
        <v>24705.4</v>
      </c>
      <c r="T28" t="n">
        <v>25170</v>
      </c>
      <c r="U28" t="n">
        <v>25706.8</v>
      </c>
      <c r="V28" t="n">
        <v>26449</v>
      </c>
      <c r="W28" t="n">
        <v>26149.1</v>
      </c>
      <c r="X28" t="n">
        <v>24707</v>
      </c>
      <c r="Y28" t="n">
        <v>24425.1</v>
      </c>
      <c r="Z28" t="n">
        <v>23492.1</v>
      </c>
      <c r="AA28" t="n">
        <v>21773.6</v>
      </c>
      <c r="AB28" t="n">
        <v>21154.8</v>
      </c>
      <c r="AC28" t="n">
        <v>20265.6</v>
      </c>
      <c r="AD28" t="n">
        <v>20606</v>
      </c>
      <c r="AE28" t="n">
        <v>20013.8</v>
      </c>
      <c r="AF28" t="n">
        <v>20380.6</v>
      </c>
    </row>
    <row r="29">
      <c r="A29" t="s">
        <v>103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103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103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103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103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103</v>
      </c>
      <c r="B34" t="s">
        <v>338</v>
      </c>
      <c r="C34" t="s">
        <v>246</v>
      </c>
      <c r="D34" t="s">
        <v>339</v>
      </c>
      <c r="E34" t="s">
        <v>247</v>
      </c>
      <c r="F34" t="n">
        <v>9362.1</v>
      </c>
      <c r="G34" t="n">
        <v>10431</v>
      </c>
      <c r="H34" t="n">
        <v>10280.7</v>
      </c>
      <c r="I34" t="n">
        <v>10632.6</v>
      </c>
      <c r="J34" t="n">
        <v>10945.1</v>
      </c>
      <c r="K34" t="n">
        <v>11900.1</v>
      </c>
      <c r="L34" t="n">
        <v>12838.3</v>
      </c>
      <c r="M34" t="n">
        <v>13391.1</v>
      </c>
      <c r="N34" t="n">
        <v>13551.9</v>
      </c>
      <c r="O34" t="n">
        <v>13987.5</v>
      </c>
      <c r="P34" t="n">
        <v>14339.9</v>
      </c>
      <c r="Q34" t="n">
        <v>15193</v>
      </c>
      <c r="R34" t="n">
        <v>16313.6</v>
      </c>
      <c r="S34" t="n">
        <v>17060.2</v>
      </c>
      <c r="T34" t="n">
        <v>17352.2</v>
      </c>
      <c r="U34" t="n">
        <v>17415.9</v>
      </c>
      <c r="V34" t="n">
        <v>17211.4</v>
      </c>
      <c r="W34" t="n">
        <v>17397.1</v>
      </c>
      <c r="X34" t="n">
        <v>16607.3</v>
      </c>
      <c r="Y34" t="n">
        <v>16058.4</v>
      </c>
      <c r="Z34" t="n">
        <v>15347</v>
      </c>
      <c r="AA34" t="n">
        <v>13630.7</v>
      </c>
      <c r="AB34" t="n">
        <v>13245</v>
      </c>
      <c r="AC34" t="n">
        <v>12764.5</v>
      </c>
      <c r="AD34" t="n">
        <v>12950.9</v>
      </c>
      <c r="AE34" t="n">
        <v>12620.2</v>
      </c>
      <c r="AF34" t="n">
        <v>12954.4</v>
      </c>
    </row>
    <row r="35">
      <c r="A35" t="s">
        <v>103</v>
      </c>
      <c r="B35" t="s">
        <v>340</v>
      </c>
      <c r="C35" t="s">
        <v>246</v>
      </c>
      <c r="D35" t="s">
        <v>341</v>
      </c>
      <c r="E35" t="s">
        <v>247</v>
      </c>
      <c r="F35" t="n">
        <v>3033.3</v>
      </c>
      <c r="G35" t="n">
        <v>3207.4</v>
      </c>
      <c r="H35" t="n">
        <v>3436.5</v>
      </c>
      <c r="I35" t="n">
        <v>3636.2</v>
      </c>
      <c r="J35" t="n">
        <v>3812.9</v>
      </c>
      <c r="K35" t="n">
        <v>4097.1</v>
      </c>
      <c r="L35" t="n">
        <v>4346.8</v>
      </c>
      <c r="M35" t="n">
        <v>4568.1</v>
      </c>
      <c r="N35" t="n">
        <v>4787.4</v>
      </c>
      <c r="O35" t="n">
        <v>4910.5</v>
      </c>
      <c r="P35" t="n">
        <v>5021.4</v>
      </c>
      <c r="Q35" t="n">
        <v>5364.1</v>
      </c>
      <c r="R35" t="n">
        <v>5635.3</v>
      </c>
      <c r="S35" t="n">
        <v>5850.8</v>
      </c>
      <c r="T35" t="n">
        <v>5838.4</v>
      </c>
      <c r="U35" t="n">
        <v>5831.5</v>
      </c>
      <c r="V35" t="n">
        <v>6175.2</v>
      </c>
      <c r="W35" t="n">
        <v>6693.6</v>
      </c>
      <c r="X35" t="n">
        <v>7013.1</v>
      </c>
      <c r="Y35" t="n">
        <v>7664.9</v>
      </c>
      <c r="Z35" t="n">
        <v>8580.2</v>
      </c>
      <c r="AA35" t="n">
        <v>7956.2</v>
      </c>
      <c r="AB35" t="n">
        <v>7942.4</v>
      </c>
      <c r="AC35" t="n">
        <v>7705</v>
      </c>
      <c r="AD35" t="n">
        <v>7516.9</v>
      </c>
      <c r="AE35" t="n">
        <v>7348.7</v>
      </c>
      <c r="AF35" t="n">
        <v>7642.6</v>
      </c>
    </row>
    <row r="36">
      <c r="A36" t="s">
        <v>103</v>
      </c>
      <c r="B36" t="s">
        <v>342</v>
      </c>
      <c r="C36" t="s">
        <v>246</v>
      </c>
      <c r="D36" t="s">
        <v>343</v>
      </c>
      <c r="E36" t="s">
        <v>247</v>
      </c>
      <c r="F36" t="n">
        <v>878.9</v>
      </c>
      <c r="G36" t="n">
        <v>976.8</v>
      </c>
      <c r="H36" t="n">
        <v>1079.6</v>
      </c>
      <c r="I36" t="n">
        <v>1181.5</v>
      </c>
      <c r="J36" t="n">
        <v>1246.6</v>
      </c>
      <c r="K36" t="n">
        <v>1374.9</v>
      </c>
      <c r="L36" t="n">
        <v>1449.6</v>
      </c>
      <c r="M36" t="n">
        <v>1529.4</v>
      </c>
      <c r="N36" t="n">
        <v>1554.5</v>
      </c>
      <c r="O36" t="n">
        <v>1572.3</v>
      </c>
      <c r="P36" t="n">
        <v>1566.2</v>
      </c>
      <c r="Q36" t="n">
        <v>1722.5</v>
      </c>
      <c r="R36" t="n">
        <v>1779</v>
      </c>
      <c r="S36" t="n">
        <v>1869</v>
      </c>
      <c r="T36" t="n">
        <v>1854.8</v>
      </c>
      <c r="U36" t="n">
        <v>1838.4</v>
      </c>
      <c r="V36" t="n">
        <v>1989</v>
      </c>
      <c r="W36" t="n">
        <v>2055.9</v>
      </c>
      <c r="X36" t="n">
        <v>2034.2</v>
      </c>
      <c r="Y36" t="n">
        <v>1972.7</v>
      </c>
      <c r="Z36" t="n">
        <v>1902</v>
      </c>
      <c r="AA36" t="n">
        <v>1782.2</v>
      </c>
      <c r="AB36" t="n">
        <v>1764.6</v>
      </c>
      <c r="AC36" t="n">
        <v>1691.2</v>
      </c>
      <c r="AD36" t="n">
        <v>1632</v>
      </c>
      <c r="AE36" t="n">
        <v>1553.5</v>
      </c>
      <c r="AF36"/>
    </row>
    <row r="37">
      <c r="A37" t="s">
        <v>103</v>
      </c>
      <c r="B37" t="s">
        <v>344</v>
      </c>
      <c r="C37" t="s">
        <v>246</v>
      </c>
      <c r="D37" t="s">
        <v>345</v>
      </c>
      <c r="E37" t="s">
        <v>247</v>
      </c>
      <c r="F37" t="n">
        <v>647.2</v>
      </c>
      <c r="G37" t="n">
        <v>675.4</v>
      </c>
      <c r="H37" t="n">
        <v>755.1</v>
      </c>
      <c r="I37" t="n">
        <v>834</v>
      </c>
      <c r="J37" t="n">
        <v>916.5</v>
      </c>
      <c r="K37" t="n">
        <v>1000.3</v>
      </c>
      <c r="L37" t="n">
        <v>1076.1</v>
      </c>
      <c r="M37" t="n">
        <v>1197.9</v>
      </c>
      <c r="N37" t="n">
        <v>1183</v>
      </c>
      <c r="O37" t="n">
        <v>1222.9</v>
      </c>
      <c r="P37" t="n">
        <v>1232.6</v>
      </c>
      <c r="Q37" t="n">
        <v>1330</v>
      </c>
      <c r="R37" t="n">
        <v>1399.7</v>
      </c>
      <c r="S37" t="n">
        <v>1438.7</v>
      </c>
      <c r="T37" t="n">
        <v>1436.8</v>
      </c>
      <c r="U37" t="n">
        <v>1436.1</v>
      </c>
      <c r="V37" t="n">
        <v>1573.1</v>
      </c>
      <c r="W37" t="n">
        <v>1862.1</v>
      </c>
      <c r="X37" t="n">
        <v>2230</v>
      </c>
      <c r="Y37" t="n">
        <v>2909.4</v>
      </c>
      <c r="Z37" t="n">
        <v>3900.9</v>
      </c>
      <c r="AA37" t="n">
        <v>3435.8</v>
      </c>
      <c r="AB37" t="n">
        <v>3247.5</v>
      </c>
      <c r="AC37" t="n">
        <v>2839.4</v>
      </c>
      <c r="AD37" t="n">
        <v>2452.6</v>
      </c>
      <c r="AE37" t="n">
        <v>2124.2</v>
      </c>
      <c r="AF37"/>
    </row>
    <row r="38">
      <c r="A38" t="s">
        <v>103</v>
      </c>
      <c r="B38" t="s">
        <v>346</v>
      </c>
      <c r="C38" t="s">
        <v>246</v>
      </c>
      <c r="D38" t="s">
        <v>347</v>
      </c>
      <c r="E38" t="s">
        <v>247</v>
      </c>
      <c r="F38" t="n">
        <v>1507.2</v>
      </c>
      <c r="G38" t="n">
        <v>1555.2</v>
      </c>
      <c r="H38" t="n">
        <v>1601.8</v>
      </c>
      <c r="I38" t="n">
        <v>1620.7</v>
      </c>
      <c r="J38" t="n">
        <v>1649.8</v>
      </c>
      <c r="K38" t="n">
        <v>1721.9</v>
      </c>
      <c r="L38" t="n">
        <v>1821.1</v>
      </c>
      <c r="M38" t="n">
        <v>1840.8</v>
      </c>
      <c r="N38" t="n">
        <v>2049.9</v>
      </c>
      <c r="O38" t="n">
        <v>2115.3</v>
      </c>
      <c r="P38" t="n">
        <v>2222.6</v>
      </c>
      <c r="Q38" t="n">
        <v>2311.6</v>
      </c>
      <c r="R38" t="n">
        <v>2456.6</v>
      </c>
      <c r="S38" t="n">
        <v>2543.1</v>
      </c>
      <c r="T38" t="n">
        <v>2546.8</v>
      </c>
      <c r="U38" t="n">
        <v>2557</v>
      </c>
      <c r="V38" t="n">
        <v>2613.1</v>
      </c>
      <c r="W38" t="n">
        <v>2775.6</v>
      </c>
      <c r="X38" t="n">
        <v>2748.9</v>
      </c>
      <c r="Y38" t="n">
        <v>2782.8</v>
      </c>
      <c r="Z38" t="n">
        <v>2777.3</v>
      </c>
      <c r="AA38" t="n">
        <v>2738.2</v>
      </c>
      <c r="AB38" t="n">
        <v>2930.3</v>
      </c>
      <c r="AC38" t="n">
        <v>3174.4</v>
      </c>
      <c r="AD38" t="n">
        <v>3432.3</v>
      </c>
      <c r="AE38" t="n">
        <v>3671</v>
      </c>
      <c r="AF38"/>
    </row>
    <row r="39">
      <c r="A39" t="s">
        <v>103</v>
      </c>
      <c r="B39" t="s">
        <v>348</v>
      </c>
      <c r="C39" t="s">
        <v>246</v>
      </c>
      <c r="D39" t="s">
        <v>349</v>
      </c>
      <c r="E39" t="s">
        <v>247</v>
      </c>
      <c r="F39" t="n">
        <v>2340</v>
      </c>
      <c r="G39" t="n">
        <v>2315.3</v>
      </c>
      <c r="H39" t="n">
        <v>2178.5</v>
      </c>
      <c r="I39" t="n">
        <v>2045.8</v>
      </c>
      <c r="J39" t="n">
        <v>1930.7</v>
      </c>
      <c r="K39" t="n">
        <v>1868.1</v>
      </c>
      <c r="L39" t="n">
        <v>1855.9</v>
      </c>
      <c r="M39" t="n">
        <v>1861.6</v>
      </c>
      <c r="N39" t="n">
        <v>1810.2</v>
      </c>
      <c r="O39" t="n">
        <v>1870.7</v>
      </c>
      <c r="P39" t="n">
        <v>1892.8</v>
      </c>
      <c r="Q39" t="n">
        <v>2021.1</v>
      </c>
      <c r="R39" t="n">
        <v>2075.2</v>
      </c>
      <c r="S39" t="n">
        <v>2192.5</v>
      </c>
      <c r="T39" t="n">
        <v>2261.7</v>
      </c>
      <c r="U39" t="n">
        <v>2321.2</v>
      </c>
      <c r="V39" t="n">
        <v>2261.7</v>
      </c>
      <c r="W39" t="n">
        <v>2303.9</v>
      </c>
      <c r="X39" t="n">
        <v>2233.8</v>
      </c>
      <c r="Y39" t="n">
        <v>2232.1</v>
      </c>
      <c r="Z39" t="n">
        <v>2297.1</v>
      </c>
      <c r="AA39" t="n">
        <v>2183.5</v>
      </c>
      <c r="AB39" t="n">
        <v>2223.7</v>
      </c>
      <c r="AC39" t="n">
        <v>2234.1</v>
      </c>
      <c r="AD39" t="n">
        <v>2438.8</v>
      </c>
      <c r="AE39" t="n">
        <v>2448.6</v>
      </c>
      <c r="AF39" t="n">
        <v>2691.2</v>
      </c>
    </row>
    <row r="40">
      <c r="A40" t="s">
        <v>103</v>
      </c>
      <c r="B40" t="s">
        <v>350</v>
      </c>
      <c r="C40" t="s">
        <v>246</v>
      </c>
      <c r="D40" t="s">
        <v>351</v>
      </c>
      <c r="E40" t="s">
        <v>247</v>
      </c>
      <c r="F40" t="n">
        <v>1974.3</v>
      </c>
      <c r="G40" t="n">
        <v>2045.7</v>
      </c>
      <c r="H40" t="n">
        <v>2100.6</v>
      </c>
      <c r="I40" t="n">
        <v>2165.5</v>
      </c>
      <c r="J40" t="n">
        <v>2233.7</v>
      </c>
      <c r="K40" t="n">
        <v>2323.7</v>
      </c>
      <c r="L40" t="n">
        <v>2457.7</v>
      </c>
      <c r="M40" t="n">
        <v>2663.7</v>
      </c>
      <c r="N40" t="n">
        <v>2739.5</v>
      </c>
      <c r="O40" t="n">
        <v>2780</v>
      </c>
      <c r="P40" t="n">
        <v>3030.2</v>
      </c>
      <c r="Q40" t="n">
        <v>3204.2</v>
      </c>
      <c r="R40" t="n">
        <v>3397.1</v>
      </c>
      <c r="S40" t="n">
        <v>3619.4</v>
      </c>
      <c r="T40" t="n">
        <v>3406</v>
      </c>
      <c r="U40" t="n">
        <v>3508.8</v>
      </c>
      <c r="V40" t="n">
        <v>3520.9</v>
      </c>
      <c r="W40" t="n">
        <v>3649</v>
      </c>
      <c r="X40" t="n">
        <v>3345.5</v>
      </c>
      <c r="Y40" t="n">
        <v>3271.7</v>
      </c>
      <c r="Z40" t="n">
        <v>3068.8</v>
      </c>
      <c r="AA40" t="n">
        <v>2915</v>
      </c>
      <c r="AB40" t="n">
        <v>2856.9</v>
      </c>
      <c r="AC40" t="n">
        <v>2945.5</v>
      </c>
      <c r="AD40" t="n">
        <v>2995.5</v>
      </c>
      <c r="AE40" t="n">
        <v>2858.8</v>
      </c>
      <c r="AF40" t="n">
        <v>3046.5</v>
      </c>
    </row>
    <row r="41">
      <c r="A41" t="s">
        <v>103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103</v>
      </c>
      <c r="B42" t="s">
        <v>354</v>
      </c>
      <c r="C42" t="s">
        <v>246</v>
      </c>
      <c r="D42" t="s">
        <v>355</v>
      </c>
      <c r="E42" t="s">
        <v>247</v>
      </c>
      <c r="F42" t="n">
        <v>5520.7</v>
      </c>
      <c r="G42" t="n">
        <v>5706.9</v>
      </c>
      <c r="H42" t="n">
        <v>5850.8</v>
      </c>
      <c r="I42" t="n">
        <v>5954.7</v>
      </c>
      <c r="J42" t="n">
        <v>6080.4</v>
      </c>
      <c r="K42" t="n">
        <v>6564.6</v>
      </c>
      <c r="L42" t="n">
        <v>7069.3</v>
      </c>
      <c r="M42" t="n">
        <v>7345.1</v>
      </c>
      <c r="N42" t="n">
        <v>7481.7</v>
      </c>
      <c r="O42" t="n">
        <v>7727.5</v>
      </c>
      <c r="P42" t="n">
        <v>7826.7</v>
      </c>
      <c r="Q42" t="n">
        <v>8511.4</v>
      </c>
      <c r="R42" t="n">
        <v>8955</v>
      </c>
      <c r="S42" t="n">
        <v>9578.1</v>
      </c>
      <c r="T42" t="n">
        <v>9428.3</v>
      </c>
      <c r="U42" t="n">
        <v>9429.3</v>
      </c>
      <c r="V42" t="n">
        <v>9486.3</v>
      </c>
      <c r="W42" t="n">
        <v>9702.5</v>
      </c>
      <c r="X42" t="n">
        <v>9729.5</v>
      </c>
      <c r="Y42" t="n">
        <v>9884.2</v>
      </c>
      <c r="Z42" t="n">
        <v>9768.8</v>
      </c>
      <c r="AA42" t="n">
        <v>8906.1</v>
      </c>
      <c r="AB42" t="n">
        <v>8871.3</v>
      </c>
      <c r="AC42" t="n">
        <v>8661.4</v>
      </c>
      <c r="AD42" t="n">
        <v>8546.6</v>
      </c>
      <c r="AE42" t="n">
        <v>8302.4</v>
      </c>
      <c r="AF42" t="n">
        <v>8575.2</v>
      </c>
    </row>
    <row r="43">
      <c r="A43" t="s">
        <v>103</v>
      </c>
      <c r="B43" t="s">
        <v>356</v>
      </c>
      <c r="C43" t="s">
        <v>246</v>
      </c>
      <c r="D43" t="s">
        <v>357</v>
      </c>
      <c r="E43" t="s">
        <v>247</v>
      </c>
      <c r="F43" t="n">
        <v>10778.4</v>
      </c>
      <c r="G43" t="n">
        <v>11147.6</v>
      </c>
      <c r="H43" t="n">
        <v>11462.3</v>
      </c>
      <c r="I43" t="n">
        <v>11661</v>
      </c>
      <c r="J43" t="n">
        <v>11940.1</v>
      </c>
      <c r="K43" t="n">
        <v>12581.8</v>
      </c>
      <c r="L43" t="n">
        <v>13629.3</v>
      </c>
      <c r="M43" t="n">
        <v>14253.9</v>
      </c>
      <c r="N43" t="n">
        <v>14588.5</v>
      </c>
      <c r="O43" t="n">
        <v>15294.3</v>
      </c>
      <c r="P43" t="n">
        <v>15478.6</v>
      </c>
      <c r="Q43" t="n">
        <v>16499.2</v>
      </c>
      <c r="R43" t="n">
        <v>17537.1</v>
      </c>
      <c r="S43" t="n">
        <v>18527.5</v>
      </c>
      <c r="T43" t="n">
        <v>18497.7</v>
      </c>
      <c r="U43" t="n">
        <v>18537.6</v>
      </c>
      <c r="V43" t="n">
        <v>18616.5</v>
      </c>
      <c r="W43" t="n">
        <v>19474.5</v>
      </c>
      <c r="X43" t="n">
        <v>18865.3</v>
      </c>
      <c r="Y43" t="n">
        <v>18864.3</v>
      </c>
      <c r="Z43" t="n">
        <v>18818</v>
      </c>
      <c r="AA43" t="n">
        <v>17532.8</v>
      </c>
      <c r="AB43" t="n">
        <v>17189.3</v>
      </c>
      <c r="AC43" t="n">
        <v>16624.7</v>
      </c>
      <c r="AD43" t="n">
        <v>16531.6</v>
      </c>
      <c r="AE43" t="n">
        <v>16403.4</v>
      </c>
      <c r="AF43" t="n">
        <v>16987.4</v>
      </c>
    </row>
    <row r="44">
      <c r="A44" t="s">
        <v>103</v>
      </c>
      <c r="B44" t="s">
        <v>358</v>
      </c>
      <c r="C44" t="s">
        <v>246</v>
      </c>
      <c r="D44" t="s">
        <v>359</v>
      </c>
      <c r="E44" t="s">
        <v>247</v>
      </c>
      <c r="F44" t="n">
        <v>285346.5</v>
      </c>
      <c r="G44" t="n">
        <v>295897.3</v>
      </c>
      <c r="H44" t="n">
        <v>304572.5</v>
      </c>
      <c r="I44" t="n">
        <v>315220.9</v>
      </c>
      <c r="J44" t="n">
        <v>323736.4</v>
      </c>
      <c r="K44" t="n">
        <v>344695.8</v>
      </c>
      <c r="L44" t="n">
        <v>364118.1</v>
      </c>
      <c r="M44" t="n">
        <v>380528.6</v>
      </c>
      <c r="N44" t="n">
        <v>389911.4</v>
      </c>
      <c r="O44" t="n">
        <v>404645.5</v>
      </c>
      <c r="P44" t="n">
        <v>414368.4</v>
      </c>
      <c r="Q44" t="n">
        <v>439789.9</v>
      </c>
      <c r="R44" t="n">
        <v>464320.5</v>
      </c>
      <c r="S44" t="n">
        <v>485158.6</v>
      </c>
      <c r="T44" t="n">
        <v>479777.2</v>
      </c>
      <c r="U44" t="n">
        <v>484402.4</v>
      </c>
      <c r="V44" t="n">
        <v>493601.4</v>
      </c>
      <c r="W44" t="n">
        <v>500782.8</v>
      </c>
      <c r="X44" t="n">
        <v>486178</v>
      </c>
      <c r="Y44" t="n">
        <v>482055.7</v>
      </c>
      <c r="Z44" t="n">
        <v>482496.4</v>
      </c>
      <c r="AA44" t="n">
        <v>473320.7</v>
      </c>
      <c r="AB44" t="n">
        <v>482154.6</v>
      </c>
      <c r="AC44" t="n">
        <v>489191.6</v>
      </c>
      <c r="AD44" t="n">
        <v>502843.4</v>
      </c>
      <c r="AE44" t="n">
        <v>494209.8</v>
      </c>
      <c r="AF44" t="n">
        <v>510122.7</v>
      </c>
    </row>
    <row r="45">
      <c r="A45" t="s">
        <v>103</v>
      </c>
      <c r="B45" t="s">
        <v>360</v>
      </c>
      <c r="C45" t="s">
        <v>246</v>
      </c>
      <c r="D45" t="s">
        <v>361</v>
      </c>
      <c r="E45" t="s">
        <v>247</v>
      </c>
      <c r="F45" t="n">
        <v>267468.4</v>
      </c>
      <c r="G45" t="n">
        <v>276883.5</v>
      </c>
      <c r="H45" t="n">
        <v>284650.2</v>
      </c>
      <c r="I45" t="n">
        <v>294464.3</v>
      </c>
      <c r="J45" t="n">
        <v>302250.7</v>
      </c>
      <c r="K45" t="n">
        <v>321556.4</v>
      </c>
      <c r="L45" t="n">
        <v>339444.7</v>
      </c>
      <c r="M45" t="n">
        <v>354880.4</v>
      </c>
      <c r="N45" t="n">
        <v>363734</v>
      </c>
      <c r="O45" t="n">
        <v>376906.4</v>
      </c>
      <c r="P45" t="n">
        <v>385536</v>
      </c>
      <c r="Q45" t="n">
        <v>409134.3</v>
      </c>
      <c r="R45" t="n">
        <v>432040.1</v>
      </c>
      <c r="S45" t="n">
        <v>451997.1</v>
      </c>
      <c r="T45" t="n">
        <v>446531.4</v>
      </c>
      <c r="U45" t="n">
        <v>451091.8</v>
      </c>
      <c r="V45" t="n">
        <v>459726.2</v>
      </c>
      <c r="W45" t="n">
        <v>466342.7</v>
      </c>
      <c r="X45" t="n">
        <v>452968.8</v>
      </c>
      <c r="Y45" t="n">
        <v>449111.9</v>
      </c>
      <c r="Z45" t="n">
        <v>449588.7</v>
      </c>
      <c r="AA45" t="n">
        <v>440541.2</v>
      </c>
      <c r="AB45" t="n">
        <v>448254.5</v>
      </c>
      <c r="AC45" t="n">
        <v>453565.2</v>
      </c>
      <c r="AD45" t="n">
        <v>465311.9</v>
      </c>
      <c r="AE45" t="n">
        <v>456856</v>
      </c>
      <c r="AF45" t="n">
        <v>469952.3</v>
      </c>
    </row>
    <row r="46">
      <c r="A46" t="s">
        <v>103</v>
      </c>
      <c r="B46" t="s">
        <v>362</v>
      </c>
      <c r="C46" t="s">
        <v>246</v>
      </c>
      <c r="D46" t="s">
        <v>363</v>
      </c>
      <c r="E46" t="s">
        <v>247</v>
      </c>
      <c r="F46" t="n">
        <v>5257.7</v>
      </c>
      <c r="G46" t="n">
        <v>5440.7</v>
      </c>
      <c r="H46" t="n">
        <v>5611.5</v>
      </c>
      <c r="I46" t="n">
        <v>5706.3</v>
      </c>
      <c r="J46" t="n">
        <v>5859.7</v>
      </c>
      <c r="K46" t="n">
        <v>6017.2</v>
      </c>
      <c r="L46" t="n">
        <v>6560</v>
      </c>
      <c r="M46" t="n">
        <v>6908.8</v>
      </c>
      <c r="N46" t="n">
        <v>7106.8</v>
      </c>
      <c r="O46" t="n">
        <v>7566.8</v>
      </c>
      <c r="P46" t="n">
        <v>7651.9</v>
      </c>
      <c r="Q46" t="n">
        <v>7987.8</v>
      </c>
      <c r="R46" t="n">
        <v>8582.1</v>
      </c>
      <c r="S46" t="n">
        <v>8949.4</v>
      </c>
      <c r="T46" t="n">
        <v>9069.4</v>
      </c>
      <c r="U46" t="n">
        <v>9108.3</v>
      </c>
      <c r="V46" t="n">
        <v>9130.2</v>
      </c>
      <c r="W46" t="n">
        <v>9772</v>
      </c>
      <c r="X46" t="n">
        <v>9135.8</v>
      </c>
      <c r="Y46" t="n">
        <v>8980.1</v>
      </c>
      <c r="Z46" t="n">
        <v>9049.2</v>
      </c>
      <c r="AA46" t="n">
        <v>8626.7</v>
      </c>
      <c r="AB46" t="n">
        <v>8318</v>
      </c>
      <c r="AC46" t="n">
        <v>7963.3</v>
      </c>
      <c r="AD46" t="n">
        <v>7985</v>
      </c>
      <c r="AE46" t="n">
        <v>8101</v>
      </c>
      <c r="AF46" t="n">
        <v>8412.2</v>
      </c>
    </row>
    <row r="47">
      <c r="A47" t="s">
        <v>103</v>
      </c>
      <c r="B47" t="s">
        <v>364</v>
      </c>
      <c r="C47" t="s">
        <v>246</v>
      </c>
      <c r="D47" t="s">
        <v>365</v>
      </c>
      <c r="E47" t="s">
        <v>247</v>
      </c>
      <c r="F47" t="n">
        <v>32835</v>
      </c>
      <c r="G47" t="n">
        <v>33624.1</v>
      </c>
      <c r="H47" t="n">
        <v>34232.6</v>
      </c>
      <c r="I47" t="n">
        <v>34572.8</v>
      </c>
      <c r="J47" t="n">
        <v>35070.9</v>
      </c>
      <c r="K47" t="n">
        <v>37340.8</v>
      </c>
      <c r="L47" t="n">
        <v>39389</v>
      </c>
      <c r="M47" t="n">
        <v>41138.7</v>
      </c>
      <c r="N47" t="n">
        <v>42614.3</v>
      </c>
      <c r="O47" t="n">
        <v>44122</v>
      </c>
      <c r="P47" t="n">
        <v>44155.4</v>
      </c>
      <c r="Q47" t="n">
        <v>45076.6</v>
      </c>
      <c r="R47" t="n">
        <v>45627.5</v>
      </c>
      <c r="S47" t="n">
        <v>47369.3</v>
      </c>
      <c r="T47" t="n">
        <v>49887.9</v>
      </c>
      <c r="U47" t="n">
        <v>51595.5</v>
      </c>
      <c r="V47" t="n">
        <v>54333</v>
      </c>
      <c r="W47" t="n">
        <v>54387.2</v>
      </c>
      <c r="X47" t="n">
        <v>52923.5</v>
      </c>
      <c r="Y47" t="n">
        <v>51415.9</v>
      </c>
      <c r="Z47" t="n">
        <v>50376.2</v>
      </c>
      <c r="AA47" t="n">
        <v>50722.7</v>
      </c>
      <c r="AB47" t="n">
        <v>52646.6</v>
      </c>
      <c r="AC47" t="n">
        <v>53321.5</v>
      </c>
      <c r="AD47" t="n">
        <v>54943.7</v>
      </c>
      <c r="AE47" t="n">
        <v>55630.6</v>
      </c>
      <c r="AF47" t="n">
        <v>56936.5</v>
      </c>
    </row>
    <row r="48">
      <c r="A48" t="s">
        <v>103</v>
      </c>
      <c r="B48" t="s">
        <v>366</v>
      </c>
      <c r="C48" t="s">
        <v>246</v>
      </c>
      <c r="D48" t="s">
        <v>367</v>
      </c>
      <c r="E48" t="s">
        <v>247</v>
      </c>
      <c r="F48" t="n">
        <v>44229.3</v>
      </c>
      <c r="G48" t="n">
        <v>45255.8</v>
      </c>
      <c r="H48" t="n">
        <v>46078.2</v>
      </c>
      <c r="I48" t="n">
        <v>46881.2</v>
      </c>
      <c r="J48" t="n">
        <v>47647.9</v>
      </c>
      <c r="K48" t="n">
        <v>50660.2</v>
      </c>
      <c r="L48" t="n">
        <v>53646.4</v>
      </c>
      <c r="M48" t="n">
        <v>56258.4</v>
      </c>
      <c r="N48" t="n">
        <v>58264.9</v>
      </c>
      <c r="O48" t="n">
        <v>60376.1</v>
      </c>
      <c r="P48" t="n">
        <v>60684.4</v>
      </c>
      <c r="Q48" t="n">
        <v>63115.1</v>
      </c>
      <c r="R48" t="n">
        <v>64712.9</v>
      </c>
      <c r="S48" t="n">
        <v>66948.4</v>
      </c>
      <c r="T48" t="n">
        <v>70823</v>
      </c>
      <c r="U48" t="n">
        <v>72882</v>
      </c>
      <c r="V48" t="n">
        <v>75629.1</v>
      </c>
      <c r="W48" t="n">
        <v>75493.2</v>
      </c>
      <c r="X48" t="n">
        <v>72506</v>
      </c>
      <c r="Y48" t="n">
        <v>70696.2</v>
      </c>
      <c r="Z48" t="n">
        <v>69250.3</v>
      </c>
      <c r="AA48" t="n">
        <v>69635.6</v>
      </c>
      <c r="AB48" t="n">
        <v>72204</v>
      </c>
      <c r="AC48" t="n">
        <v>73523.1</v>
      </c>
      <c r="AD48" t="n">
        <v>76734.2</v>
      </c>
      <c r="AE48" t="n">
        <v>78811.6</v>
      </c>
      <c r="AF48" t="n">
        <v>82009.1</v>
      </c>
    </row>
    <row r="49">
      <c r="A49" t="s">
        <v>103</v>
      </c>
      <c r="B49" t="s">
        <v>368</v>
      </c>
      <c r="C49" t="s">
        <v>246</v>
      </c>
      <c r="D49" t="s">
        <v>369</v>
      </c>
      <c r="E49" t="s">
        <v>247</v>
      </c>
      <c r="F49" t="n">
        <v>2283.9</v>
      </c>
      <c r="G49" t="n">
        <v>2522.4</v>
      </c>
      <c r="H49" t="n">
        <v>2742.2</v>
      </c>
      <c r="I49" t="n">
        <v>2948.4</v>
      </c>
      <c r="J49" t="n">
        <v>3025.5</v>
      </c>
      <c r="K49" t="n">
        <v>3196.6</v>
      </c>
      <c r="L49" t="n">
        <v>3507.8</v>
      </c>
      <c r="M49" t="n">
        <v>3906.1</v>
      </c>
      <c r="N49" t="n">
        <v>4053.5</v>
      </c>
      <c r="O49" t="n">
        <v>4274.7</v>
      </c>
      <c r="P49" t="n">
        <v>4321.7</v>
      </c>
      <c r="Q49" t="n">
        <v>4771.5</v>
      </c>
      <c r="R49" t="n">
        <v>4988.7</v>
      </c>
      <c r="S49" t="n">
        <v>5106.4</v>
      </c>
      <c r="T49" t="n">
        <v>5224.1</v>
      </c>
      <c r="U49" t="n">
        <v>5213.9</v>
      </c>
      <c r="V49" t="n">
        <v>5186.1</v>
      </c>
      <c r="W49" t="n">
        <v>5126.6</v>
      </c>
      <c r="X49" t="n">
        <v>4739.1</v>
      </c>
      <c r="Y49" t="n">
        <v>4578.6</v>
      </c>
      <c r="Z49" t="n">
        <v>3980.2</v>
      </c>
      <c r="AA49" t="n">
        <v>3406.5</v>
      </c>
      <c r="AB49" t="n">
        <v>3195.5</v>
      </c>
      <c r="AC49" t="n">
        <v>3038.7</v>
      </c>
      <c r="AD49" t="n">
        <v>2899.4</v>
      </c>
      <c r="AE49" t="n">
        <v>2833.3</v>
      </c>
      <c r="AF49" t="n">
        <v>3151.3</v>
      </c>
    </row>
    <row r="50">
      <c r="A50" t="s">
        <v>103</v>
      </c>
      <c r="B50" t="s">
        <v>370</v>
      </c>
      <c r="C50" t="s">
        <v>246</v>
      </c>
      <c r="D50" t="s">
        <v>371</v>
      </c>
      <c r="E50" t="s">
        <v>247</v>
      </c>
      <c r="F50" t="n">
        <v>9110.4</v>
      </c>
      <c r="G50" t="n">
        <v>9109.3</v>
      </c>
      <c r="H50" t="n">
        <v>9103.4</v>
      </c>
      <c r="I50" t="n">
        <v>9360</v>
      </c>
      <c r="J50" t="n">
        <v>9551.5</v>
      </c>
      <c r="K50" t="n">
        <v>10122.8</v>
      </c>
      <c r="L50" t="n">
        <v>10749.6</v>
      </c>
      <c r="M50" t="n">
        <v>11213.7</v>
      </c>
      <c r="N50" t="n">
        <v>11597.1</v>
      </c>
      <c r="O50" t="n">
        <v>11979.4</v>
      </c>
      <c r="P50" t="n">
        <v>12207.2</v>
      </c>
      <c r="Q50" t="n">
        <v>13266.9</v>
      </c>
      <c r="R50" t="n">
        <v>14096.7</v>
      </c>
      <c r="S50" t="n">
        <v>14472.7</v>
      </c>
      <c r="T50" t="n">
        <v>15711.1</v>
      </c>
      <c r="U50" t="n">
        <v>16072.6</v>
      </c>
      <c r="V50" t="n">
        <v>16110</v>
      </c>
      <c r="W50" t="n">
        <v>15979.4</v>
      </c>
      <c r="X50" t="n">
        <v>14843.4</v>
      </c>
      <c r="Y50" t="n">
        <v>14701.6</v>
      </c>
      <c r="Z50" t="n">
        <v>14893.8</v>
      </c>
      <c r="AA50" t="n">
        <v>15506.4</v>
      </c>
      <c r="AB50" t="n">
        <v>16362</v>
      </c>
      <c r="AC50" t="n">
        <v>17162.9</v>
      </c>
      <c r="AD50" t="n">
        <v>18891.1</v>
      </c>
      <c r="AE50" t="n">
        <v>20347.7</v>
      </c>
      <c r="AF50" t="n">
        <v>21921.3</v>
      </c>
    </row>
    <row r="51">
      <c r="A51" t="s">
        <v>103</v>
      </c>
      <c r="B51" t="s">
        <v>372</v>
      </c>
      <c r="C51" t="s">
        <v>246</v>
      </c>
      <c r="D51" t="s">
        <v>373</v>
      </c>
      <c r="E51" t="s">
        <v>247</v>
      </c>
      <c r="F51" t="n">
        <v>8201.8</v>
      </c>
      <c r="G51" t="n">
        <v>8179.9</v>
      </c>
      <c r="H51" t="n">
        <v>8150.3</v>
      </c>
      <c r="I51" t="n">
        <v>8366</v>
      </c>
      <c r="J51" t="n">
        <v>8514.6</v>
      </c>
      <c r="K51" t="n">
        <v>9017.9</v>
      </c>
      <c r="L51" t="n">
        <v>9578.4</v>
      </c>
      <c r="M51" t="n">
        <v>10023.7</v>
      </c>
      <c r="N51" t="n">
        <v>10386.8</v>
      </c>
      <c r="O51" t="n">
        <v>10732.1</v>
      </c>
      <c r="P51" t="n">
        <v>10921.8</v>
      </c>
      <c r="Q51" t="n">
        <v>11895.2</v>
      </c>
      <c r="R51" t="n">
        <v>12624.4</v>
      </c>
      <c r="S51" t="n">
        <v>12980.7</v>
      </c>
      <c r="T51" t="n">
        <v>14231.5</v>
      </c>
      <c r="U51" t="n">
        <v>14580.2</v>
      </c>
      <c r="V51" t="n">
        <v>14584.9</v>
      </c>
      <c r="W51" t="n">
        <v>14407.6</v>
      </c>
      <c r="X51" t="n">
        <v>13364.1</v>
      </c>
      <c r="Y51" t="n">
        <v>13301.3</v>
      </c>
      <c r="Z51" t="n">
        <v>13573.3</v>
      </c>
      <c r="AA51" t="n">
        <v>14289.7</v>
      </c>
      <c r="AB51" t="n">
        <v>15186.9</v>
      </c>
      <c r="AC51" t="n">
        <v>16031.2</v>
      </c>
      <c r="AD51" t="n">
        <v>17690.7</v>
      </c>
      <c r="AE51" t="n">
        <v>19128.4</v>
      </c>
      <c r="AF51"/>
    </row>
    <row r="52">
      <c r="A52" t="s">
        <v>103</v>
      </c>
      <c r="B52" t="s">
        <v>374</v>
      </c>
      <c r="C52" t="s">
        <v>246</v>
      </c>
      <c r="D52" t="s">
        <v>375</v>
      </c>
      <c r="E52" t="s">
        <v>247</v>
      </c>
      <c r="F52" t="n">
        <v>908.6</v>
      </c>
      <c r="G52" t="n">
        <v>929.4</v>
      </c>
      <c r="H52" t="n">
        <v>953.1</v>
      </c>
      <c r="I52" t="n">
        <v>994</v>
      </c>
      <c r="J52" t="n">
        <v>1036.9</v>
      </c>
      <c r="K52" t="n">
        <v>1104.9</v>
      </c>
      <c r="L52" t="n">
        <v>1171.2</v>
      </c>
      <c r="M52" t="n">
        <v>1190</v>
      </c>
      <c r="N52" t="n">
        <v>1210.3</v>
      </c>
      <c r="O52" t="n">
        <v>1247.3</v>
      </c>
      <c r="P52" t="n">
        <v>1285.4</v>
      </c>
      <c r="Q52" t="n">
        <v>1371.7</v>
      </c>
      <c r="R52" t="n">
        <v>1472.3</v>
      </c>
      <c r="S52" t="n">
        <v>1492</v>
      </c>
      <c r="T52" t="n">
        <v>1479.6</v>
      </c>
      <c r="U52" t="n">
        <v>1492.4</v>
      </c>
      <c r="V52" t="n">
        <v>1525.1</v>
      </c>
      <c r="W52" t="n">
        <v>1571.8</v>
      </c>
      <c r="X52" t="n">
        <v>1479.3</v>
      </c>
      <c r="Y52" t="n">
        <v>1400.3</v>
      </c>
      <c r="Z52" t="n">
        <v>1320.5</v>
      </c>
      <c r="AA52" t="n">
        <v>1216.7</v>
      </c>
      <c r="AB52" t="n">
        <v>1175.1</v>
      </c>
      <c r="AC52" t="n">
        <v>1131.7</v>
      </c>
      <c r="AD52" t="n">
        <v>1200.4</v>
      </c>
      <c r="AE52" t="n">
        <v>1219.3</v>
      </c>
      <c r="AF52"/>
    </row>
    <row r="53">
      <c r="A53" t="s">
        <v>103</v>
      </c>
      <c r="B53" t="s">
        <v>376</v>
      </c>
      <c r="C53" t="s">
        <v>246</v>
      </c>
      <c r="D53" t="s">
        <v>377</v>
      </c>
      <c r="E53" t="s">
        <v>247</v>
      </c>
      <c r="F53" t="n">
        <v>3000.6</v>
      </c>
      <c r="G53" t="n">
        <v>3470.4</v>
      </c>
      <c r="H53" t="n">
        <v>3947</v>
      </c>
      <c r="I53" t="n">
        <v>4354.8</v>
      </c>
      <c r="J53" t="n">
        <v>4695.8</v>
      </c>
      <c r="K53" t="n">
        <v>5110.4</v>
      </c>
      <c r="L53" t="n">
        <v>5588.9</v>
      </c>
      <c r="M53" t="n">
        <v>6044</v>
      </c>
      <c r="N53" t="n">
        <v>6244.9</v>
      </c>
      <c r="O53" t="n">
        <v>6540.5</v>
      </c>
      <c r="P53" t="n">
        <v>6797.7</v>
      </c>
      <c r="Q53" t="n">
        <v>7248.1</v>
      </c>
      <c r="R53" t="n">
        <v>7609.1</v>
      </c>
      <c r="S53" t="n">
        <v>7604.9</v>
      </c>
      <c r="T53" t="n">
        <v>8141.3</v>
      </c>
      <c r="U53" t="n">
        <v>7578.6</v>
      </c>
      <c r="V53" t="n">
        <v>6945.3</v>
      </c>
      <c r="W53" t="n">
        <v>7231.9</v>
      </c>
      <c r="X53" t="n">
        <v>6940.4</v>
      </c>
      <c r="Y53" t="n">
        <v>6870</v>
      </c>
      <c r="Z53" t="n">
        <v>6901.8</v>
      </c>
      <c r="AA53" t="n">
        <v>6790.1</v>
      </c>
      <c r="AB53" t="n">
        <v>7149.6</v>
      </c>
      <c r="AC53" t="n">
        <v>6953.6</v>
      </c>
      <c r="AD53" t="n">
        <v>7425.4</v>
      </c>
      <c r="AE53" t="n">
        <v>7345.1</v>
      </c>
      <c r="AF53" t="n">
        <v>7475.6</v>
      </c>
    </row>
    <row r="54">
      <c r="A54" t="s">
        <v>103</v>
      </c>
      <c r="B54" t="s">
        <v>378</v>
      </c>
      <c r="C54" t="s">
        <v>246</v>
      </c>
      <c r="D54" t="s">
        <v>379</v>
      </c>
      <c r="E54" t="s">
        <v>247</v>
      </c>
      <c r="F54" t="n">
        <v>5059</v>
      </c>
      <c r="G54" t="n">
        <v>5807.5</v>
      </c>
      <c r="H54" t="n">
        <v>6521.8</v>
      </c>
      <c r="I54" t="n">
        <v>7158.9</v>
      </c>
      <c r="J54" t="n">
        <v>7669.9</v>
      </c>
      <c r="K54" t="n">
        <v>8350.9</v>
      </c>
      <c r="L54" t="n">
        <v>9048.2</v>
      </c>
      <c r="M54" t="n">
        <v>9732.4</v>
      </c>
      <c r="N54" t="n">
        <v>10056.8</v>
      </c>
      <c r="O54" t="n">
        <v>10418.6</v>
      </c>
      <c r="P54" t="n">
        <v>10887.9</v>
      </c>
      <c r="Q54" t="n">
        <v>11694.7</v>
      </c>
      <c r="R54" t="n">
        <v>12242</v>
      </c>
      <c r="S54" t="n">
        <v>12646.1</v>
      </c>
      <c r="T54" t="n">
        <v>13072.2</v>
      </c>
      <c r="U54" t="n">
        <v>12547.4</v>
      </c>
      <c r="V54" t="n">
        <v>11992.6</v>
      </c>
      <c r="W54" t="n">
        <v>12465.4</v>
      </c>
      <c r="X54" t="n">
        <v>11998.2</v>
      </c>
      <c r="Y54" t="n">
        <v>11798</v>
      </c>
      <c r="Z54" t="n">
        <v>11729.5</v>
      </c>
      <c r="AA54" t="n">
        <v>11351.6</v>
      </c>
      <c r="AB54" t="n">
        <v>11832.5</v>
      </c>
      <c r="AC54" t="n">
        <v>11516.9</v>
      </c>
      <c r="AD54" t="n">
        <v>12024.8</v>
      </c>
      <c r="AE54" t="n">
        <v>11799.3</v>
      </c>
      <c r="AF54" t="n">
        <v>11963</v>
      </c>
    </row>
    <row r="55">
      <c r="A55" t="s">
        <v>103</v>
      </c>
      <c r="B55" t="s">
        <v>380</v>
      </c>
      <c r="C55" t="s">
        <v>246</v>
      </c>
      <c r="D55" t="s">
        <v>381</v>
      </c>
      <c r="E55" t="s">
        <v>247</v>
      </c>
      <c r="F55" t="n">
        <v>2058.4</v>
      </c>
      <c r="G55" t="n">
        <v>2337.1</v>
      </c>
      <c r="H55" t="n">
        <v>2574.8</v>
      </c>
      <c r="I55" t="n">
        <v>2804.1</v>
      </c>
      <c r="J55" t="n">
        <v>2974.1</v>
      </c>
      <c r="K55" t="n">
        <v>3240.5</v>
      </c>
      <c r="L55" t="n">
        <v>3459.3</v>
      </c>
      <c r="M55" t="n">
        <v>3688.4</v>
      </c>
      <c r="N55" t="n">
        <v>3811.9</v>
      </c>
      <c r="O55" t="n">
        <v>3878.1</v>
      </c>
      <c r="P55" t="n">
        <v>4090.2</v>
      </c>
      <c r="Q55" t="n">
        <v>4446.6</v>
      </c>
      <c r="R55" t="n">
        <v>4632.9</v>
      </c>
      <c r="S55" t="n">
        <v>5041.2</v>
      </c>
      <c r="T55" t="n">
        <v>4930.9</v>
      </c>
      <c r="U55" t="n">
        <v>4968.8</v>
      </c>
      <c r="V55" t="n">
        <v>5047.3</v>
      </c>
      <c r="W55" t="n">
        <v>5233.5</v>
      </c>
      <c r="X55" t="n">
        <v>5057.8</v>
      </c>
      <c r="Y55" t="n">
        <v>4928</v>
      </c>
      <c r="Z55" t="n">
        <v>4827.7</v>
      </c>
      <c r="AA55" t="n">
        <v>4561.5</v>
      </c>
      <c r="AB55" t="n">
        <v>4682.9</v>
      </c>
      <c r="AC55" t="n">
        <v>4563.3</v>
      </c>
      <c r="AD55" t="n">
        <v>4599.4</v>
      </c>
      <c r="AE55" t="n">
        <v>4454.2</v>
      </c>
      <c r="AF55" t="n">
        <v>4487.4</v>
      </c>
    </row>
    <row r="56">
      <c r="A56" t="s">
        <v>103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103</v>
      </c>
      <c r="B57" t="s">
        <v>384</v>
      </c>
      <c r="C57" t="s">
        <v>246</v>
      </c>
      <c r="D57" t="s">
        <v>385</v>
      </c>
      <c r="E57" t="s">
        <v>247</v>
      </c>
      <c r="F57" t="n">
        <v>331550.1</v>
      </c>
      <c r="G57" t="n">
        <v>343198.8</v>
      </c>
      <c r="H57" t="n">
        <v>352751.3</v>
      </c>
      <c r="I57" t="n">
        <v>364267.6</v>
      </c>
      <c r="J57" t="n">
        <v>373618</v>
      </c>
      <c r="K57" t="n">
        <v>397679.7</v>
      </c>
      <c r="L57" t="n">
        <v>420222.2</v>
      </c>
      <c r="M57" t="n">
        <v>439450.8</v>
      </c>
      <c r="N57" t="n">
        <v>450915.8</v>
      </c>
      <c r="O57" t="n">
        <v>467801.6</v>
      </c>
      <c r="P57" t="n">
        <v>478082.9</v>
      </c>
      <c r="Q57" t="n">
        <v>506109.1</v>
      </c>
      <c r="R57" t="n">
        <v>532430.5</v>
      </c>
      <c r="S57" t="n">
        <v>555726.4</v>
      </c>
      <c r="T57" t="n">
        <v>554006.3</v>
      </c>
      <c r="U57" t="n">
        <v>560793.2</v>
      </c>
      <c r="V57" t="n">
        <v>572751.4</v>
      </c>
      <c r="W57" t="n">
        <v>579925</v>
      </c>
      <c r="X57" t="n">
        <v>562029.5</v>
      </c>
      <c r="Y57" t="n">
        <v>556023.5</v>
      </c>
      <c r="Z57" t="n">
        <v>554815.4</v>
      </c>
      <c r="AA57" t="n">
        <v>545871.3</v>
      </c>
      <c r="AB57" t="n">
        <v>557215.6</v>
      </c>
      <c r="AC57" t="n">
        <v>565660.2</v>
      </c>
      <c r="AD57" t="n">
        <v>582573.1</v>
      </c>
      <c r="AE57" t="n">
        <v>575880.2</v>
      </c>
      <c r="AF57" t="n">
        <v>595178.3</v>
      </c>
    </row>
    <row r="58">
      <c r="A58" t="s">
        <v>103</v>
      </c>
      <c r="B58" t="s">
        <v>386</v>
      </c>
      <c r="C58" t="s">
        <v>246</v>
      </c>
      <c r="D58" t="s">
        <v>387</v>
      </c>
      <c r="E58" t="s">
        <v>247</v>
      </c>
      <c r="F58" t="n">
        <v>331550.1</v>
      </c>
      <c r="G58" t="n">
        <v>343198.8</v>
      </c>
      <c r="H58" t="n">
        <v>352751.3</v>
      </c>
      <c r="I58" t="n">
        <v>364267.6</v>
      </c>
      <c r="J58" t="n">
        <v>373618</v>
      </c>
      <c r="K58" t="n">
        <v>397679.7</v>
      </c>
      <c r="L58" t="n">
        <v>420222.2</v>
      </c>
      <c r="M58" t="n">
        <v>439450.8</v>
      </c>
      <c r="N58" t="n">
        <v>450915.8</v>
      </c>
      <c r="O58" t="n">
        <v>467801.6</v>
      </c>
      <c r="P58" t="n">
        <v>478082.9</v>
      </c>
      <c r="Q58" t="n">
        <v>506109.1</v>
      </c>
      <c r="R58" t="n">
        <v>532430.5</v>
      </c>
      <c r="S58" t="n">
        <v>555726.4</v>
      </c>
      <c r="T58" t="n">
        <v>554006.3</v>
      </c>
      <c r="U58" t="n">
        <v>560793.2</v>
      </c>
      <c r="V58" t="n">
        <v>572751.4</v>
      </c>
      <c r="W58" t="n">
        <v>579925</v>
      </c>
      <c r="X58" t="n">
        <v>562029.5</v>
      </c>
      <c r="Y58" t="n">
        <v>556023.5</v>
      </c>
      <c r="Z58" t="n">
        <v>554815.4</v>
      </c>
      <c r="AA58" t="n">
        <v>545871.3</v>
      </c>
      <c r="AB58" t="n">
        <v>557215.6</v>
      </c>
      <c r="AC58" t="n">
        <v>565660.2</v>
      </c>
      <c r="AD58" t="n">
        <v>582573.1</v>
      </c>
      <c r="AE58" t="n">
        <v>575880.2</v>
      </c>
      <c r="AF58" t="n">
        <v>595178.3</v>
      </c>
    </row>
    <row r="59">
      <c r="A59" t="s">
        <v>103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105</v>
      </c>
      <c r="B2" t="s">
        <v>197</v>
      </c>
      <c r="C2" t="s">
        <v>246</v>
      </c>
      <c r="D2" t="s">
        <v>199</v>
      </c>
      <c r="E2" t="s">
        <v>247</v>
      </c>
      <c r="F2" t="n">
        <v>108363.6</v>
      </c>
      <c r="G2" t="n">
        <v>108639.9</v>
      </c>
      <c r="H2" t="n">
        <v>109774.4</v>
      </c>
      <c r="I2" t="n">
        <v>110326.2</v>
      </c>
      <c r="J2" t="n">
        <v>109313.6</v>
      </c>
      <c r="K2" t="n">
        <v>111773.9</v>
      </c>
      <c r="L2" t="n">
        <v>112841.9</v>
      </c>
      <c r="M2" t="n">
        <v>115109.1</v>
      </c>
      <c r="N2" t="n">
        <v>116655.5</v>
      </c>
      <c r="O2" t="n">
        <v>119663.8</v>
      </c>
      <c r="P2" t="n">
        <v>123112.4</v>
      </c>
      <c r="Q2" t="n">
        <v>125634.7</v>
      </c>
      <c r="R2" t="n">
        <v>128096.8</v>
      </c>
      <c r="S2" t="n">
        <v>130504.6</v>
      </c>
      <c r="T2" t="n">
        <v>129598</v>
      </c>
      <c r="U2" t="n">
        <v>130405.3</v>
      </c>
      <c r="V2" t="n">
        <v>133361.5</v>
      </c>
      <c r="W2" t="n">
        <v>131256.1</v>
      </c>
      <c r="X2" t="n">
        <v>127070.2</v>
      </c>
      <c r="Y2" t="n">
        <v>122661</v>
      </c>
      <c r="Z2" t="n">
        <v>118563.2</v>
      </c>
      <c r="AA2" t="n">
        <v>115028.2</v>
      </c>
      <c r="AB2" t="n">
        <v>112859</v>
      </c>
      <c r="AC2" t="n">
        <v>112203.4</v>
      </c>
      <c r="AD2" t="n">
        <v>110168.1</v>
      </c>
      <c r="AE2" t="n">
        <v>108479</v>
      </c>
      <c r="AF2" t="n">
        <v>111377.8</v>
      </c>
    </row>
    <row r="3">
      <c r="A3" t="s">
        <v>105</v>
      </c>
      <c r="B3" t="s">
        <v>276</v>
      </c>
      <c r="C3" t="s">
        <v>246</v>
      </c>
      <c r="D3" t="s">
        <v>277</v>
      </c>
      <c r="E3" t="s">
        <v>247</v>
      </c>
      <c r="F3" t="n">
        <v>12423.2</v>
      </c>
      <c r="G3" t="n">
        <v>13024.9</v>
      </c>
      <c r="H3" t="n">
        <v>13614.7</v>
      </c>
      <c r="I3" t="n">
        <v>14199.6</v>
      </c>
      <c r="J3" t="n">
        <v>14452.8</v>
      </c>
      <c r="K3" t="n">
        <v>15375.5</v>
      </c>
      <c r="L3" t="n">
        <v>16281</v>
      </c>
      <c r="M3" t="n">
        <v>17083.4</v>
      </c>
      <c r="N3" t="n">
        <v>17936.5</v>
      </c>
      <c r="O3" t="n">
        <v>19292.3</v>
      </c>
      <c r="P3" t="n">
        <v>20696.5</v>
      </c>
      <c r="Q3" t="n">
        <v>21723.3</v>
      </c>
      <c r="R3" t="n">
        <v>22890.1</v>
      </c>
      <c r="S3" t="n">
        <v>23836.4</v>
      </c>
      <c r="T3" t="n">
        <v>24257.1</v>
      </c>
      <c r="U3" t="n">
        <v>25327.2</v>
      </c>
      <c r="V3" t="n">
        <v>26725.1</v>
      </c>
      <c r="W3" t="n">
        <v>26953.3</v>
      </c>
      <c r="X3" t="n">
        <v>26777.1</v>
      </c>
      <c r="Y3" t="n">
        <v>27341.6</v>
      </c>
      <c r="Z3" t="n">
        <v>27642.4</v>
      </c>
      <c r="AA3" t="n">
        <v>26882.9</v>
      </c>
      <c r="AB3" t="n">
        <v>26159.9</v>
      </c>
      <c r="AC3" t="n">
        <v>26835.4</v>
      </c>
      <c r="AD3" t="n">
        <v>26732.3</v>
      </c>
      <c r="AE3" t="n">
        <v>26307.5</v>
      </c>
      <c r="AF3" t="n">
        <v>27015.6</v>
      </c>
    </row>
    <row r="4">
      <c r="A4" t="s">
        <v>105</v>
      </c>
      <c r="B4" t="s">
        <v>278</v>
      </c>
      <c r="C4" t="s">
        <v>246</v>
      </c>
      <c r="D4" t="s">
        <v>279</v>
      </c>
      <c r="E4" t="s">
        <v>247</v>
      </c>
      <c r="F4" t="n">
        <v>87613.2</v>
      </c>
      <c r="G4" t="n">
        <v>88996.4</v>
      </c>
      <c r="H4" t="n">
        <v>91396.7</v>
      </c>
      <c r="I4" t="n">
        <v>92925.7</v>
      </c>
      <c r="J4" t="n">
        <v>93646</v>
      </c>
      <c r="K4" t="n">
        <v>97446.9</v>
      </c>
      <c r="L4" t="n">
        <v>100509.1</v>
      </c>
      <c r="M4" t="n">
        <v>105134.8</v>
      </c>
      <c r="N4" t="n">
        <v>109003.6</v>
      </c>
      <c r="O4" t="n">
        <v>114739.9</v>
      </c>
      <c r="P4" t="n">
        <v>120568.7</v>
      </c>
      <c r="Q4" t="n">
        <v>125151.9</v>
      </c>
      <c r="R4" t="n">
        <v>130108.9</v>
      </c>
      <c r="S4" t="n">
        <v>135201.5</v>
      </c>
      <c r="T4" t="n">
        <v>136534.9</v>
      </c>
      <c r="U4" t="n">
        <v>140343</v>
      </c>
      <c r="V4" t="n">
        <v>145939.8</v>
      </c>
      <c r="W4" t="n">
        <v>145976.1</v>
      </c>
      <c r="X4" t="n">
        <v>142752.9</v>
      </c>
      <c r="Y4" t="n">
        <v>139364.6</v>
      </c>
      <c r="Z4" t="n">
        <v>137052.6</v>
      </c>
      <c r="AA4" t="n">
        <v>136054.5</v>
      </c>
      <c r="AB4" t="n">
        <v>135314</v>
      </c>
      <c r="AC4" t="n">
        <v>136049.5</v>
      </c>
      <c r="AD4" t="n">
        <v>134311.4</v>
      </c>
      <c r="AE4" t="n">
        <v>133608.4</v>
      </c>
      <c r="AF4" t="n">
        <v>137334.2</v>
      </c>
    </row>
    <row r="5">
      <c r="A5" t="s">
        <v>105</v>
      </c>
      <c r="B5" t="s">
        <v>280</v>
      </c>
      <c r="C5" t="s">
        <v>246</v>
      </c>
      <c r="D5" t="s">
        <v>281</v>
      </c>
      <c r="E5" t="s">
        <v>247</v>
      </c>
      <c r="F5" t="n">
        <v>6680.3</v>
      </c>
      <c r="G5" t="n">
        <v>6988.2</v>
      </c>
      <c r="H5" t="n">
        <v>7222.1</v>
      </c>
      <c r="I5" t="n">
        <v>7522.8</v>
      </c>
      <c r="J5" t="n">
        <v>7706.3</v>
      </c>
      <c r="K5" t="n">
        <v>8174.3</v>
      </c>
      <c r="L5" t="n">
        <v>8654</v>
      </c>
      <c r="M5" t="n">
        <v>9301.1</v>
      </c>
      <c r="N5" t="n">
        <v>9805.1</v>
      </c>
      <c r="O5" t="n">
        <v>10490.8</v>
      </c>
      <c r="P5" t="n">
        <v>11210.7</v>
      </c>
      <c r="Q5" t="n">
        <v>11863</v>
      </c>
      <c r="R5" t="n">
        <v>12500.8</v>
      </c>
      <c r="S5" t="n">
        <v>13153.4</v>
      </c>
      <c r="T5" t="n">
        <v>13315.8</v>
      </c>
      <c r="U5" t="n">
        <v>13845.6</v>
      </c>
      <c r="V5" t="n">
        <v>14556.8</v>
      </c>
      <c r="W5" t="n">
        <v>15200.2</v>
      </c>
      <c r="X5" t="n">
        <v>15216.5</v>
      </c>
      <c r="Y5" t="n">
        <v>15202.5</v>
      </c>
      <c r="Z5" t="n">
        <v>15339.5</v>
      </c>
      <c r="AA5" t="n">
        <v>15577.1</v>
      </c>
      <c r="AB5" t="n">
        <v>15792.3</v>
      </c>
      <c r="AC5" t="n">
        <v>16034.1</v>
      </c>
      <c r="AD5" t="n">
        <v>16200.7</v>
      </c>
      <c r="AE5" t="n">
        <v>16107.3</v>
      </c>
      <c r="AF5"/>
    </row>
    <row r="6">
      <c r="A6" t="s">
        <v>105</v>
      </c>
      <c r="B6" t="s">
        <v>282</v>
      </c>
      <c r="C6" t="s">
        <v>246</v>
      </c>
      <c r="D6" t="s">
        <v>283</v>
      </c>
      <c r="E6" t="s">
        <v>247</v>
      </c>
      <c r="F6" t="n">
        <v>8360.6</v>
      </c>
      <c r="G6" t="n">
        <v>8251.4</v>
      </c>
      <c r="H6" t="n">
        <v>8180.4</v>
      </c>
      <c r="I6" t="n">
        <v>8069</v>
      </c>
      <c r="J6" t="n">
        <v>7829.1</v>
      </c>
      <c r="K6" t="n">
        <v>7829.1</v>
      </c>
      <c r="L6" t="n">
        <v>7739.1</v>
      </c>
      <c r="M6" t="n">
        <v>7772.8</v>
      </c>
      <c r="N6" t="n">
        <v>7774.3</v>
      </c>
      <c r="O6" t="n">
        <v>7872.5</v>
      </c>
      <c r="P6" t="n">
        <v>7959.1</v>
      </c>
      <c r="Q6" t="n">
        <v>7960.9</v>
      </c>
      <c r="R6" t="n">
        <v>7960.7</v>
      </c>
      <c r="S6" t="n">
        <v>7969.5</v>
      </c>
      <c r="T6" t="n">
        <v>7812.1</v>
      </c>
      <c r="U6" t="n">
        <v>7761.8</v>
      </c>
      <c r="V6" t="n">
        <v>7809.9</v>
      </c>
      <c r="W6" t="n">
        <v>7767.6</v>
      </c>
      <c r="X6" t="n">
        <v>7472.2</v>
      </c>
      <c r="Y6" t="n">
        <v>7226.6</v>
      </c>
      <c r="Z6" t="n">
        <v>6990.9</v>
      </c>
      <c r="AA6" t="n">
        <v>6801.7</v>
      </c>
      <c r="AB6" t="n">
        <v>6573.5</v>
      </c>
      <c r="AC6" t="n">
        <v>6554</v>
      </c>
      <c r="AD6" t="n">
        <v>6308.7</v>
      </c>
      <c r="AE6" t="n">
        <v>6084.5</v>
      </c>
      <c r="AF6"/>
    </row>
    <row r="7">
      <c r="A7" t="s">
        <v>105</v>
      </c>
      <c r="B7" t="s">
        <v>284</v>
      </c>
      <c r="C7" t="s">
        <v>246</v>
      </c>
      <c r="D7" t="s">
        <v>285</v>
      </c>
      <c r="E7" t="s">
        <v>247</v>
      </c>
      <c r="F7" t="n">
        <v>6977.9</v>
      </c>
      <c r="G7" t="n">
        <v>6907.6</v>
      </c>
      <c r="H7" t="n">
        <v>6869.9</v>
      </c>
      <c r="I7" t="n">
        <v>6791.6</v>
      </c>
      <c r="J7" t="n">
        <v>6629.2</v>
      </c>
      <c r="K7" t="n">
        <v>6712.7</v>
      </c>
      <c r="L7" t="n">
        <v>6677.6</v>
      </c>
      <c r="M7" t="n">
        <v>6762.2</v>
      </c>
      <c r="N7" t="n">
        <v>6813</v>
      </c>
      <c r="O7" t="n">
        <v>6917.2</v>
      </c>
      <c r="P7" t="n">
        <v>7054.5</v>
      </c>
      <c r="Q7" t="n">
        <v>7119.6</v>
      </c>
      <c r="R7" t="n">
        <v>7189</v>
      </c>
      <c r="S7" t="n">
        <v>7288.5</v>
      </c>
      <c r="T7" t="n">
        <v>7167.6</v>
      </c>
      <c r="U7" t="n">
        <v>7212.3</v>
      </c>
      <c r="V7" t="n">
        <v>7352</v>
      </c>
      <c r="W7" t="n">
        <v>7186.1</v>
      </c>
      <c r="X7" t="n">
        <v>6995.3</v>
      </c>
      <c r="Y7" t="n">
        <v>6716.3</v>
      </c>
      <c r="Z7" t="n">
        <v>6589.8</v>
      </c>
      <c r="AA7" t="n">
        <v>6670.4</v>
      </c>
      <c r="AB7" t="n">
        <v>6696.3</v>
      </c>
      <c r="AC7" t="n">
        <v>6810.5</v>
      </c>
      <c r="AD7" t="n">
        <v>6605.6</v>
      </c>
      <c r="AE7" t="n">
        <v>6533.1</v>
      </c>
      <c r="AF7"/>
    </row>
    <row r="8">
      <c r="A8" t="s">
        <v>105</v>
      </c>
      <c r="B8" t="s">
        <v>286</v>
      </c>
      <c r="C8" t="s">
        <v>246</v>
      </c>
      <c r="D8" t="s">
        <v>287</v>
      </c>
      <c r="E8" t="s">
        <v>247</v>
      </c>
      <c r="F8" t="n">
        <v>3393.7</v>
      </c>
      <c r="G8" t="n">
        <v>3852.5</v>
      </c>
      <c r="H8" t="n">
        <v>4602.8</v>
      </c>
      <c r="I8" t="n">
        <v>5378.8</v>
      </c>
      <c r="J8" t="n">
        <v>6298.5</v>
      </c>
      <c r="K8" t="n">
        <v>7453.5</v>
      </c>
      <c r="L8" t="n">
        <v>8733</v>
      </c>
      <c r="M8" t="n">
        <v>9854.3</v>
      </c>
      <c r="N8" t="n">
        <v>11099.2</v>
      </c>
      <c r="O8" t="n">
        <v>12796.7</v>
      </c>
      <c r="P8" t="n">
        <v>14525.8</v>
      </c>
      <c r="Q8" t="n">
        <v>15947.4</v>
      </c>
      <c r="R8" t="n">
        <v>17462</v>
      </c>
      <c r="S8" t="n">
        <v>18776.8</v>
      </c>
      <c r="T8" t="n">
        <v>19373.5</v>
      </c>
      <c r="U8" t="n">
        <v>20626.2</v>
      </c>
      <c r="V8" t="n">
        <v>22141.2</v>
      </c>
      <c r="W8" t="n">
        <v>22529.6</v>
      </c>
      <c r="X8" t="n">
        <v>22160.1</v>
      </c>
      <c r="Y8" t="n">
        <v>21684.3</v>
      </c>
      <c r="Z8" t="n">
        <v>21117.5</v>
      </c>
      <c r="AA8" t="n">
        <v>20788.9</v>
      </c>
      <c r="AB8" t="n">
        <v>21039</v>
      </c>
      <c r="AC8" t="n">
        <v>21462.5</v>
      </c>
      <c r="AD8" t="n">
        <v>21505.8</v>
      </c>
      <c r="AE8" t="n">
        <v>21197.8</v>
      </c>
      <c r="AF8"/>
    </row>
    <row r="9">
      <c r="A9" t="s">
        <v>105</v>
      </c>
      <c r="B9" t="s">
        <v>288</v>
      </c>
      <c r="C9" t="s">
        <v>246</v>
      </c>
      <c r="D9" t="s">
        <v>289</v>
      </c>
      <c r="E9" t="s">
        <v>247</v>
      </c>
      <c r="F9" t="n">
        <v>6923.5</v>
      </c>
      <c r="G9" t="n">
        <v>7000.1</v>
      </c>
      <c r="H9" t="n">
        <v>7084.8</v>
      </c>
      <c r="I9" t="n">
        <v>7112.1</v>
      </c>
      <c r="J9" t="n">
        <v>7068.9</v>
      </c>
      <c r="K9" t="n">
        <v>7316.7</v>
      </c>
      <c r="L9" t="n">
        <v>7487.3</v>
      </c>
      <c r="M9" t="n">
        <v>7774</v>
      </c>
      <c r="N9" t="n">
        <v>8079.3</v>
      </c>
      <c r="O9" t="n">
        <v>8407.9</v>
      </c>
      <c r="P9" t="n">
        <v>8731.7</v>
      </c>
      <c r="Q9" t="n">
        <v>9006.9</v>
      </c>
      <c r="R9" t="n">
        <v>9319.7</v>
      </c>
      <c r="S9" t="n">
        <v>9659.2</v>
      </c>
      <c r="T9" t="n">
        <v>9712.8</v>
      </c>
      <c r="U9" t="n">
        <v>9957</v>
      </c>
      <c r="V9" t="n">
        <v>10328.2</v>
      </c>
      <c r="W9" t="n">
        <v>10233</v>
      </c>
      <c r="X9" t="n">
        <v>9811.9</v>
      </c>
      <c r="Y9" t="n">
        <v>9414.6</v>
      </c>
      <c r="Z9" t="n">
        <v>9229.3</v>
      </c>
      <c r="AA9" t="n">
        <v>9000.1</v>
      </c>
      <c r="AB9" t="n">
        <v>8744.3</v>
      </c>
      <c r="AC9" t="n">
        <v>8546</v>
      </c>
      <c r="AD9" t="n">
        <v>8179.8</v>
      </c>
      <c r="AE9" t="n">
        <v>7952</v>
      </c>
      <c r="AF9"/>
    </row>
    <row r="10">
      <c r="A10" t="s">
        <v>105</v>
      </c>
      <c r="B10" t="s">
        <v>290</v>
      </c>
      <c r="C10" t="s">
        <v>246</v>
      </c>
      <c r="D10" t="s">
        <v>291</v>
      </c>
      <c r="E10" t="s">
        <v>247</v>
      </c>
      <c r="F10" t="n">
        <v>7916.6</v>
      </c>
      <c r="G10" t="n">
        <v>8008</v>
      </c>
      <c r="H10" t="n">
        <v>8125</v>
      </c>
      <c r="I10" t="n">
        <v>8193.5</v>
      </c>
      <c r="J10" t="n">
        <v>8173</v>
      </c>
      <c r="K10" t="n">
        <v>8489.9</v>
      </c>
      <c r="L10" t="n">
        <v>8717.9</v>
      </c>
      <c r="M10" t="n">
        <v>9089.6</v>
      </c>
      <c r="N10" t="n">
        <v>9469.2</v>
      </c>
      <c r="O10" t="n">
        <v>9913.4</v>
      </c>
      <c r="P10" t="n">
        <v>10331.6</v>
      </c>
      <c r="Q10" t="n">
        <v>10684.2</v>
      </c>
      <c r="R10" t="n">
        <v>11094.3</v>
      </c>
      <c r="S10" t="n">
        <v>11526.6</v>
      </c>
      <c r="T10" t="n">
        <v>11645</v>
      </c>
      <c r="U10" t="n">
        <v>11969.6</v>
      </c>
      <c r="V10" t="n">
        <v>12447.6</v>
      </c>
      <c r="W10" t="n">
        <v>12381.2</v>
      </c>
      <c r="X10" t="n">
        <v>11956.7</v>
      </c>
      <c r="Y10" t="n">
        <v>11562.8</v>
      </c>
      <c r="Z10" t="n">
        <v>11365.1</v>
      </c>
      <c r="AA10" t="n">
        <v>11107.5</v>
      </c>
      <c r="AB10" t="n">
        <v>10844.8</v>
      </c>
      <c r="AC10" t="n">
        <v>10642.2</v>
      </c>
      <c r="AD10" t="n">
        <v>10227</v>
      </c>
      <c r="AE10" t="n">
        <v>9979.7</v>
      </c>
      <c r="AF10"/>
    </row>
    <row r="11">
      <c r="A11" t="s">
        <v>105</v>
      </c>
      <c r="B11" t="s">
        <v>292</v>
      </c>
      <c r="C11" t="s">
        <v>246</v>
      </c>
      <c r="D11" t="s">
        <v>293</v>
      </c>
      <c r="E11" t="s">
        <v>247</v>
      </c>
      <c r="F11" t="n">
        <v>993.1</v>
      </c>
      <c r="G11" t="n">
        <v>1007.9</v>
      </c>
      <c r="H11" t="n">
        <v>1040.2</v>
      </c>
      <c r="I11" t="n">
        <v>1081.4</v>
      </c>
      <c r="J11" t="n">
        <v>1104.1</v>
      </c>
      <c r="K11" t="n">
        <v>1173.2</v>
      </c>
      <c r="L11" t="n">
        <v>1230.6</v>
      </c>
      <c r="M11" t="n">
        <v>1315.6</v>
      </c>
      <c r="N11" t="n">
        <v>1389.9</v>
      </c>
      <c r="O11" t="n">
        <v>1505.5</v>
      </c>
      <c r="P11" t="n">
        <v>1599.9</v>
      </c>
      <c r="Q11" t="n">
        <v>1677.3</v>
      </c>
      <c r="R11" t="n">
        <v>1774.6</v>
      </c>
      <c r="S11" t="n">
        <v>1867.4</v>
      </c>
      <c r="T11" t="n">
        <v>1932.2</v>
      </c>
      <c r="U11" t="n">
        <v>2012.6</v>
      </c>
      <c r="V11" t="n">
        <v>2119.4</v>
      </c>
      <c r="W11" t="n">
        <v>2148.2</v>
      </c>
      <c r="X11" t="n">
        <v>2144.8</v>
      </c>
      <c r="Y11" t="n">
        <v>2148.2</v>
      </c>
      <c r="Z11" t="n">
        <v>2135.8</v>
      </c>
      <c r="AA11" t="n">
        <v>2107.4</v>
      </c>
      <c r="AB11" t="n">
        <v>2100.5</v>
      </c>
      <c r="AC11" t="n">
        <v>2096.2</v>
      </c>
      <c r="AD11" t="n">
        <v>2047.2</v>
      </c>
      <c r="AE11" t="n">
        <v>2027.7</v>
      </c>
      <c r="AF11"/>
    </row>
    <row r="12">
      <c r="A12" t="s">
        <v>105</v>
      </c>
      <c r="B12" t="s">
        <v>294</v>
      </c>
      <c r="C12" t="s">
        <v>246</v>
      </c>
      <c r="D12" t="s">
        <v>295</v>
      </c>
      <c r="E12" t="s">
        <v>247</v>
      </c>
      <c r="F12" t="n">
        <v>11364.1</v>
      </c>
      <c r="G12" t="n">
        <v>11258</v>
      </c>
      <c r="H12" t="n">
        <v>11317.1</v>
      </c>
      <c r="I12" t="n">
        <v>11331.5</v>
      </c>
      <c r="J12" t="n">
        <v>11118.8</v>
      </c>
      <c r="K12" t="n">
        <v>11320.5</v>
      </c>
      <c r="L12" t="n">
        <v>11391</v>
      </c>
      <c r="M12" t="n">
        <v>11702.6</v>
      </c>
      <c r="N12" t="n">
        <v>11874.2</v>
      </c>
      <c r="O12" t="n">
        <v>12242</v>
      </c>
      <c r="P12" t="n">
        <v>12634.3</v>
      </c>
      <c r="Q12" t="n">
        <v>12950.9</v>
      </c>
      <c r="R12" t="n">
        <v>13226.7</v>
      </c>
      <c r="S12" t="n">
        <v>13660.5</v>
      </c>
      <c r="T12" t="n">
        <v>13617.1</v>
      </c>
      <c r="U12" t="n">
        <v>13835.2</v>
      </c>
      <c r="V12" t="n">
        <v>14232.1</v>
      </c>
      <c r="W12" t="n">
        <v>13968</v>
      </c>
      <c r="X12" t="n">
        <v>13618.6</v>
      </c>
      <c r="Y12" t="n">
        <v>13154.3</v>
      </c>
      <c r="Z12" t="n">
        <v>12638</v>
      </c>
      <c r="AA12" t="n">
        <v>12304.6</v>
      </c>
      <c r="AB12" t="n">
        <v>12063.9</v>
      </c>
      <c r="AC12" t="n">
        <v>12100.8</v>
      </c>
      <c r="AD12" t="n">
        <v>11708.4</v>
      </c>
      <c r="AE12" t="n">
        <v>11386</v>
      </c>
      <c r="AF12"/>
    </row>
    <row r="13">
      <c r="A13" t="s">
        <v>105</v>
      </c>
      <c r="B13" t="s">
        <v>296</v>
      </c>
      <c r="C13" t="s">
        <v>246</v>
      </c>
      <c r="D13" t="s">
        <v>297</v>
      </c>
      <c r="E13" t="s">
        <v>247</v>
      </c>
      <c r="F13" t="n">
        <v>16590.1</v>
      </c>
      <c r="G13" t="n">
        <v>16507.3</v>
      </c>
      <c r="H13" t="n">
        <v>16768.6</v>
      </c>
      <c r="I13" t="n">
        <v>16814.7</v>
      </c>
      <c r="J13" t="n">
        <v>16478.6</v>
      </c>
      <c r="K13" t="n">
        <v>16810.5</v>
      </c>
      <c r="L13" t="n">
        <v>17011.7</v>
      </c>
      <c r="M13" t="n">
        <v>17455.7</v>
      </c>
      <c r="N13" t="n">
        <v>17737.5</v>
      </c>
      <c r="O13" t="n">
        <v>18350.4</v>
      </c>
      <c r="P13" t="n">
        <v>18809.4</v>
      </c>
      <c r="Q13" t="n">
        <v>19135.7</v>
      </c>
      <c r="R13" t="n">
        <v>19612.6</v>
      </c>
      <c r="S13" t="n">
        <v>20109</v>
      </c>
      <c r="T13" t="n">
        <v>20190.2</v>
      </c>
      <c r="U13" t="n">
        <v>20530.6</v>
      </c>
      <c r="V13" t="n">
        <v>21128.8</v>
      </c>
      <c r="W13" t="n">
        <v>21065.4</v>
      </c>
      <c r="X13" t="n">
        <v>20577.2</v>
      </c>
      <c r="Y13" t="n">
        <v>20016.8</v>
      </c>
      <c r="Z13" t="n">
        <v>19502.4</v>
      </c>
      <c r="AA13" t="n">
        <v>18836.8</v>
      </c>
      <c r="AB13" t="n">
        <v>18519.3</v>
      </c>
      <c r="AC13" t="n">
        <v>18464.3</v>
      </c>
      <c r="AD13" t="n">
        <v>17846</v>
      </c>
      <c r="AE13" t="n">
        <v>17411.9</v>
      </c>
      <c r="AF13"/>
    </row>
    <row r="14">
      <c r="A14" t="s">
        <v>105</v>
      </c>
      <c r="B14" t="s">
        <v>298</v>
      </c>
      <c r="C14" t="s">
        <v>246</v>
      </c>
      <c r="D14" t="s">
        <v>299</v>
      </c>
      <c r="E14" t="s">
        <v>247</v>
      </c>
      <c r="F14" t="n">
        <v>845.6</v>
      </c>
      <c r="G14" t="n">
        <v>977.3</v>
      </c>
      <c r="H14" t="n">
        <v>1136.3</v>
      </c>
      <c r="I14" t="n">
        <v>1221.1</v>
      </c>
      <c r="J14" t="n">
        <v>1352.3</v>
      </c>
      <c r="K14" t="n">
        <v>1493.4</v>
      </c>
      <c r="L14" t="n">
        <v>1625.6</v>
      </c>
      <c r="M14" t="n">
        <v>1812.6</v>
      </c>
      <c r="N14" t="n">
        <v>2007.3</v>
      </c>
      <c r="O14" t="n">
        <v>2182.6</v>
      </c>
      <c r="P14" t="n">
        <v>2387.7</v>
      </c>
      <c r="Q14" t="n">
        <v>2578</v>
      </c>
      <c r="R14" t="n">
        <v>2790.1</v>
      </c>
      <c r="S14" t="n">
        <v>3020.4</v>
      </c>
      <c r="T14" t="n">
        <v>3168.3</v>
      </c>
      <c r="U14" t="n">
        <v>3343.6</v>
      </c>
      <c r="V14" t="n">
        <v>3561.6</v>
      </c>
      <c r="W14" t="n">
        <v>3747.8</v>
      </c>
      <c r="X14" t="n">
        <v>3693.3</v>
      </c>
      <c r="Y14" t="n">
        <v>3791.2</v>
      </c>
      <c r="Z14" t="n">
        <v>3946.1</v>
      </c>
      <c r="AA14" t="n">
        <v>4460.6</v>
      </c>
      <c r="AB14" t="n">
        <v>4718.3</v>
      </c>
      <c r="AC14" t="n">
        <v>4710</v>
      </c>
      <c r="AD14" t="n">
        <v>4634.6</v>
      </c>
      <c r="AE14" t="n">
        <v>4763.7</v>
      </c>
      <c r="AF14"/>
    </row>
    <row r="15">
      <c r="A15" t="s">
        <v>105</v>
      </c>
      <c r="B15" t="s">
        <v>300</v>
      </c>
      <c r="C15" t="s">
        <v>246</v>
      </c>
      <c r="D15" t="s">
        <v>301</v>
      </c>
      <c r="E15" t="s">
        <v>247</v>
      </c>
      <c r="F15" t="n">
        <v>2145.8</v>
      </c>
      <c r="G15" t="n">
        <v>2396.8</v>
      </c>
      <c r="H15" t="n">
        <v>2721.2</v>
      </c>
      <c r="I15" t="n">
        <v>2971.3</v>
      </c>
      <c r="J15" t="n">
        <v>3230.5</v>
      </c>
      <c r="K15" t="n">
        <v>3598.4</v>
      </c>
      <c r="L15" t="n">
        <v>3973.3</v>
      </c>
      <c r="M15" t="n">
        <v>4440.1</v>
      </c>
      <c r="N15" t="n">
        <v>4897.4</v>
      </c>
      <c r="O15" t="n">
        <v>5400.7</v>
      </c>
      <c r="P15" t="n">
        <v>5957</v>
      </c>
      <c r="Q15" t="n">
        <v>6443.6</v>
      </c>
      <c r="R15" t="n">
        <v>6973.9</v>
      </c>
      <c r="S15" t="n">
        <v>7512.8</v>
      </c>
      <c r="T15" t="n">
        <v>7815.6</v>
      </c>
      <c r="U15" t="n">
        <v>8253.3</v>
      </c>
      <c r="V15" t="n">
        <v>8798.1</v>
      </c>
      <c r="W15" t="n">
        <v>9048.2</v>
      </c>
      <c r="X15" t="n">
        <v>8980.3</v>
      </c>
      <c r="Y15" t="n">
        <v>9067.4</v>
      </c>
      <c r="Z15" t="n">
        <v>9266</v>
      </c>
      <c r="AA15" t="n">
        <v>9781.8</v>
      </c>
      <c r="AB15" t="n">
        <v>10096.9</v>
      </c>
      <c r="AC15" t="n">
        <v>10171.8</v>
      </c>
      <c r="AD15" t="n">
        <v>10187.7</v>
      </c>
      <c r="AE15" t="n">
        <v>10375.7</v>
      </c>
      <c r="AF15"/>
    </row>
    <row r="16">
      <c r="A16" t="s">
        <v>105</v>
      </c>
      <c r="B16" t="s">
        <v>302</v>
      </c>
      <c r="C16" t="s">
        <v>246</v>
      </c>
      <c r="D16" t="s">
        <v>303</v>
      </c>
      <c r="E16" t="s">
        <v>247</v>
      </c>
      <c r="F16" t="n">
        <v>1300.2</v>
      </c>
      <c r="G16" t="n">
        <v>1419.5</v>
      </c>
      <c r="H16" t="n">
        <v>1584.9</v>
      </c>
      <c r="I16" t="n">
        <v>1750.2</v>
      </c>
      <c r="J16" t="n">
        <v>1878.2</v>
      </c>
      <c r="K16" t="n">
        <v>2105</v>
      </c>
      <c r="L16" t="n">
        <v>2347.7</v>
      </c>
      <c r="M16" t="n">
        <v>2627.5</v>
      </c>
      <c r="N16" t="n">
        <v>2890.1</v>
      </c>
      <c r="O16" t="n">
        <v>3218.1</v>
      </c>
      <c r="P16" t="n">
        <v>3569.3</v>
      </c>
      <c r="Q16" t="n">
        <v>3865.6</v>
      </c>
      <c r="R16" t="n">
        <v>4183.8</v>
      </c>
      <c r="S16" t="n">
        <v>4492.4</v>
      </c>
      <c r="T16" t="n">
        <v>4647.3</v>
      </c>
      <c r="U16" t="n">
        <v>4909.7</v>
      </c>
      <c r="V16" t="n">
        <v>5236.5</v>
      </c>
      <c r="W16" t="n">
        <v>5300.4</v>
      </c>
      <c r="X16" t="n">
        <v>5287</v>
      </c>
      <c r="Y16" t="n">
        <v>5276.2</v>
      </c>
      <c r="Z16" t="n">
        <v>5319.9</v>
      </c>
      <c r="AA16" t="n">
        <v>5321.2</v>
      </c>
      <c r="AB16" t="n">
        <v>5378.6</v>
      </c>
      <c r="AC16" t="n">
        <v>5461.8</v>
      </c>
      <c r="AD16" t="n">
        <v>5553.1</v>
      </c>
      <c r="AE16" t="n">
        <v>5612</v>
      </c>
      <c r="AF16"/>
    </row>
    <row r="17">
      <c r="A17" t="s">
        <v>105</v>
      </c>
      <c r="B17" t="s">
        <v>304</v>
      </c>
      <c r="C17" t="s">
        <v>246</v>
      </c>
      <c r="D17" t="s">
        <v>305</v>
      </c>
      <c r="E17" t="s">
        <v>247</v>
      </c>
      <c r="F17" t="n">
        <v>7515.5</v>
      </c>
      <c r="G17" t="n">
        <v>8088.6</v>
      </c>
      <c r="H17" t="n">
        <v>8625.6</v>
      </c>
      <c r="I17" t="n">
        <v>8780.3</v>
      </c>
      <c r="J17" t="n">
        <v>9135.4</v>
      </c>
      <c r="K17" t="n">
        <v>9538.9</v>
      </c>
      <c r="L17" t="n">
        <v>9809.1</v>
      </c>
      <c r="M17" t="n">
        <v>10309.4</v>
      </c>
      <c r="N17" t="n">
        <v>10700.3</v>
      </c>
      <c r="O17" t="n">
        <v>11279.2</v>
      </c>
      <c r="P17" t="n">
        <v>11920.9</v>
      </c>
      <c r="Q17" t="n">
        <v>12381.3</v>
      </c>
      <c r="R17" t="n">
        <v>12849.2</v>
      </c>
      <c r="S17" t="n">
        <v>13413.7</v>
      </c>
      <c r="T17" t="n">
        <v>13528.1</v>
      </c>
      <c r="U17" t="n">
        <v>13948</v>
      </c>
      <c r="V17" t="n">
        <v>14543.3</v>
      </c>
      <c r="W17" t="n">
        <v>14446.7</v>
      </c>
      <c r="X17" t="n">
        <v>14044.5</v>
      </c>
      <c r="Y17" t="n">
        <v>13758.1</v>
      </c>
      <c r="Z17" t="n">
        <v>13735</v>
      </c>
      <c r="AA17" t="n">
        <v>13925.2</v>
      </c>
      <c r="AB17" t="n">
        <v>13824.6</v>
      </c>
      <c r="AC17" t="n">
        <v>14066.6</v>
      </c>
      <c r="AD17" t="n">
        <v>14158.4</v>
      </c>
      <c r="AE17" t="n">
        <v>14233.8</v>
      </c>
      <c r="AF17"/>
    </row>
    <row r="18">
      <c r="A18" t="s">
        <v>105</v>
      </c>
      <c r="B18" t="s">
        <v>306</v>
      </c>
      <c r="C18" t="s">
        <v>246</v>
      </c>
      <c r="D18" t="s">
        <v>307</v>
      </c>
      <c r="E18" t="s">
        <v>247</v>
      </c>
      <c r="F18" t="n">
        <v>4456.7</v>
      </c>
      <c r="G18" t="n">
        <v>4579.2</v>
      </c>
      <c r="H18" t="n">
        <v>4710.9</v>
      </c>
      <c r="I18" t="n">
        <v>4736.8</v>
      </c>
      <c r="J18" t="n">
        <v>4800.8</v>
      </c>
      <c r="K18" t="n">
        <v>4932.9</v>
      </c>
      <c r="L18" t="n">
        <v>5058.5</v>
      </c>
      <c r="M18" t="n">
        <v>5237.5</v>
      </c>
      <c r="N18" t="n">
        <v>5339.9</v>
      </c>
      <c r="O18" t="n">
        <v>5547.8</v>
      </c>
      <c r="P18" t="n">
        <v>5783.7</v>
      </c>
      <c r="Q18" t="n">
        <v>5931.2</v>
      </c>
      <c r="R18" t="n">
        <v>6128.8</v>
      </c>
      <c r="S18" t="n">
        <v>6392.2</v>
      </c>
      <c r="T18" t="n">
        <v>6467.2</v>
      </c>
      <c r="U18" t="n">
        <v>6576.7</v>
      </c>
      <c r="V18" t="n">
        <v>6768.3</v>
      </c>
      <c r="W18" t="n">
        <v>6660.7</v>
      </c>
      <c r="X18" t="n">
        <v>6643.1</v>
      </c>
      <c r="Y18" t="n">
        <v>6555.6</v>
      </c>
      <c r="Z18" t="n">
        <v>6656</v>
      </c>
      <c r="AA18" t="n">
        <v>6787.9</v>
      </c>
      <c r="AB18" t="n">
        <v>6765.1</v>
      </c>
      <c r="AC18" t="n">
        <v>6963.8</v>
      </c>
      <c r="AD18" t="n">
        <v>7207.9</v>
      </c>
      <c r="AE18" t="n">
        <v>7985.4</v>
      </c>
      <c r="AF18"/>
    </row>
    <row r="19">
      <c r="A19" t="s">
        <v>105</v>
      </c>
      <c r="B19" t="s">
        <v>308</v>
      </c>
      <c r="C19" t="s">
        <v>246</v>
      </c>
      <c r="D19" t="s">
        <v>309</v>
      </c>
      <c r="E19" t="s">
        <v>247</v>
      </c>
      <c r="F19" t="n">
        <v>12211.9</v>
      </c>
      <c r="G19" t="n">
        <v>12158.8</v>
      </c>
      <c r="H19" t="n">
        <v>12253.1</v>
      </c>
      <c r="I19" t="n">
        <v>12335.4</v>
      </c>
      <c r="J19" t="n">
        <v>12245.8</v>
      </c>
      <c r="K19" t="n">
        <v>12586.2</v>
      </c>
      <c r="L19" t="n">
        <v>12743.9</v>
      </c>
      <c r="M19" t="n">
        <v>13209.5</v>
      </c>
      <c r="N19" t="n">
        <v>13493.5</v>
      </c>
      <c r="O19" t="n">
        <v>13929.2</v>
      </c>
      <c r="P19" t="n">
        <v>14381.7</v>
      </c>
      <c r="Q19" t="n">
        <v>14734.1</v>
      </c>
      <c r="R19" t="n">
        <v>15110.9</v>
      </c>
      <c r="S19" t="n">
        <v>15398.5</v>
      </c>
      <c r="T19" t="n">
        <v>15602.7</v>
      </c>
      <c r="U19" t="n">
        <v>15783.7</v>
      </c>
      <c r="V19" t="n">
        <v>16161.7</v>
      </c>
      <c r="W19" t="n">
        <v>15722.4</v>
      </c>
      <c r="X19" t="n">
        <v>15088.4</v>
      </c>
      <c r="Y19" t="n">
        <v>14419.9</v>
      </c>
      <c r="Z19" t="n">
        <v>13852.4</v>
      </c>
      <c r="AA19" t="n">
        <v>13472.6</v>
      </c>
      <c r="AB19" t="n">
        <v>13098.3</v>
      </c>
      <c r="AC19" t="n">
        <v>12778.9</v>
      </c>
      <c r="AD19" t="n">
        <v>12355.2</v>
      </c>
      <c r="AE19" t="n">
        <v>12313.2</v>
      </c>
      <c r="AF19"/>
    </row>
    <row r="20">
      <c r="A20" t="s">
        <v>105</v>
      </c>
      <c r="B20" t="s">
        <v>310</v>
      </c>
      <c r="C20" t="s">
        <v>246</v>
      </c>
      <c r="D20" t="s">
        <v>311</v>
      </c>
      <c r="E20" t="s">
        <v>247</v>
      </c>
      <c r="F20" t="n">
        <v>62627.9</v>
      </c>
      <c r="G20" t="n">
        <v>69242.1</v>
      </c>
      <c r="H20" t="n">
        <v>75555.5</v>
      </c>
      <c r="I20" t="n">
        <v>81917.4</v>
      </c>
      <c r="J20" t="n">
        <v>86484.8</v>
      </c>
      <c r="K20" t="n">
        <v>94903.5</v>
      </c>
      <c r="L20" t="n">
        <v>102837.1</v>
      </c>
      <c r="M20" t="n">
        <v>112819.1</v>
      </c>
      <c r="N20" t="n">
        <v>124206.3</v>
      </c>
      <c r="O20" t="n">
        <v>136582.5</v>
      </c>
      <c r="P20" t="n">
        <v>147597</v>
      </c>
      <c r="Q20" t="n">
        <v>157388.3</v>
      </c>
      <c r="R20" t="n">
        <v>169255.3</v>
      </c>
      <c r="S20" t="n">
        <v>182021.3</v>
      </c>
      <c r="T20" t="n">
        <v>188164.5</v>
      </c>
      <c r="U20" t="n">
        <v>191653.8</v>
      </c>
      <c r="V20" t="n">
        <v>201195.9</v>
      </c>
      <c r="W20" t="n">
        <v>199588.3</v>
      </c>
      <c r="X20" t="n">
        <v>196552.7</v>
      </c>
      <c r="Y20" t="n">
        <v>193167.1</v>
      </c>
      <c r="Z20" t="n">
        <v>188456.6</v>
      </c>
      <c r="AA20" t="n">
        <v>184441.3</v>
      </c>
      <c r="AB20" t="n">
        <v>181916.3</v>
      </c>
      <c r="AC20" t="n">
        <v>181582.9</v>
      </c>
      <c r="AD20" t="n">
        <v>179967.7</v>
      </c>
      <c r="AE20" t="n">
        <v>178462</v>
      </c>
      <c r="AF20" t="n">
        <v>184464.7</v>
      </c>
    </row>
    <row r="21">
      <c r="A21" t="s">
        <v>105</v>
      </c>
      <c r="B21" t="s">
        <v>312</v>
      </c>
      <c r="C21" t="s">
        <v>246</v>
      </c>
      <c r="D21" t="s">
        <v>313</v>
      </c>
      <c r="E21" t="s">
        <v>247</v>
      </c>
      <c r="F21" t="n">
        <v>80312.4</v>
      </c>
      <c r="G21" t="n">
        <v>87144.4</v>
      </c>
      <c r="H21" t="n">
        <v>93809.8</v>
      </c>
      <c r="I21" t="n">
        <v>100485.6</v>
      </c>
      <c r="J21" t="n">
        <v>105144.7</v>
      </c>
      <c r="K21" t="n">
        <v>114347.1</v>
      </c>
      <c r="L21" t="n">
        <v>122880.4</v>
      </c>
      <c r="M21" t="n">
        <v>133681.3</v>
      </c>
      <c r="N21" t="n">
        <v>145953</v>
      </c>
      <c r="O21" t="n">
        <v>159340.1</v>
      </c>
      <c r="P21" t="n">
        <v>171302.5</v>
      </c>
      <c r="Q21" t="n">
        <v>181847.4</v>
      </c>
      <c r="R21" t="n">
        <v>194522.3</v>
      </c>
      <c r="S21" t="n">
        <v>207851.5</v>
      </c>
      <c r="T21" t="n">
        <v>214147.4</v>
      </c>
      <c r="U21" t="n">
        <v>218291</v>
      </c>
      <c r="V21" t="n">
        <v>228783.5</v>
      </c>
      <c r="W21" t="n">
        <v>226964.1</v>
      </c>
      <c r="X21" t="n">
        <v>223324.9</v>
      </c>
      <c r="Y21" t="n">
        <v>219306.4</v>
      </c>
      <c r="Z21" t="n">
        <v>214139.4</v>
      </c>
      <c r="AA21" t="n">
        <v>210004</v>
      </c>
      <c r="AB21" t="n">
        <v>207840.4</v>
      </c>
      <c r="AC21" t="n">
        <v>207606.2</v>
      </c>
      <c r="AD21" t="n">
        <v>205836.1</v>
      </c>
      <c r="AE21" t="n">
        <v>204007.1</v>
      </c>
      <c r="AF21" t="n">
        <v>211512.2</v>
      </c>
    </row>
    <row r="22">
      <c r="A22" t="s">
        <v>105</v>
      </c>
      <c r="B22" t="s">
        <v>314</v>
      </c>
      <c r="C22" t="s">
        <v>246</v>
      </c>
      <c r="D22" t="s">
        <v>315</v>
      </c>
      <c r="E22" t="s">
        <v>247</v>
      </c>
      <c r="F22" t="n">
        <v>17684.5</v>
      </c>
      <c r="G22" t="n">
        <v>17902.3</v>
      </c>
      <c r="H22" t="n">
        <v>18254.3</v>
      </c>
      <c r="I22" t="n">
        <v>18568.2</v>
      </c>
      <c r="J22" t="n">
        <v>18659.9</v>
      </c>
      <c r="K22" t="n">
        <v>19443.6</v>
      </c>
      <c r="L22" t="n">
        <v>20043.3</v>
      </c>
      <c r="M22" t="n">
        <v>20862.2</v>
      </c>
      <c r="N22" t="n">
        <v>21746.7</v>
      </c>
      <c r="O22" t="n">
        <v>22757.6</v>
      </c>
      <c r="P22" t="n">
        <v>23705.5</v>
      </c>
      <c r="Q22" t="n">
        <v>24459.1</v>
      </c>
      <c r="R22" t="n">
        <v>25267</v>
      </c>
      <c r="S22" t="n">
        <v>25830.2</v>
      </c>
      <c r="T22" t="n">
        <v>25982.9</v>
      </c>
      <c r="U22" t="n">
        <v>26637.2</v>
      </c>
      <c r="V22" t="n">
        <v>27587.6</v>
      </c>
      <c r="W22" t="n">
        <v>27375.8</v>
      </c>
      <c r="X22" t="n">
        <v>26772.2</v>
      </c>
      <c r="Y22" t="n">
        <v>26139.3</v>
      </c>
      <c r="Z22" t="n">
        <v>25682.8</v>
      </c>
      <c r="AA22" t="n">
        <v>25562.7</v>
      </c>
      <c r="AB22" t="n">
        <v>25924.1</v>
      </c>
      <c r="AC22" t="n">
        <v>26023.3</v>
      </c>
      <c r="AD22" t="n">
        <v>25868.4</v>
      </c>
      <c r="AE22" t="n">
        <v>25545.1</v>
      </c>
      <c r="AF22" t="n">
        <v>27047.5</v>
      </c>
    </row>
    <row r="23">
      <c r="A23" t="s">
        <v>105</v>
      </c>
      <c r="B23" t="s">
        <v>316</v>
      </c>
      <c r="C23" t="s">
        <v>246</v>
      </c>
      <c r="D23" t="s">
        <v>317</v>
      </c>
      <c r="E23" t="s">
        <v>247</v>
      </c>
      <c r="F23" t="n">
        <v>19620.9</v>
      </c>
      <c r="G23" t="n">
        <v>19850.3</v>
      </c>
      <c r="H23" t="n">
        <v>20483</v>
      </c>
      <c r="I23" t="n">
        <v>21000.3</v>
      </c>
      <c r="J23" t="n">
        <v>21255.3</v>
      </c>
      <c r="K23" t="n">
        <v>22292.2</v>
      </c>
      <c r="L23" t="n">
        <v>23036.9</v>
      </c>
      <c r="M23" t="n">
        <v>24367.4</v>
      </c>
      <c r="N23" t="n">
        <v>25778.3</v>
      </c>
      <c r="O23" t="n">
        <v>27157.4</v>
      </c>
      <c r="P23" t="n">
        <v>28847.1</v>
      </c>
      <c r="Q23" t="n">
        <v>30039.9</v>
      </c>
      <c r="R23" t="n">
        <v>31525.8</v>
      </c>
      <c r="S23" t="n">
        <v>33157.9</v>
      </c>
      <c r="T23" t="n">
        <v>33678.8</v>
      </c>
      <c r="U23" t="n">
        <v>34866.3</v>
      </c>
      <c r="V23" t="n">
        <v>36476.1</v>
      </c>
      <c r="W23" t="n">
        <v>36840.4</v>
      </c>
      <c r="X23" t="n">
        <v>35974.8</v>
      </c>
      <c r="Y23" t="n">
        <v>35359.7</v>
      </c>
      <c r="Z23" t="n">
        <v>34803.8</v>
      </c>
      <c r="AA23" t="n">
        <v>34145.7</v>
      </c>
      <c r="AB23" t="n">
        <v>33921.9</v>
      </c>
      <c r="AC23" t="n">
        <v>33835.7</v>
      </c>
      <c r="AD23" t="n">
        <v>33658.3</v>
      </c>
      <c r="AE23" t="n">
        <v>33957.9</v>
      </c>
      <c r="AF23" t="n">
        <v>38060</v>
      </c>
    </row>
    <row r="24">
      <c r="A24" t="s">
        <v>105</v>
      </c>
      <c r="B24" t="s">
        <v>318</v>
      </c>
      <c r="C24" t="s">
        <v>246</v>
      </c>
      <c r="D24" t="s">
        <v>319</v>
      </c>
      <c r="E24" t="s">
        <v>247</v>
      </c>
      <c r="F24" t="n">
        <v>41921</v>
      </c>
      <c r="G24" t="n">
        <v>44277.5</v>
      </c>
      <c r="H24" t="n">
        <v>46802.9</v>
      </c>
      <c r="I24" t="n">
        <v>49404.1</v>
      </c>
      <c r="J24" t="n">
        <v>51947.9</v>
      </c>
      <c r="K24" t="n">
        <v>55429.2</v>
      </c>
      <c r="L24" t="n">
        <v>58628.7</v>
      </c>
      <c r="M24" t="n">
        <v>63297.8</v>
      </c>
      <c r="N24" t="n">
        <v>67652.6</v>
      </c>
      <c r="O24" t="n">
        <v>72930.6</v>
      </c>
      <c r="P24" t="n">
        <v>78658.7</v>
      </c>
      <c r="Q24" t="n">
        <v>83560.7</v>
      </c>
      <c r="R24" t="n">
        <v>88737.6</v>
      </c>
      <c r="S24" t="n">
        <v>93510.1</v>
      </c>
      <c r="T24" t="n">
        <v>96620.6</v>
      </c>
      <c r="U24" t="n">
        <v>101366.8</v>
      </c>
      <c r="V24" t="n">
        <v>107456</v>
      </c>
      <c r="W24" t="n">
        <v>109397.8</v>
      </c>
      <c r="X24" t="n">
        <v>110577.5</v>
      </c>
      <c r="Y24" t="n">
        <v>110737</v>
      </c>
      <c r="Z24" t="n">
        <v>111205.3</v>
      </c>
      <c r="AA24" t="n">
        <v>112707.7</v>
      </c>
      <c r="AB24" t="n">
        <v>114866.9</v>
      </c>
      <c r="AC24" t="n">
        <v>118148.1</v>
      </c>
      <c r="AD24" t="n">
        <v>119891.6</v>
      </c>
      <c r="AE24" t="n">
        <v>121568.6</v>
      </c>
      <c r="AF24" t="n">
        <v>127876.4</v>
      </c>
    </row>
    <row r="25">
      <c r="A25" t="s">
        <v>105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105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105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105</v>
      </c>
      <c r="B28" t="s">
        <v>326</v>
      </c>
      <c r="C28" t="s">
        <v>246</v>
      </c>
      <c r="D28" t="s">
        <v>327</v>
      </c>
      <c r="E28" t="s">
        <v>247</v>
      </c>
      <c r="F28" t="n">
        <v>114478.8</v>
      </c>
      <c r="G28" t="n">
        <v>117210</v>
      </c>
      <c r="H28" t="n">
        <v>120817.3</v>
      </c>
      <c r="I28" t="n">
        <v>123808</v>
      </c>
      <c r="J28" t="n">
        <v>125015.7</v>
      </c>
      <c r="K28" t="n">
        <v>130065.4</v>
      </c>
      <c r="L28" t="n">
        <v>135678.7</v>
      </c>
      <c r="M28" t="n">
        <v>142729.3</v>
      </c>
      <c r="N28" t="n">
        <v>148920</v>
      </c>
      <c r="O28" t="n">
        <v>158558.2</v>
      </c>
      <c r="P28" t="n">
        <v>169288.3</v>
      </c>
      <c r="Q28" t="n">
        <v>179190.2</v>
      </c>
      <c r="R28" t="n">
        <v>189687.9</v>
      </c>
      <c r="S28" t="n">
        <v>199430.5</v>
      </c>
      <c r="T28" t="n">
        <v>204953.2</v>
      </c>
      <c r="U28" t="n">
        <v>213915.2</v>
      </c>
      <c r="V28" t="n">
        <v>225615.9</v>
      </c>
      <c r="W28" t="n">
        <v>228544.9</v>
      </c>
      <c r="X28" t="n">
        <v>229418.4</v>
      </c>
      <c r="Y28" t="n">
        <v>229290.3</v>
      </c>
      <c r="Z28" t="n">
        <v>230523.5</v>
      </c>
      <c r="AA28" t="n">
        <v>233259.4</v>
      </c>
      <c r="AB28" t="n">
        <v>235063</v>
      </c>
      <c r="AC28" t="n">
        <v>240603</v>
      </c>
      <c r="AD28" t="n">
        <v>241373.9</v>
      </c>
      <c r="AE28" t="n">
        <v>243620.7</v>
      </c>
      <c r="AF28" t="n">
        <v>260627.8</v>
      </c>
    </row>
    <row r="29">
      <c r="A29" t="s">
        <v>105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105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105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105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105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105</v>
      </c>
      <c r="B34" t="s">
        <v>338</v>
      </c>
      <c r="C34" t="s">
        <v>246</v>
      </c>
      <c r="D34" t="s">
        <v>339</v>
      </c>
      <c r="E34" t="s">
        <v>247</v>
      </c>
      <c r="F34" t="n">
        <v>42770.7</v>
      </c>
      <c r="G34" t="n">
        <v>44335.8</v>
      </c>
      <c r="H34" t="n">
        <v>46482.3</v>
      </c>
      <c r="I34" t="n">
        <v>48355</v>
      </c>
      <c r="J34" t="n">
        <v>49311.9</v>
      </c>
      <c r="K34" t="n">
        <v>52185.9</v>
      </c>
      <c r="L34" t="n">
        <v>54802.7</v>
      </c>
      <c r="M34" t="n">
        <v>57697</v>
      </c>
      <c r="N34" t="n">
        <v>60634.7</v>
      </c>
      <c r="O34" t="n">
        <v>64168.8</v>
      </c>
      <c r="P34" t="n">
        <v>67806.6</v>
      </c>
      <c r="Q34" t="n">
        <v>71292.8</v>
      </c>
      <c r="R34" t="n">
        <v>74665.1</v>
      </c>
      <c r="S34" t="n">
        <v>79150.1</v>
      </c>
      <c r="T34" t="n">
        <v>80607.6</v>
      </c>
      <c r="U34" t="n">
        <v>83549.7</v>
      </c>
      <c r="V34" t="n">
        <v>87511.3</v>
      </c>
      <c r="W34" t="n">
        <v>87380.5</v>
      </c>
      <c r="X34" t="n">
        <v>85581.2</v>
      </c>
      <c r="Y34" t="n">
        <v>84176.2</v>
      </c>
      <c r="Z34" t="n">
        <v>83652.5</v>
      </c>
      <c r="AA34" t="n">
        <v>82434.5</v>
      </c>
      <c r="AB34" t="n">
        <v>82723.1</v>
      </c>
      <c r="AC34" t="n">
        <v>82933.5</v>
      </c>
      <c r="AD34" t="n">
        <v>81647.2</v>
      </c>
      <c r="AE34" t="n">
        <v>80417.9</v>
      </c>
      <c r="AF34" t="n">
        <v>83462.2</v>
      </c>
    </row>
    <row r="35">
      <c r="A35" t="s">
        <v>105</v>
      </c>
      <c r="B35" t="s">
        <v>340</v>
      </c>
      <c r="C35" t="s">
        <v>246</v>
      </c>
      <c r="D35" t="s">
        <v>341</v>
      </c>
      <c r="E35" t="s">
        <v>247</v>
      </c>
      <c r="F35" t="n">
        <v>15142.5</v>
      </c>
      <c r="G35" t="n">
        <v>16402</v>
      </c>
      <c r="H35" t="n">
        <v>17816.9</v>
      </c>
      <c r="I35" t="n">
        <v>19081.3</v>
      </c>
      <c r="J35" t="n">
        <v>20109.7</v>
      </c>
      <c r="K35" t="n">
        <v>21721</v>
      </c>
      <c r="L35" t="n">
        <v>23580.5</v>
      </c>
      <c r="M35" t="n">
        <v>25243.6</v>
      </c>
      <c r="N35" t="n">
        <v>26836.8</v>
      </c>
      <c r="O35" t="n">
        <v>28944.4</v>
      </c>
      <c r="P35" t="n">
        <v>31449.8</v>
      </c>
      <c r="Q35" t="n">
        <v>33572.6</v>
      </c>
      <c r="R35" t="n">
        <v>35811.6</v>
      </c>
      <c r="S35" t="n">
        <v>37868.2</v>
      </c>
      <c r="T35" t="n">
        <v>38716.3</v>
      </c>
      <c r="U35" t="n">
        <v>40550</v>
      </c>
      <c r="V35" t="n">
        <v>42878.4</v>
      </c>
      <c r="W35" t="n">
        <v>43456.2</v>
      </c>
      <c r="X35" t="n">
        <v>43351.9</v>
      </c>
      <c r="Y35" t="n">
        <v>43710.6</v>
      </c>
      <c r="Z35" t="n">
        <v>44025.1</v>
      </c>
      <c r="AA35" t="n">
        <v>44950</v>
      </c>
      <c r="AB35" t="n">
        <v>46434.2</v>
      </c>
      <c r="AC35" t="n">
        <v>48218.7</v>
      </c>
      <c r="AD35" t="n">
        <v>49703.5</v>
      </c>
      <c r="AE35" t="n">
        <v>51049.3</v>
      </c>
      <c r="AF35" t="n">
        <v>53783.2</v>
      </c>
    </row>
    <row r="36">
      <c r="A36" t="s">
        <v>105</v>
      </c>
      <c r="B36" t="s">
        <v>342</v>
      </c>
      <c r="C36" t="s">
        <v>246</v>
      </c>
      <c r="D36" t="s">
        <v>343</v>
      </c>
      <c r="E36" t="s">
        <v>247</v>
      </c>
      <c r="F36" t="n">
        <v>2994.5</v>
      </c>
      <c r="G36" t="n">
        <v>3176</v>
      </c>
      <c r="H36" t="n">
        <v>3399.3</v>
      </c>
      <c r="I36" t="n">
        <v>3635.7</v>
      </c>
      <c r="J36" t="n">
        <v>3809</v>
      </c>
      <c r="K36" t="n">
        <v>4133.6</v>
      </c>
      <c r="L36" t="n">
        <v>4447.6</v>
      </c>
      <c r="M36" t="n">
        <v>4866.7</v>
      </c>
      <c r="N36" t="n">
        <v>5268.3</v>
      </c>
      <c r="O36" t="n">
        <v>5723.4</v>
      </c>
      <c r="P36" t="n">
        <v>6216.9</v>
      </c>
      <c r="Q36" t="n">
        <v>6616.6</v>
      </c>
      <c r="R36" t="n">
        <v>7091.6</v>
      </c>
      <c r="S36" t="n">
        <v>7668.3</v>
      </c>
      <c r="T36" t="n">
        <v>7865.3</v>
      </c>
      <c r="U36" t="n">
        <v>8276.1</v>
      </c>
      <c r="V36" t="n">
        <v>8797.5</v>
      </c>
      <c r="W36" t="n">
        <v>8901.5</v>
      </c>
      <c r="X36" t="n">
        <v>8927.9</v>
      </c>
      <c r="Y36" t="n">
        <v>8870.3</v>
      </c>
      <c r="Z36" t="n">
        <v>8847</v>
      </c>
      <c r="AA36" t="n">
        <v>8845.7</v>
      </c>
      <c r="AB36" t="n">
        <v>8980.2</v>
      </c>
      <c r="AC36" t="n">
        <v>9138.3</v>
      </c>
      <c r="AD36" t="n">
        <v>9198.7</v>
      </c>
      <c r="AE36" t="n">
        <v>9272.6</v>
      </c>
      <c r="AF36"/>
    </row>
    <row r="37">
      <c r="A37" t="s">
        <v>105</v>
      </c>
      <c r="B37" t="s">
        <v>344</v>
      </c>
      <c r="C37" t="s">
        <v>246</v>
      </c>
      <c r="D37" t="s">
        <v>345</v>
      </c>
      <c r="E37" t="s">
        <v>247</v>
      </c>
      <c r="F37" t="n">
        <v>10499.9</v>
      </c>
      <c r="G37" t="n">
        <v>11413.3</v>
      </c>
      <c r="H37" t="n">
        <v>12380</v>
      </c>
      <c r="I37" t="n">
        <v>13269.3</v>
      </c>
      <c r="J37" t="n">
        <v>13941.4</v>
      </c>
      <c r="K37" t="n">
        <v>15023.8</v>
      </c>
      <c r="L37" t="n">
        <v>16397.3</v>
      </c>
      <c r="M37" t="n">
        <v>17372.5</v>
      </c>
      <c r="N37" t="n">
        <v>18354.6</v>
      </c>
      <c r="O37" t="n">
        <v>19712.3</v>
      </c>
      <c r="P37" t="n">
        <v>21412.5</v>
      </c>
      <c r="Q37" t="n">
        <v>22909</v>
      </c>
      <c r="R37" t="n">
        <v>24265.9</v>
      </c>
      <c r="S37" t="n">
        <v>25517.8</v>
      </c>
      <c r="T37" t="n">
        <v>26004.2</v>
      </c>
      <c r="U37" t="n">
        <v>27182.2</v>
      </c>
      <c r="V37" t="n">
        <v>28691.5</v>
      </c>
      <c r="W37" t="n">
        <v>29143</v>
      </c>
      <c r="X37" t="n">
        <v>28922.2</v>
      </c>
      <c r="Y37" t="n">
        <v>29350.4</v>
      </c>
      <c r="Z37" t="n">
        <v>29715.3</v>
      </c>
      <c r="AA37" t="n">
        <v>30538.2</v>
      </c>
      <c r="AB37" t="n">
        <v>31782.1</v>
      </c>
      <c r="AC37" t="n">
        <v>33310.8</v>
      </c>
      <c r="AD37" t="n">
        <v>34754.3</v>
      </c>
      <c r="AE37" t="n">
        <v>35966.9</v>
      </c>
      <c r="AF37"/>
    </row>
    <row r="38">
      <c r="A38" t="s">
        <v>105</v>
      </c>
      <c r="B38" t="s">
        <v>346</v>
      </c>
      <c r="C38" t="s">
        <v>246</v>
      </c>
      <c r="D38" t="s">
        <v>347</v>
      </c>
      <c r="E38" t="s">
        <v>247</v>
      </c>
      <c r="F38" t="n">
        <v>1648.1</v>
      </c>
      <c r="G38" t="n">
        <v>1812.7</v>
      </c>
      <c r="H38" t="n">
        <v>2037.6</v>
      </c>
      <c r="I38" t="n">
        <v>2176.3</v>
      </c>
      <c r="J38" t="n">
        <v>2359.3</v>
      </c>
      <c r="K38" t="n">
        <v>2563.6</v>
      </c>
      <c r="L38" t="n">
        <v>2735.6</v>
      </c>
      <c r="M38" t="n">
        <v>3004.4</v>
      </c>
      <c r="N38" t="n">
        <v>3213.9</v>
      </c>
      <c r="O38" t="n">
        <v>3508.7</v>
      </c>
      <c r="P38" t="n">
        <v>3820.4</v>
      </c>
      <c r="Q38" t="n">
        <v>4047</v>
      </c>
      <c r="R38" t="n">
        <v>4454.1</v>
      </c>
      <c r="S38" t="n">
        <v>4682.1</v>
      </c>
      <c r="T38" t="n">
        <v>4846.8</v>
      </c>
      <c r="U38" t="n">
        <v>5091.7</v>
      </c>
      <c r="V38" t="n">
        <v>5389.4</v>
      </c>
      <c r="W38" t="n">
        <v>5411.7</v>
      </c>
      <c r="X38" t="n">
        <v>5501.8</v>
      </c>
      <c r="Y38" t="n">
        <v>5489.9</v>
      </c>
      <c r="Z38" t="n">
        <v>5462.8</v>
      </c>
      <c r="AA38" t="n">
        <v>5566.1</v>
      </c>
      <c r="AB38" t="n">
        <v>5671.9</v>
      </c>
      <c r="AC38" t="n">
        <v>5769.6</v>
      </c>
      <c r="AD38" t="n">
        <v>5750.5</v>
      </c>
      <c r="AE38" t="n">
        <v>5809.8</v>
      </c>
      <c r="AF38"/>
    </row>
    <row r="39">
      <c r="A39" t="s">
        <v>105</v>
      </c>
      <c r="B39" t="s">
        <v>348</v>
      </c>
      <c r="C39" t="s">
        <v>246</v>
      </c>
      <c r="D39" t="s">
        <v>349</v>
      </c>
      <c r="E39" t="s">
        <v>247</v>
      </c>
      <c r="F39" t="n">
        <v>46177.9</v>
      </c>
      <c r="G39" t="n">
        <v>49353.3</v>
      </c>
      <c r="H39" t="n">
        <v>52738.4</v>
      </c>
      <c r="I39" t="n">
        <v>55960</v>
      </c>
      <c r="J39" t="n">
        <v>56883.3</v>
      </c>
      <c r="K39" t="n">
        <v>60196.2</v>
      </c>
      <c r="L39" t="n">
        <v>63219.8</v>
      </c>
      <c r="M39" t="n">
        <v>67088.7</v>
      </c>
      <c r="N39" t="n">
        <v>69233.1</v>
      </c>
      <c r="O39" t="n">
        <v>72909.9</v>
      </c>
      <c r="P39" t="n">
        <v>75845.8</v>
      </c>
      <c r="Q39" t="n">
        <v>78135</v>
      </c>
      <c r="R39" t="n">
        <v>81813.4</v>
      </c>
      <c r="S39" t="n">
        <v>85006.2</v>
      </c>
      <c r="T39" t="n">
        <v>85968.3</v>
      </c>
      <c r="U39" t="n">
        <v>89084.3</v>
      </c>
      <c r="V39" t="n">
        <v>92734.3</v>
      </c>
      <c r="W39" t="n">
        <v>92407.1</v>
      </c>
      <c r="X39" t="n">
        <v>91396.4</v>
      </c>
      <c r="Y39" t="n">
        <v>90824.7</v>
      </c>
      <c r="Z39" t="n">
        <v>90274.7</v>
      </c>
      <c r="AA39" t="n">
        <v>89938.3</v>
      </c>
      <c r="AB39" t="n">
        <v>91311.4</v>
      </c>
      <c r="AC39" t="n">
        <v>93552.9</v>
      </c>
      <c r="AD39" t="n">
        <v>94678.9</v>
      </c>
      <c r="AE39" t="n">
        <v>95903.6</v>
      </c>
      <c r="AF39" t="n">
        <v>102025.3</v>
      </c>
    </row>
    <row r="40">
      <c r="A40" t="s">
        <v>105</v>
      </c>
      <c r="B40" t="s">
        <v>350</v>
      </c>
      <c r="C40" t="s">
        <v>246</v>
      </c>
      <c r="D40" t="s">
        <v>351</v>
      </c>
      <c r="E40" t="s">
        <v>247</v>
      </c>
      <c r="F40" t="n">
        <v>59632.9</v>
      </c>
      <c r="G40" t="n">
        <v>65005.3</v>
      </c>
      <c r="H40" t="n">
        <v>71124.4</v>
      </c>
      <c r="I40" t="n">
        <v>76715.4</v>
      </c>
      <c r="J40" t="n">
        <v>81928.1</v>
      </c>
      <c r="K40" t="n">
        <v>89874.5</v>
      </c>
      <c r="L40" t="n">
        <v>97281.7</v>
      </c>
      <c r="M40" t="n">
        <v>106940.7</v>
      </c>
      <c r="N40" t="n">
        <v>115866.1</v>
      </c>
      <c r="O40" t="n">
        <v>126855.8</v>
      </c>
      <c r="P40" t="n">
        <v>138834.5</v>
      </c>
      <c r="Q40" t="n">
        <v>149865.4</v>
      </c>
      <c r="R40" t="n">
        <v>161753.3</v>
      </c>
      <c r="S40" t="n">
        <v>173679.6</v>
      </c>
      <c r="T40" t="n">
        <v>181653.8</v>
      </c>
      <c r="U40" t="n">
        <v>192076.5</v>
      </c>
      <c r="V40" t="n">
        <v>204755.3</v>
      </c>
      <c r="W40" t="n">
        <v>211173.9</v>
      </c>
      <c r="X40" t="n">
        <v>214991</v>
      </c>
      <c r="Y40" t="n">
        <v>218517.2</v>
      </c>
      <c r="Z40" t="n">
        <v>220388.2</v>
      </c>
      <c r="AA40" t="n">
        <v>223212.5</v>
      </c>
      <c r="AB40" t="n">
        <v>228629</v>
      </c>
      <c r="AC40" t="n">
        <v>236477.9</v>
      </c>
      <c r="AD40" t="n">
        <v>242010.5</v>
      </c>
      <c r="AE40" t="n">
        <v>247130.9</v>
      </c>
      <c r="AF40" t="n">
        <v>263565.3</v>
      </c>
    </row>
    <row r="41">
      <c r="A41" t="s">
        <v>105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105</v>
      </c>
      <c r="B42" t="s">
        <v>354</v>
      </c>
      <c r="C42" t="s">
        <v>246</v>
      </c>
      <c r="D42" t="s">
        <v>355</v>
      </c>
      <c r="E42" t="s">
        <v>247</v>
      </c>
      <c r="F42" t="n">
        <v>13230.6</v>
      </c>
      <c r="G42" t="n">
        <v>14210</v>
      </c>
      <c r="H42" t="n">
        <v>15451.7</v>
      </c>
      <c r="I42" t="n">
        <v>16459.8</v>
      </c>
      <c r="J42" t="n">
        <v>17515.3</v>
      </c>
      <c r="K42" t="n">
        <v>19142.7</v>
      </c>
      <c r="L42" t="n">
        <v>20483.8</v>
      </c>
      <c r="M42" t="n">
        <v>22230.5</v>
      </c>
      <c r="N42" t="n">
        <v>23862.3</v>
      </c>
      <c r="O42" t="n">
        <v>25686.3</v>
      </c>
      <c r="P42" t="n">
        <v>27773.7</v>
      </c>
      <c r="Q42" t="n">
        <v>29477.2</v>
      </c>
      <c r="R42" t="n">
        <v>31436.1</v>
      </c>
      <c r="S42" t="n">
        <v>33279.8</v>
      </c>
      <c r="T42" t="n">
        <v>34409.8</v>
      </c>
      <c r="U42" t="n">
        <v>36018.7</v>
      </c>
      <c r="V42" t="n">
        <v>38057.4</v>
      </c>
      <c r="W42" t="n">
        <v>39001.5</v>
      </c>
      <c r="X42" t="n">
        <v>39634.2</v>
      </c>
      <c r="Y42" t="n">
        <v>39944.9</v>
      </c>
      <c r="Z42" t="n">
        <v>39830.1</v>
      </c>
      <c r="AA42" t="n">
        <v>39935.4</v>
      </c>
      <c r="AB42" t="n">
        <v>40250.9</v>
      </c>
      <c r="AC42" t="n">
        <v>41191.6</v>
      </c>
      <c r="AD42" t="n">
        <v>41473.5</v>
      </c>
      <c r="AE42" t="n">
        <v>41684.5</v>
      </c>
      <c r="AF42" t="n">
        <v>44137.1</v>
      </c>
    </row>
    <row r="43">
      <c r="A43" t="s">
        <v>105</v>
      </c>
      <c r="B43" t="s">
        <v>356</v>
      </c>
      <c r="C43" t="s">
        <v>246</v>
      </c>
      <c r="D43" t="s">
        <v>357</v>
      </c>
      <c r="E43" t="s">
        <v>247</v>
      </c>
      <c r="F43" t="n">
        <v>18943.6</v>
      </c>
      <c r="G43" t="n">
        <v>20654.6</v>
      </c>
      <c r="H43" t="n">
        <v>22850.2</v>
      </c>
      <c r="I43" t="n">
        <v>24500.5</v>
      </c>
      <c r="J43" t="n">
        <v>26384.5</v>
      </c>
      <c r="K43" t="n">
        <v>29052.4</v>
      </c>
      <c r="L43" t="n">
        <v>31305.2</v>
      </c>
      <c r="M43" t="n">
        <v>34257.7</v>
      </c>
      <c r="N43" t="n">
        <v>37125.9</v>
      </c>
      <c r="O43" t="n">
        <v>40245</v>
      </c>
      <c r="P43" t="n">
        <v>43830.1</v>
      </c>
      <c r="Q43" t="n">
        <v>46830.3</v>
      </c>
      <c r="R43" t="n">
        <v>50241.6</v>
      </c>
      <c r="S43" t="n">
        <v>53732.3</v>
      </c>
      <c r="T43" t="n">
        <v>55635.3</v>
      </c>
      <c r="U43" t="n">
        <v>58580.4</v>
      </c>
      <c r="V43" t="n">
        <v>62289.4</v>
      </c>
      <c r="W43" t="n">
        <v>63550.6</v>
      </c>
      <c r="X43" t="n">
        <v>64171.5</v>
      </c>
      <c r="Y43" t="n">
        <v>64922.2</v>
      </c>
      <c r="Z43" t="n">
        <v>64782.3</v>
      </c>
      <c r="AA43" t="n">
        <v>65112.4</v>
      </c>
      <c r="AB43" t="n">
        <v>65885.1</v>
      </c>
      <c r="AC43" t="n">
        <v>67660.1</v>
      </c>
      <c r="AD43" t="n">
        <v>68082.8</v>
      </c>
      <c r="AE43" t="n">
        <v>68661.5</v>
      </c>
      <c r="AF43" t="n">
        <v>72853.8</v>
      </c>
    </row>
    <row r="44">
      <c r="A44" t="s">
        <v>105</v>
      </c>
      <c r="B44" t="s">
        <v>358</v>
      </c>
      <c r="C44" t="s">
        <v>246</v>
      </c>
      <c r="D44" t="s">
        <v>359</v>
      </c>
      <c r="E44" t="s">
        <v>247</v>
      </c>
      <c r="F44" t="n">
        <v>601123.9</v>
      </c>
      <c r="G44" t="n">
        <v>623957.1</v>
      </c>
      <c r="H44" t="n">
        <v>651518.4</v>
      </c>
      <c r="I44" t="n">
        <v>675892.3</v>
      </c>
      <c r="J44" t="n">
        <v>690047.1</v>
      </c>
      <c r="K44" t="n">
        <v>727688</v>
      </c>
      <c r="L44" t="n">
        <v>761779</v>
      </c>
      <c r="M44" t="n">
        <v>806267.3</v>
      </c>
      <c r="N44" t="n">
        <v>847767.9</v>
      </c>
      <c r="O44" t="n">
        <v>901651.6</v>
      </c>
      <c r="P44" t="n">
        <v>957006</v>
      </c>
      <c r="Q44" t="n">
        <v>1004107.8</v>
      </c>
      <c r="R44" t="n">
        <v>1057015</v>
      </c>
      <c r="S44" t="n">
        <v>1109730.9</v>
      </c>
      <c r="T44" t="n">
        <v>1132248.2</v>
      </c>
      <c r="U44" t="n">
        <v>1169456.9</v>
      </c>
      <c r="V44" t="n">
        <v>1224885.3</v>
      </c>
      <c r="W44" t="n">
        <v>1227912.1</v>
      </c>
      <c r="X44" t="n">
        <v>1215051.6</v>
      </c>
      <c r="Y44" t="n">
        <v>1202374.9</v>
      </c>
      <c r="Z44" t="n">
        <v>1191209.3</v>
      </c>
      <c r="AA44" t="n">
        <v>1185071.7</v>
      </c>
      <c r="AB44" t="n">
        <v>1187545.6</v>
      </c>
      <c r="AC44" t="n">
        <v>1203243.7</v>
      </c>
      <c r="AD44" t="n">
        <v>1201313.8</v>
      </c>
      <c r="AE44" t="n">
        <v>1202453.8</v>
      </c>
      <c r="AF44" t="n">
        <v>1262675.1</v>
      </c>
    </row>
    <row r="45">
      <c r="A45" t="s">
        <v>105</v>
      </c>
      <c r="B45" t="s">
        <v>360</v>
      </c>
      <c r="C45" t="s">
        <v>246</v>
      </c>
      <c r="D45" t="s">
        <v>361</v>
      </c>
      <c r="E45" t="s">
        <v>247</v>
      </c>
      <c r="F45" t="n">
        <v>492760.3</v>
      </c>
      <c r="G45" t="n">
        <v>515317.2</v>
      </c>
      <c r="H45" t="n">
        <v>541744</v>
      </c>
      <c r="I45" t="n">
        <v>565566.1</v>
      </c>
      <c r="J45" t="n">
        <v>580733.5</v>
      </c>
      <c r="K45" t="n">
        <v>615914.1</v>
      </c>
      <c r="L45" t="n">
        <v>648937.1</v>
      </c>
      <c r="M45" t="n">
        <v>691158.2</v>
      </c>
      <c r="N45" t="n">
        <v>731112.4</v>
      </c>
      <c r="O45" t="n">
        <v>781987.8</v>
      </c>
      <c r="P45" t="n">
        <v>833893.6</v>
      </c>
      <c r="Q45" t="n">
        <v>878473.1</v>
      </c>
      <c r="R45" t="n">
        <v>928918.2</v>
      </c>
      <c r="S45" t="n">
        <v>979226.3</v>
      </c>
      <c r="T45" t="n">
        <v>1002650.2</v>
      </c>
      <c r="U45" t="n">
        <v>1039051.6</v>
      </c>
      <c r="V45" t="n">
        <v>1091523.8</v>
      </c>
      <c r="W45" t="n">
        <v>1096656</v>
      </c>
      <c r="X45" t="n">
        <v>1087981.4</v>
      </c>
      <c r="Y45" t="n">
        <v>1079713.9</v>
      </c>
      <c r="Z45" t="n">
        <v>1072646.1</v>
      </c>
      <c r="AA45" t="n">
        <v>1070043.5</v>
      </c>
      <c r="AB45" t="n">
        <v>1074686.6</v>
      </c>
      <c r="AC45" t="n">
        <v>1091040.3</v>
      </c>
      <c r="AD45" t="n">
        <v>1091145.7</v>
      </c>
      <c r="AE45" t="n">
        <v>1093974.8</v>
      </c>
      <c r="AF45" t="n">
        <v>1151297.3</v>
      </c>
    </row>
    <row r="46">
      <c r="A46" t="s">
        <v>105</v>
      </c>
      <c r="B46" t="s">
        <v>362</v>
      </c>
      <c r="C46" t="s">
        <v>246</v>
      </c>
      <c r="D46" t="s">
        <v>363</v>
      </c>
      <c r="E46" t="s">
        <v>247</v>
      </c>
      <c r="F46" t="n">
        <v>5713</v>
      </c>
      <c r="G46" t="n">
        <v>6444.6</v>
      </c>
      <c r="H46" t="n">
        <v>7398.5</v>
      </c>
      <c r="I46" t="n">
        <v>8040.7</v>
      </c>
      <c r="J46" t="n">
        <v>8869.2</v>
      </c>
      <c r="K46" t="n">
        <v>9909.7</v>
      </c>
      <c r="L46" t="n">
        <v>10821.4</v>
      </c>
      <c r="M46" t="n">
        <v>12027.2</v>
      </c>
      <c r="N46" t="n">
        <v>13263.6</v>
      </c>
      <c r="O46" t="n">
        <v>14558.7</v>
      </c>
      <c r="P46" t="n">
        <v>16056.4</v>
      </c>
      <c r="Q46" t="n">
        <v>17353.1</v>
      </c>
      <c r="R46" t="n">
        <v>18805.5</v>
      </c>
      <c r="S46" t="n">
        <v>20452.5</v>
      </c>
      <c r="T46" t="n">
        <v>21225.5</v>
      </c>
      <c r="U46" t="n">
        <v>22561.7</v>
      </c>
      <c r="V46" t="n">
        <v>24232</v>
      </c>
      <c r="W46" t="n">
        <v>24549.1</v>
      </c>
      <c r="X46" t="n">
        <v>24537.3</v>
      </c>
      <c r="Y46" t="n">
        <v>24977.3</v>
      </c>
      <c r="Z46" t="n">
        <v>24952.2</v>
      </c>
      <c r="AA46" t="n">
        <v>25177</v>
      </c>
      <c r="AB46" t="n">
        <v>25634.2</v>
      </c>
      <c r="AC46" t="n">
        <v>26468.5</v>
      </c>
      <c r="AD46" t="n">
        <v>26609.3</v>
      </c>
      <c r="AE46" t="n">
        <v>26977</v>
      </c>
      <c r="AF46" t="n">
        <v>28716.7</v>
      </c>
    </row>
    <row r="47">
      <c r="A47" t="s">
        <v>105</v>
      </c>
      <c r="B47" t="s">
        <v>364</v>
      </c>
      <c r="C47" t="s">
        <v>246</v>
      </c>
      <c r="D47" t="s">
        <v>365</v>
      </c>
      <c r="E47" t="s">
        <v>247</v>
      </c>
      <c r="F47" t="n">
        <v>321456.4</v>
      </c>
      <c r="G47" t="n">
        <v>333100.1</v>
      </c>
      <c r="H47" t="n">
        <v>348073.1</v>
      </c>
      <c r="I47" t="n">
        <v>362796.8</v>
      </c>
      <c r="J47" t="n">
        <v>372254.1</v>
      </c>
      <c r="K47" t="n">
        <v>392171.1</v>
      </c>
      <c r="L47" t="n">
        <v>409403.7</v>
      </c>
      <c r="M47" t="n">
        <v>431776</v>
      </c>
      <c r="N47" t="n">
        <v>451888.9</v>
      </c>
      <c r="O47" t="n">
        <v>482175.1</v>
      </c>
      <c r="P47" t="n">
        <v>511193.9</v>
      </c>
      <c r="Q47" t="n">
        <v>535647.7</v>
      </c>
      <c r="R47" t="n">
        <v>561430.4</v>
      </c>
      <c r="S47" t="n">
        <v>587823.9</v>
      </c>
      <c r="T47" t="n">
        <v>603652.9</v>
      </c>
      <c r="U47" t="n">
        <v>624588.2</v>
      </c>
      <c r="V47" t="n">
        <v>650486.4</v>
      </c>
      <c r="W47" t="n">
        <v>651629.7</v>
      </c>
      <c r="X47" t="n">
        <v>646951.5</v>
      </c>
      <c r="Y47" t="n">
        <v>641287.9</v>
      </c>
      <c r="Z47" t="n">
        <v>636265.3</v>
      </c>
      <c r="AA47" t="n">
        <v>630033.5</v>
      </c>
      <c r="AB47" t="n">
        <v>626319.8</v>
      </c>
      <c r="AC47" t="n">
        <v>628152.5</v>
      </c>
      <c r="AD47" t="n">
        <v>622315.3</v>
      </c>
      <c r="AE47" t="n">
        <v>618810.2</v>
      </c>
      <c r="AF47" t="n">
        <v>645125.7</v>
      </c>
    </row>
    <row r="48">
      <c r="A48" t="s">
        <v>105</v>
      </c>
      <c r="B48" t="s">
        <v>366</v>
      </c>
      <c r="C48" t="s">
        <v>246</v>
      </c>
      <c r="D48" t="s">
        <v>367</v>
      </c>
      <c r="E48" t="s">
        <v>247</v>
      </c>
      <c r="F48" t="n">
        <v>359033.6</v>
      </c>
      <c r="G48" t="n">
        <v>372909.7</v>
      </c>
      <c r="H48" t="n">
        <v>390607.9</v>
      </c>
      <c r="I48" t="n">
        <v>408079</v>
      </c>
      <c r="J48" t="n">
        <v>419789.4</v>
      </c>
      <c r="K48" t="n">
        <v>443821.7</v>
      </c>
      <c r="L48" t="n">
        <v>464755.7</v>
      </c>
      <c r="M48" t="n">
        <v>491682.3</v>
      </c>
      <c r="N48" t="n">
        <v>516055.1</v>
      </c>
      <c r="O48" t="n">
        <v>551297.6</v>
      </c>
      <c r="P48" t="n">
        <v>585818.4</v>
      </c>
      <c r="Q48" t="n">
        <v>615350.7</v>
      </c>
      <c r="R48" t="n">
        <v>646343.6</v>
      </c>
      <c r="S48" t="n">
        <v>677301.6</v>
      </c>
      <c r="T48" t="n">
        <v>696449.3</v>
      </c>
      <c r="U48" t="n">
        <v>722216</v>
      </c>
      <c r="V48" t="n">
        <v>753211.4</v>
      </c>
      <c r="W48" t="n">
        <v>755300.9</v>
      </c>
      <c r="X48" t="n">
        <v>749977.7</v>
      </c>
      <c r="Y48" t="n">
        <v>742731.4</v>
      </c>
      <c r="Z48" t="n">
        <v>735757.8</v>
      </c>
      <c r="AA48" t="n">
        <v>727605.3</v>
      </c>
      <c r="AB48" t="n">
        <v>722547.5</v>
      </c>
      <c r="AC48" t="n">
        <v>723507.4</v>
      </c>
      <c r="AD48" t="n">
        <v>715517.5</v>
      </c>
      <c r="AE48" t="n">
        <v>710205.9</v>
      </c>
      <c r="AF48" t="n">
        <v>739559.5</v>
      </c>
    </row>
    <row r="49">
      <c r="A49" t="s">
        <v>105</v>
      </c>
      <c r="B49" t="s">
        <v>368</v>
      </c>
      <c r="C49" t="s">
        <v>246</v>
      </c>
      <c r="D49" t="s">
        <v>369</v>
      </c>
      <c r="E49" t="s">
        <v>247</v>
      </c>
      <c r="F49" t="n">
        <v>14853.7</v>
      </c>
      <c r="G49" t="n">
        <v>15522.6</v>
      </c>
      <c r="H49" t="n">
        <v>16333.9</v>
      </c>
      <c r="I49" t="n">
        <v>17255.4</v>
      </c>
      <c r="J49" t="n">
        <v>17969.2</v>
      </c>
      <c r="K49" t="n">
        <v>19192.5</v>
      </c>
      <c r="L49" t="n">
        <v>20193.7</v>
      </c>
      <c r="M49" t="n">
        <v>21563.2</v>
      </c>
      <c r="N49" t="n">
        <v>22752.6</v>
      </c>
      <c r="O49" t="n">
        <v>24348.1</v>
      </c>
      <c r="P49" t="n">
        <v>25925.3</v>
      </c>
      <c r="Q49" t="n">
        <v>27246.7</v>
      </c>
      <c r="R49" t="n">
        <v>28609.4</v>
      </c>
      <c r="S49" t="n">
        <v>29851.8</v>
      </c>
      <c r="T49" t="n">
        <v>30465.6</v>
      </c>
      <c r="U49" t="n">
        <v>31410</v>
      </c>
      <c r="V49" t="n">
        <v>32629.2</v>
      </c>
      <c r="W49" t="n">
        <v>32547.3</v>
      </c>
      <c r="X49" t="n">
        <v>32376.4</v>
      </c>
      <c r="Y49" t="n">
        <v>32190.2</v>
      </c>
      <c r="Z49" t="n">
        <v>31910.7</v>
      </c>
      <c r="AA49" t="n">
        <v>31706.1</v>
      </c>
      <c r="AB49" t="n">
        <v>31592.7</v>
      </c>
      <c r="AC49" t="n">
        <v>31621.4</v>
      </c>
      <c r="AD49" t="n">
        <v>31233.8</v>
      </c>
      <c r="AE49" t="n">
        <v>30977.1</v>
      </c>
      <c r="AF49" t="n">
        <v>32257</v>
      </c>
    </row>
    <row r="50">
      <c r="A50" t="s">
        <v>105</v>
      </c>
      <c r="B50" t="s">
        <v>370</v>
      </c>
      <c r="C50" t="s">
        <v>246</v>
      </c>
      <c r="D50" t="s">
        <v>371</v>
      </c>
      <c r="E50" t="s">
        <v>247</v>
      </c>
      <c r="F50" t="n">
        <v>22723.5</v>
      </c>
      <c r="G50" t="n">
        <v>24287</v>
      </c>
      <c r="H50" t="n">
        <v>26200.9</v>
      </c>
      <c r="I50" t="n">
        <v>28026.8</v>
      </c>
      <c r="J50" t="n">
        <v>29566.1</v>
      </c>
      <c r="K50" t="n">
        <v>32458</v>
      </c>
      <c r="L50" t="n">
        <v>35158.3</v>
      </c>
      <c r="M50" t="n">
        <v>38343.1</v>
      </c>
      <c r="N50" t="n">
        <v>41413.7</v>
      </c>
      <c r="O50" t="n">
        <v>44774.4</v>
      </c>
      <c r="P50" t="n">
        <v>48699.2</v>
      </c>
      <c r="Q50" t="n">
        <v>52456.4</v>
      </c>
      <c r="R50" t="n">
        <v>56303.8</v>
      </c>
      <c r="S50" t="n">
        <v>59626</v>
      </c>
      <c r="T50" t="n">
        <v>62330.8</v>
      </c>
      <c r="U50" t="n">
        <v>66217.7</v>
      </c>
      <c r="V50" t="n">
        <v>70095.7</v>
      </c>
      <c r="W50" t="n">
        <v>71123.9</v>
      </c>
      <c r="X50" t="n">
        <v>70649.8</v>
      </c>
      <c r="Y50" t="n">
        <v>69253.2</v>
      </c>
      <c r="Z50" t="n">
        <v>67581.9</v>
      </c>
      <c r="AA50" t="n">
        <v>65865.7</v>
      </c>
      <c r="AB50" t="n">
        <v>64635.1</v>
      </c>
      <c r="AC50" t="n">
        <v>63733.5</v>
      </c>
      <c r="AD50" t="n">
        <v>61968.4</v>
      </c>
      <c r="AE50" t="n">
        <v>60418.7</v>
      </c>
      <c r="AF50" t="n">
        <v>62176.8</v>
      </c>
    </row>
    <row r="51">
      <c r="A51" t="s">
        <v>105</v>
      </c>
      <c r="B51" t="s">
        <v>372</v>
      </c>
      <c r="C51" t="s">
        <v>246</v>
      </c>
      <c r="D51" t="s">
        <v>373</v>
      </c>
      <c r="E51" t="s">
        <v>247</v>
      </c>
      <c r="F51" t="n">
        <v>19283.4</v>
      </c>
      <c r="G51" t="n">
        <v>20717.2</v>
      </c>
      <c r="H51" t="n">
        <v>22438.5</v>
      </c>
      <c r="I51" t="n">
        <v>24135</v>
      </c>
      <c r="J51" t="n">
        <v>25610.1</v>
      </c>
      <c r="K51" t="n">
        <v>28283</v>
      </c>
      <c r="L51" t="n">
        <v>30770.2</v>
      </c>
      <c r="M51" t="n">
        <v>33739</v>
      </c>
      <c r="N51" t="n">
        <v>36607.3</v>
      </c>
      <c r="O51" t="n">
        <v>39656.9</v>
      </c>
      <c r="P51" t="n">
        <v>43285</v>
      </c>
      <c r="Q51" t="n">
        <v>46789.6</v>
      </c>
      <c r="R51" t="n">
        <v>50339.9</v>
      </c>
      <c r="S51" t="n">
        <v>53420.2</v>
      </c>
      <c r="T51" t="n">
        <v>55953.8</v>
      </c>
      <c r="U51" t="n">
        <v>59593.1</v>
      </c>
      <c r="V51" t="n">
        <v>63131.3</v>
      </c>
      <c r="W51" t="n">
        <v>64125.9</v>
      </c>
      <c r="X51" t="n">
        <v>63492.4</v>
      </c>
      <c r="Y51" t="n">
        <v>62066</v>
      </c>
      <c r="Z51" t="n">
        <v>60442.5</v>
      </c>
      <c r="AA51" t="n">
        <v>58643.9</v>
      </c>
      <c r="AB51" t="n">
        <v>57210.6</v>
      </c>
      <c r="AC51" t="n">
        <v>56220.7</v>
      </c>
      <c r="AD51" t="n">
        <v>54341.5</v>
      </c>
      <c r="AE51" t="n">
        <v>52747.8</v>
      </c>
      <c r="AF51"/>
    </row>
    <row r="52">
      <c r="A52" t="s">
        <v>105</v>
      </c>
      <c r="B52" t="s">
        <v>374</v>
      </c>
      <c r="C52" t="s">
        <v>246</v>
      </c>
      <c r="D52" t="s">
        <v>375</v>
      </c>
      <c r="E52" t="s">
        <v>247</v>
      </c>
      <c r="F52" t="n">
        <v>3440.1</v>
      </c>
      <c r="G52" t="n">
        <v>3569.8</v>
      </c>
      <c r="H52" t="n">
        <v>3762.4</v>
      </c>
      <c r="I52" t="n">
        <v>3891.8</v>
      </c>
      <c r="J52" t="n">
        <v>3956</v>
      </c>
      <c r="K52" t="n">
        <v>4175</v>
      </c>
      <c r="L52" t="n">
        <v>4388.1</v>
      </c>
      <c r="M52" t="n">
        <v>4604.1</v>
      </c>
      <c r="N52" t="n">
        <v>4806.4</v>
      </c>
      <c r="O52" t="n">
        <v>5117.5</v>
      </c>
      <c r="P52" t="n">
        <v>5414.2</v>
      </c>
      <c r="Q52" t="n">
        <v>5666.8</v>
      </c>
      <c r="R52" t="n">
        <v>5963.9</v>
      </c>
      <c r="S52" t="n">
        <v>6205.8</v>
      </c>
      <c r="T52" t="n">
        <v>6377</v>
      </c>
      <c r="U52" t="n">
        <v>6624.6</v>
      </c>
      <c r="V52" t="n">
        <v>6964.4</v>
      </c>
      <c r="W52" t="n">
        <v>6998</v>
      </c>
      <c r="X52" t="n">
        <v>7157.4</v>
      </c>
      <c r="Y52" t="n">
        <v>7187.2</v>
      </c>
      <c r="Z52" t="n">
        <v>7139.4</v>
      </c>
      <c r="AA52" t="n">
        <v>7221.8</v>
      </c>
      <c r="AB52" t="n">
        <v>7424.5</v>
      </c>
      <c r="AC52" t="n">
        <v>7512.8</v>
      </c>
      <c r="AD52" t="n">
        <v>7626.9</v>
      </c>
      <c r="AE52" t="n">
        <v>7670.9</v>
      </c>
      <c r="AF52"/>
    </row>
    <row r="53">
      <c r="A53" t="s">
        <v>105</v>
      </c>
      <c r="B53" t="s">
        <v>376</v>
      </c>
      <c r="C53" t="s">
        <v>246</v>
      </c>
      <c r="D53" t="s">
        <v>377</v>
      </c>
      <c r="E53" t="s">
        <v>247</v>
      </c>
      <c r="F53" t="n">
        <v>9115.1</v>
      </c>
      <c r="G53" t="n">
        <v>9527.8</v>
      </c>
      <c r="H53" t="n">
        <v>10041</v>
      </c>
      <c r="I53" t="n">
        <v>10578.6</v>
      </c>
      <c r="J53" t="n">
        <v>10982.4</v>
      </c>
      <c r="K53" t="n">
        <v>11650.8</v>
      </c>
      <c r="L53" t="n">
        <v>12292.2</v>
      </c>
      <c r="M53" t="n">
        <v>13182.2</v>
      </c>
      <c r="N53" t="n">
        <v>13902.1</v>
      </c>
      <c r="O53" t="n">
        <v>14762.6</v>
      </c>
      <c r="P53" t="n">
        <v>15866.5</v>
      </c>
      <c r="Q53" t="n">
        <v>16709.2</v>
      </c>
      <c r="R53" t="n">
        <v>17655.6</v>
      </c>
      <c r="S53" t="n">
        <v>18539.5</v>
      </c>
      <c r="T53" t="n">
        <v>19128.5</v>
      </c>
      <c r="U53" t="n">
        <v>20016.2</v>
      </c>
      <c r="V53" t="n">
        <v>21015.8</v>
      </c>
      <c r="W53" t="n">
        <v>20954.5</v>
      </c>
      <c r="X53" t="n">
        <v>20662.9</v>
      </c>
      <c r="Y53" t="n">
        <v>20462.6</v>
      </c>
      <c r="Z53" t="n">
        <v>20358.3</v>
      </c>
      <c r="AA53" t="n">
        <v>20288.2</v>
      </c>
      <c r="AB53" t="n">
        <v>20305.2</v>
      </c>
      <c r="AC53" t="n">
        <v>20668.9</v>
      </c>
      <c r="AD53" t="n">
        <v>20500.1</v>
      </c>
      <c r="AE53" t="n">
        <v>20370.3</v>
      </c>
      <c r="AF53" t="n">
        <v>21547</v>
      </c>
    </row>
    <row r="54">
      <c r="A54" t="s">
        <v>105</v>
      </c>
      <c r="B54" t="s">
        <v>378</v>
      </c>
      <c r="C54" t="s">
        <v>246</v>
      </c>
      <c r="D54" t="s">
        <v>379</v>
      </c>
      <c r="E54" t="s">
        <v>247</v>
      </c>
      <c r="F54" t="n">
        <v>13356.1</v>
      </c>
      <c r="G54" t="n">
        <v>14068</v>
      </c>
      <c r="H54" t="n">
        <v>14931.8</v>
      </c>
      <c r="I54" t="n">
        <v>15846</v>
      </c>
      <c r="J54" t="n">
        <v>16581.7</v>
      </c>
      <c r="K54" t="n">
        <v>17802.3</v>
      </c>
      <c r="L54" t="n">
        <v>19014.1</v>
      </c>
      <c r="M54" t="n">
        <v>20577.2</v>
      </c>
      <c r="N54" t="n">
        <v>22037.9</v>
      </c>
      <c r="O54" t="n">
        <v>23701.2</v>
      </c>
      <c r="P54" t="n">
        <v>25599.5</v>
      </c>
      <c r="Q54" t="n">
        <v>27129</v>
      </c>
      <c r="R54" t="n">
        <v>28913.9</v>
      </c>
      <c r="S54" t="n">
        <v>30481.6</v>
      </c>
      <c r="T54" t="n">
        <v>31530.7</v>
      </c>
      <c r="U54" t="n">
        <v>33177.7</v>
      </c>
      <c r="V54" t="n">
        <v>35114</v>
      </c>
      <c r="W54" t="n">
        <v>35185</v>
      </c>
      <c r="X54" t="n">
        <v>34654.8</v>
      </c>
      <c r="Y54" t="n">
        <v>34680.6</v>
      </c>
      <c r="Z54" t="n">
        <v>34544.5</v>
      </c>
      <c r="AA54" t="n">
        <v>34554.1</v>
      </c>
      <c r="AB54" t="n">
        <v>35166.7</v>
      </c>
      <c r="AC54" t="n">
        <v>35597.2</v>
      </c>
      <c r="AD54" t="n">
        <v>35229.7</v>
      </c>
      <c r="AE54" t="n">
        <v>34872.3</v>
      </c>
      <c r="AF54" t="n">
        <v>36746.6</v>
      </c>
    </row>
    <row r="55">
      <c r="A55" t="s">
        <v>105</v>
      </c>
      <c r="B55" t="s">
        <v>380</v>
      </c>
      <c r="C55" t="s">
        <v>246</v>
      </c>
      <c r="D55" t="s">
        <v>381</v>
      </c>
      <c r="E55" t="s">
        <v>247</v>
      </c>
      <c r="F55" t="n">
        <v>4241</v>
      </c>
      <c r="G55" t="n">
        <v>4540.2</v>
      </c>
      <c r="H55" t="n">
        <v>4890.8</v>
      </c>
      <c r="I55" t="n">
        <v>5267.4</v>
      </c>
      <c r="J55" t="n">
        <v>5599.3</v>
      </c>
      <c r="K55" t="n">
        <v>6151.5</v>
      </c>
      <c r="L55" t="n">
        <v>6721.9</v>
      </c>
      <c r="M55" t="n">
        <v>7395</v>
      </c>
      <c r="N55" t="n">
        <v>8135.8</v>
      </c>
      <c r="O55" t="n">
        <v>8938.6</v>
      </c>
      <c r="P55" t="n">
        <v>9733</v>
      </c>
      <c r="Q55" t="n">
        <v>10419.8</v>
      </c>
      <c r="R55" t="n">
        <v>11258.3</v>
      </c>
      <c r="S55" t="n">
        <v>11942.1</v>
      </c>
      <c r="T55" t="n">
        <v>12402.2</v>
      </c>
      <c r="U55" t="n">
        <v>13161.5</v>
      </c>
      <c r="V55" t="n">
        <v>14098.2</v>
      </c>
      <c r="W55" t="n">
        <v>14230.5</v>
      </c>
      <c r="X55" t="n">
        <v>13991.9</v>
      </c>
      <c r="Y55" t="n">
        <v>14218</v>
      </c>
      <c r="Z55" t="n">
        <v>14186.2</v>
      </c>
      <c r="AA55" t="n">
        <v>14265.9</v>
      </c>
      <c r="AB55" t="n">
        <v>14861.5</v>
      </c>
      <c r="AC55" t="n">
        <v>14928.3</v>
      </c>
      <c r="AD55" t="n">
        <v>14729.6</v>
      </c>
      <c r="AE55" t="n">
        <v>14502</v>
      </c>
      <c r="AF55" t="n">
        <v>15199.6</v>
      </c>
    </row>
    <row r="56">
      <c r="A56" t="s">
        <v>105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105</v>
      </c>
      <c r="B57" t="s">
        <v>384</v>
      </c>
      <c r="C57" t="s">
        <v>246</v>
      </c>
      <c r="D57" t="s">
        <v>385</v>
      </c>
      <c r="E57" t="s">
        <v>247</v>
      </c>
      <c r="F57" t="n">
        <v>1019790.4</v>
      </c>
      <c r="G57" t="n">
        <v>1061872.1</v>
      </c>
      <c r="H57" t="n">
        <v>1113250.7</v>
      </c>
      <c r="I57" t="n">
        <v>1160686.7</v>
      </c>
      <c r="J57" t="n">
        <v>1191764.6</v>
      </c>
      <c r="K57" t="n">
        <v>1261384.1</v>
      </c>
      <c r="L57" t="n">
        <v>1323816.4</v>
      </c>
      <c r="M57" t="n">
        <v>1404890.3</v>
      </c>
      <c r="N57" t="n">
        <v>1479689.2</v>
      </c>
      <c r="O57" t="n">
        <v>1579805</v>
      </c>
      <c r="P57" t="n">
        <v>1681658.9</v>
      </c>
      <c r="Q57" t="n">
        <v>1769324</v>
      </c>
      <c r="R57" t="n">
        <v>1865111.9</v>
      </c>
      <c r="S57" t="n">
        <v>1960712.2</v>
      </c>
      <c r="T57" t="n">
        <v>2010351.3</v>
      </c>
      <c r="U57" t="n">
        <v>2083749.3</v>
      </c>
      <c r="V57" t="n">
        <v>2182851.9</v>
      </c>
      <c r="W57" t="n">
        <v>2194386.9</v>
      </c>
      <c r="X57" t="n">
        <v>2180020.3</v>
      </c>
      <c r="Y57" t="n">
        <v>2163623.4</v>
      </c>
      <c r="Z57" t="n">
        <v>2147355.4</v>
      </c>
      <c r="AA57" t="n">
        <v>2135889.5</v>
      </c>
      <c r="AB57" t="n">
        <v>2138722.2</v>
      </c>
      <c r="AC57" t="n">
        <v>2163229</v>
      </c>
      <c r="AD57" t="n">
        <v>2158841.8</v>
      </c>
      <c r="AE57" t="n">
        <v>2159790.7</v>
      </c>
      <c r="AF57" t="n">
        <v>2265799.9</v>
      </c>
    </row>
    <row r="58">
      <c r="A58" t="s">
        <v>105</v>
      </c>
      <c r="B58" t="s">
        <v>386</v>
      </c>
      <c r="C58" t="s">
        <v>246</v>
      </c>
      <c r="D58" t="s">
        <v>387</v>
      </c>
      <c r="E58" t="s">
        <v>247</v>
      </c>
      <c r="F58" t="n">
        <v>1019790.4</v>
      </c>
      <c r="G58" t="n">
        <v>1061872.1</v>
      </c>
      <c r="H58" t="n">
        <v>1113250.7</v>
      </c>
      <c r="I58" t="n">
        <v>1160686.7</v>
      </c>
      <c r="J58" t="n">
        <v>1191764.6</v>
      </c>
      <c r="K58" t="n">
        <v>1261384.1</v>
      </c>
      <c r="L58" t="n">
        <v>1323816.4</v>
      </c>
      <c r="M58" t="n">
        <v>1404890.3</v>
      </c>
      <c r="N58" t="n">
        <v>1479689.2</v>
      </c>
      <c r="O58" t="n">
        <v>1579805</v>
      </c>
      <c r="P58" t="n">
        <v>1681658.9</v>
      </c>
      <c r="Q58" t="n">
        <v>1769324</v>
      </c>
      <c r="R58" t="n">
        <v>1865111.9</v>
      </c>
      <c r="S58" t="n">
        <v>1960712.2</v>
      </c>
      <c r="T58" t="n">
        <v>2010351.3</v>
      </c>
      <c r="U58" t="n">
        <v>2083749.3</v>
      </c>
      <c r="V58" t="n">
        <v>2182851.9</v>
      </c>
      <c r="W58" t="n">
        <v>2194386.9</v>
      </c>
      <c r="X58" t="n">
        <v>2180020.3</v>
      </c>
      <c r="Y58" t="n">
        <v>2163623.4</v>
      </c>
      <c r="Z58" t="n">
        <v>2147355.4</v>
      </c>
      <c r="AA58" t="n">
        <v>2135889.5</v>
      </c>
      <c r="AB58" t="n">
        <v>2138722.2</v>
      </c>
      <c r="AC58" t="n">
        <v>2163229</v>
      </c>
      <c r="AD58" t="n">
        <v>2158841.8</v>
      </c>
      <c r="AE58" t="n">
        <v>2159790.7</v>
      </c>
      <c r="AF58" t="n">
        <v>2265799.9</v>
      </c>
    </row>
    <row r="59">
      <c r="A59" t="s">
        <v>105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107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107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107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107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107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107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107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107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107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107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107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107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107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107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107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107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107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107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107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107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107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107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107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107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107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107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107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107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107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107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107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107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107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107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107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107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107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107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107</v>
      </c>
      <c r="B40" t="s">
        <v>350</v>
      </c>
      <c r="C40" t="s">
        <v>246</v>
      </c>
      <c r="D40" t="s">
        <v>351</v>
      </c>
      <c r="E40" t="s">
        <v>247</v>
      </c>
      <c r="F40" t="n">
        <v>1321381.5</v>
      </c>
      <c r="G40" t="n">
        <v>1377604.4</v>
      </c>
      <c r="H40" t="n">
        <v>1438453.2</v>
      </c>
      <c r="I40" t="n">
        <v>1488557</v>
      </c>
      <c r="J40" t="n">
        <v>1530510</v>
      </c>
      <c r="K40" t="n">
        <v>1608119.1</v>
      </c>
      <c r="L40" t="n">
        <v>1668601.4</v>
      </c>
      <c r="M40" t="n">
        <v>1761734.9</v>
      </c>
      <c r="N40" t="n">
        <v>1830904.2</v>
      </c>
      <c r="O40" t="n">
        <v>1930304</v>
      </c>
      <c r="P40" t="n">
        <v>2055473.3</v>
      </c>
      <c r="Q40" t="n">
        <v>2163949.3</v>
      </c>
      <c r="R40" t="n">
        <v>2293191.8</v>
      </c>
      <c r="S40" t="n">
        <v>2409889.8</v>
      </c>
      <c r="T40" t="n">
        <v>2489819.9</v>
      </c>
      <c r="U40" t="n">
        <v>2571723.9</v>
      </c>
      <c r="V40" t="n">
        <v>2680111.7</v>
      </c>
      <c r="W40" t="n">
        <v>2739860.1</v>
      </c>
      <c r="X40" t="n">
        <v>2759981.9</v>
      </c>
      <c r="Y40" t="n">
        <v>2768183.9</v>
      </c>
      <c r="Z40" t="n">
        <v>2785378.5</v>
      </c>
      <c r="AA40" t="n">
        <v>2809412.1</v>
      </c>
      <c r="AB40" t="n">
        <v>2840960.7</v>
      </c>
      <c r="AC40" t="n">
        <v>2899224.7</v>
      </c>
      <c r="AD40" t="n">
        <v>2906229.5</v>
      </c>
      <c r="AE40" t="n">
        <v>2927213.9</v>
      </c>
      <c r="AF40" t="n">
        <v>3144433.2</v>
      </c>
    </row>
    <row r="41">
      <c r="A41" t="s">
        <v>107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107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107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107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107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107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107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107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107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107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107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107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107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107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107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107</v>
      </c>
      <c r="B57" t="s">
        <v>384</v>
      </c>
      <c r="C57" t="s">
        <v>246</v>
      </c>
      <c r="D57" t="s">
        <v>385</v>
      </c>
      <c r="E57" t="s">
        <v>247</v>
      </c>
      <c r="F57" t="n">
        <v>1321381.5</v>
      </c>
      <c r="G57" t="n">
        <v>1377604.4</v>
      </c>
      <c r="H57" t="n">
        <v>1438453.2</v>
      </c>
      <c r="I57" t="n">
        <v>1488557</v>
      </c>
      <c r="J57" t="n">
        <v>1530510</v>
      </c>
      <c r="K57" t="n">
        <v>1608119.1</v>
      </c>
      <c r="L57" t="n">
        <v>1668601.4</v>
      </c>
      <c r="M57" t="n">
        <v>1761734.9</v>
      </c>
      <c r="N57" t="n">
        <v>1830904.2</v>
      </c>
      <c r="O57" t="n">
        <v>1930304</v>
      </c>
      <c r="P57" t="n">
        <v>2055473.3</v>
      </c>
      <c r="Q57" t="n">
        <v>2163949.3</v>
      </c>
      <c r="R57" t="n">
        <v>2293191.8</v>
      </c>
      <c r="S57" t="n">
        <v>2409889.8</v>
      </c>
      <c r="T57" t="n">
        <v>2489819.9</v>
      </c>
      <c r="U57" t="n">
        <v>2571723.9</v>
      </c>
      <c r="V57" t="n">
        <v>2680111.7</v>
      </c>
      <c r="W57" t="n">
        <v>2739860.1</v>
      </c>
      <c r="X57" t="n">
        <v>2759981.9</v>
      </c>
      <c r="Y57" t="n">
        <v>2768183.9</v>
      </c>
      <c r="Z57" t="n">
        <v>2785378.5</v>
      </c>
      <c r="AA57" t="n">
        <v>2809412.1</v>
      </c>
      <c r="AB57" t="n">
        <v>2840960.7</v>
      </c>
      <c r="AC57" t="n">
        <v>2899224.7</v>
      </c>
      <c r="AD57" t="n">
        <v>2906229.5</v>
      </c>
      <c r="AE57" t="n">
        <v>2927213.9</v>
      </c>
      <c r="AF57" t="n">
        <v>3144433.2</v>
      </c>
    </row>
    <row r="58">
      <c r="A58" t="s">
        <v>107</v>
      </c>
      <c r="B58" t="s">
        <v>386</v>
      </c>
      <c r="C58" t="s">
        <v>246</v>
      </c>
      <c r="D58" t="s">
        <v>387</v>
      </c>
      <c r="E58" t="s">
        <v>247</v>
      </c>
      <c r="F58" t="n">
        <v>1321381.5</v>
      </c>
      <c r="G58" t="n">
        <v>1377604.4</v>
      </c>
      <c r="H58" t="n">
        <v>1438453.2</v>
      </c>
      <c r="I58" t="n">
        <v>1488557</v>
      </c>
      <c r="J58" t="n">
        <v>1530510</v>
      </c>
      <c r="K58" t="n">
        <v>1608119.1</v>
      </c>
      <c r="L58" t="n">
        <v>1668601.4</v>
      </c>
      <c r="M58" t="n">
        <v>1761734.9</v>
      </c>
      <c r="N58" t="n">
        <v>1830904.2</v>
      </c>
      <c r="O58" t="n">
        <v>1930304</v>
      </c>
      <c r="P58" t="n">
        <v>2055473.3</v>
      </c>
      <c r="Q58" t="n">
        <v>2163949.3</v>
      </c>
      <c r="R58" t="n">
        <v>2293191.8</v>
      </c>
      <c r="S58" t="n">
        <v>2409889.8</v>
      </c>
      <c r="T58" t="n">
        <v>2489819.9</v>
      </c>
      <c r="U58" t="n">
        <v>2571723.9</v>
      </c>
      <c r="V58" t="n">
        <v>2680111.7</v>
      </c>
      <c r="W58" t="n">
        <v>2739860.1</v>
      </c>
      <c r="X58" t="n">
        <v>2759981.9</v>
      </c>
      <c r="Y58" t="n">
        <v>2768183.9</v>
      </c>
      <c r="Z58" t="n">
        <v>2785378.5</v>
      </c>
      <c r="AA58" t="n">
        <v>2809412.1</v>
      </c>
      <c r="AB58" t="n">
        <v>2840960.7</v>
      </c>
      <c r="AC58" t="n">
        <v>2899224.7</v>
      </c>
      <c r="AD58" t="n">
        <v>2906229.5</v>
      </c>
      <c r="AE58" t="n">
        <v>2927213.9</v>
      </c>
      <c r="AF58" t="n">
        <v>3144433.2</v>
      </c>
    </row>
    <row r="59">
      <c r="A59" t="s">
        <v>107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109</v>
      </c>
      <c r="B2" t="s">
        <v>197</v>
      </c>
      <c r="C2" t="s">
        <v>246</v>
      </c>
      <c r="D2" t="s">
        <v>199</v>
      </c>
      <c r="E2" t="s">
        <v>247</v>
      </c>
      <c r="F2" t="n">
        <v>4428.3</v>
      </c>
      <c r="G2" t="n">
        <v>4468</v>
      </c>
      <c r="H2" t="n">
        <v>4428.7</v>
      </c>
      <c r="I2" t="n">
        <v>4517</v>
      </c>
      <c r="J2" t="n">
        <v>4487.4</v>
      </c>
      <c r="K2" t="n">
        <v>4559.3</v>
      </c>
      <c r="L2" t="n">
        <v>4641.1</v>
      </c>
      <c r="M2" t="n">
        <v>4544.2</v>
      </c>
      <c r="N2" t="n">
        <v>4741.3</v>
      </c>
      <c r="O2" t="n">
        <v>4725.1</v>
      </c>
      <c r="P2" t="n">
        <v>4728.9</v>
      </c>
      <c r="Q2" t="n">
        <v>4869.2</v>
      </c>
      <c r="R2" t="n">
        <v>5043.6</v>
      </c>
      <c r="S2" t="n">
        <v>4723.1</v>
      </c>
      <c r="T2" t="n">
        <v>5054.2</v>
      </c>
      <c r="U2" t="n">
        <v>5607.6</v>
      </c>
      <c r="V2" t="n">
        <v>5328.2</v>
      </c>
      <c r="W2" t="n">
        <v>5362.6</v>
      </c>
      <c r="X2" t="n">
        <v>5268.2</v>
      </c>
      <c r="Y2" t="n">
        <v>5393</v>
      </c>
      <c r="Z2" t="n">
        <v>5195.6</v>
      </c>
      <c r="AA2" t="n">
        <v>5351.4</v>
      </c>
      <c r="AB2" t="n">
        <v>5434.1</v>
      </c>
      <c r="AC2" t="n">
        <v>5242.1</v>
      </c>
      <c r="AD2" t="n">
        <v>5159.8</v>
      </c>
      <c r="AE2" t="n">
        <v>4939.6</v>
      </c>
      <c r="AF2" t="n">
        <v>5014.1</v>
      </c>
    </row>
    <row r="3">
      <c r="A3" t="s">
        <v>109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109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109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109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109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109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109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109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109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109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109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109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109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109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109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109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109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109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109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109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109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109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109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109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109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109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109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109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109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109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109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109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109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109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109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109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109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109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109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109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109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109</v>
      </c>
      <c r="B44" t="s">
        <v>358</v>
      </c>
      <c r="C44" t="s">
        <v>246</v>
      </c>
      <c r="D44" t="s">
        <v>359</v>
      </c>
      <c r="E44" t="s">
        <v>247</v>
      </c>
      <c r="F44" t="n">
        <v>4442.9</v>
      </c>
      <c r="G44" t="n">
        <v>4494.9</v>
      </c>
      <c r="H44" t="n">
        <v>4467.2</v>
      </c>
      <c r="I44" t="n">
        <v>4567</v>
      </c>
      <c r="J44" t="n">
        <v>4546.3</v>
      </c>
      <c r="K44" t="n">
        <v>4684.4</v>
      </c>
      <c r="L44" t="n">
        <v>4832.4</v>
      </c>
      <c r="M44" t="n">
        <v>4824.1</v>
      </c>
      <c r="N44" t="n">
        <v>5080.2</v>
      </c>
      <c r="O44" t="n">
        <v>5117.3</v>
      </c>
      <c r="P44" t="n">
        <v>5171.7</v>
      </c>
      <c r="Q44" t="n">
        <v>5357.4</v>
      </c>
      <c r="R44" t="n">
        <v>5565.1</v>
      </c>
      <c r="S44" t="n">
        <v>5264.9</v>
      </c>
      <c r="T44" t="n">
        <v>5614.3</v>
      </c>
      <c r="U44" t="n">
        <v>6195</v>
      </c>
      <c r="V44" t="n">
        <v>5933.2</v>
      </c>
      <c r="W44" t="n">
        <v>5964.2</v>
      </c>
      <c r="X44" t="n">
        <v>5857.9</v>
      </c>
      <c r="Y44" t="n">
        <v>5953.5</v>
      </c>
      <c r="Z44" t="n">
        <v>5734</v>
      </c>
      <c r="AA44" t="n">
        <v>5867</v>
      </c>
      <c r="AB44" t="n">
        <v>5916.2</v>
      </c>
      <c r="AC44" t="n">
        <v>5695.9</v>
      </c>
      <c r="AD44" t="n">
        <v>5583.5</v>
      </c>
      <c r="AE44" t="n">
        <v>5335.8</v>
      </c>
      <c r="AF44" t="n">
        <v>5387.6</v>
      </c>
    </row>
    <row r="45">
      <c r="A45" t="s">
        <v>109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109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109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109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109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109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109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109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109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109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109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109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109</v>
      </c>
      <c r="B57" t="s">
        <v>384</v>
      </c>
      <c r="C57" t="s">
        <v>246</v>
      </c>
      <c r="D57" t="s">
        <v>385</v>
      </c>
      <c r="E57" t="s">
        <v>247</v>
      </c>
      <c r="F57" t="n">
        <v>4442.9</v>
      </c>
      <c r="G57" t="n">
        <v>4494.9</v>
      </c>
      <c r="H57" t="n">
        <v>4467.2</v>
      </c>
      <c r="I57" t="n">
        <v>4567</v>
      </c>
      <c r="J57" t="n">
        <v>4546.3</v>
      </c>
      <c r="K57" t="n">
        <v>4684.4</v>
      </c>
      <c r="L57" t="n">
        <v>4832.4</v>
      </c>
      <c r="M57" t="n">
        <v>4824.1</v>
      </c>
      <c r="N57" t="n">
        <v>5080.2</v>
      </c>
      <c r="O57" t="n">
        <v>5117.3</v>
      </c>
      <c r="P57" t="n">
        <v>5171.7</v>
      </c>
      <c r="Q57" t="n">
        <v>5357.4</v>
      </c>
      <c r="R57" t="n">
        <v>5565.1</v>
      </c>
      <c r="S57" t="n">
        <v>5264.9</v>
      </c>
      <c r="T57" t="n">
        <v>5614.3</v>
      </c>
      <c r="U57" t="n">
        <v>6195</v>
      </c>
      <c r="V57" t="n">
        <v>5933.2</v>
      </c>
      <c r="W57" t="n">
        <v>5964.2</v>
      </c>
      <c r="X57" t="n">
        <v>5857.9</v>
      </c>
      <c r="Y57" t="n">
        <v>5953.5</v>
      </c>
      <c r="Z57" t="n">
        <v>5734</v>
      </c>
      <c r="AA57" t="n">
        <v>5867</v>
      </c>
      <c r="AB57" t="n">
        <v>5916.2</v>
      </c>
      <c r="AC57" t="n">
        <v>5695.9</v>
      </c>
      <c r="AD57" t="n">
        <v>5583.5</v>
      </c>
      <c r="AE57" t="n">
        <v>5335.8</v>
      </c>
      <c r="AF57" t="n">
        <v>5387.6</v>
      </c>
    </row>
    <row r="58">
      <c r="A58" t="s">
        <v>109</v>
      </c>
      <c r="B58" t="s">
        <v>386</v>
      </c>
      <c r="C58" t="s">
        <v>246</v>
      </c>
      <c r="D58" t="s">
        <v>387</v>
      </c>
      <c r="E58" t="s">
        <v>247</v>
      </c>
      <c r="F58" t="n">
        <v>4442.9</v>
      </c>
      <c r="G58" t="n">
        <v>4494.9</v>
      </c>
      <c r="H58" t="n">
        <v>4467.2</v>
      </c>
      <c r="I58" t="n">
        <v>4567</v>
      </c>
      <c r="J58" t="n">
        <v>4546.3</v>
      </c>
      <c r="K58" t="n">
        <v>4684.4</v>
      </c>
      <c r="L58" t="n">
        <v>4832.4</v>
      </c>
      <c r="M58" t="n">
        <v>4824.1</v>
      </c>
      <c r="N58" t="n">
        <v>5080.2</v>
      </c>
      <c r="O58" t="n">
        <v>5117.3</v>
      </c>
      <c r="P58" t="n">
        <v>5171.7</v>
      </c>
      <c r="Q58" t="n">
        <v>5357.4</v>
      </c>
      <c r="R58" t="n">
        <v>5565.1</v>
      </c>
      <c r="S58" t="n">
        <v>5264.9</v>
      </c>
      <c r="T58" t="n">
        <v>5614.3</v>
      </c>
      <c r="U58" t="n">
        <v>6195</v>
      </c>
      <c r="V58" t="n">
        <v>5933.2</v>
      </c>
      <c r="W58" t="n">
        <v>5964.2</v>
      </c>
      <c r="X58" t="n">
        <v>5857.9</v>
      </c>
      <c r="Y58" t="n">
        <v>5953.5</v>
      </c>
      <c r="Z58" t="n">
        <v>5734</v>
      </c>
      <c r="AA58" t="n">
        <v>5867</v>
      </c>
      <c r="AB58" t="n">
        <v>5916.2</v>
      </c>
      <c r="AC58" t="n">
        <v>5695.9</v>
      </c>
      <c r="AD58" t="n">
        <v>5583.5</v>
      </c>
      <c r="AE58" t="n">
        <v>5335.8</v>
      </c>
      <c r="AF58" t="n">
        <v>5387.6</v>
      </c>
    </row>
    <row r="59">
      <c r="A59" t="s">
        <v>109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111</v>
      </c>
      <c r="B2" t="s">
        <v>197</v>
      </c>
      <c r="C2" t="s">
        <v>246</v>
      </c>
      <c r="D2" t="s">
        <v>199</v>
      </c>
      <c r="E2" t="s">
        <v>247</v>
      </c>
      <c r="F2" t="n">
        <v>4.3</v>
      </c>
      <c r="G2" t="n">
        <v>4.5</v>
      </c>
      <c r="H2" t="n">
        <v>4.7</v>
      </c>
      <c r="I2" t="n">
        <v>5.1</v>
      </c>
      <c r="J2" t="n">
        <v>5.3</v>
      </c>
      <c r="K2" t="n">
        <v>5.7</v>
      </c>
      <c r="L2" t="n">
        <v>6</v>
      </c>
      <c r="M2" t="n">
        <v>6.5</v>
      </c>
      <c r="N2" t="n">
        <v>6.9</v>
      </c>
      <c r="O2" t="n">
        <v>7.4</v>
      </c>
      <c r="P2" t="n">
        <v>7.9</v>
      </c>
      <c r="Q2" t="n">
        <v>8.3</v>
      </c>
      <c r="R2" t="n">
        <v>8.7</v>
      </c>
      <c r="S2" t="n">
        <v>9.2</v>
      </c>
      <c r="T2" t="n">
        <v>10.8</v>
      </c>
      <c r="U2" t="n">
        <v>16.4</v>
      </c>
      <c r="V2" t="n">
        <v>20.7</v>
      </c>
      <c r="W2" t="n">
        <v>23.6</v>
      </c>
      <c r="X2" t="n">
        <v>26.8</v>
      </c>
      <c r="Y2" t="n">
        <v>33.2</v>
      </c>
      <c r="Z2" t="n">
        <v>40.1</v>
      </c>
      <c r="AA2" t="n">
        <v>50.9</v>
      </c>
      <c r="AB2" t="n">
        <v>63.6</v>
      </c>
      <c r="AC2" t="n">
        <v>77.6</v>
      </c>
      <c r="AD2" t="n">
        <v>99.7</v>
      </c>
      <c r="AE2" t="n">
        <v>120.8</v>
      </c>
      <c r="AF2" t="n">
        <v>142.5</v>
      </c>
    </row>
    <row r="3">
      <c r="A3" t="s">
        <v>111</v>
      </c>
      <c r="B3" t="s">
        <v>276</v>
      </c>
      <c r="C3" t="s">
        <v>246</v>
      </c>
      <c r="D3" t="s">
        <v>277</v>
      </c>
      <c r="E3" t="s">
        <v>247</v>
      </c>
      <c r="F3" t="n">
        <v>642.2</v>
      </c>
      <c r="G3" t="n">
        <v>637.6</v>
      </c>
      <c r="H3" t="n">
        <v>653.8</v>
      </c>
      <c r="I3" t="n">
        <v>681.7</v>
      </c>
      <c r="J3" t="n">
        <v>699.6</v>
      </c>
      <c r="K3" t="n">
        <v>736.2</v>
      </c>
      <c r="L3" t="n">
        <v>770.2</v>
      </c>
      <c r="M3" t="n">
        <v>824.1</v>
      </c>
      <c r="N3" t="n">
        <v>871.5</v>
      </c>
      <c r="O3" t="n">
        <v>925.5</v>
      </c>
      <c r="P3" t="n">
        <v>985.5</v>
      </c>
      <c r="Q3" t="n">
        <v>1039.2</v>
      </c>
      <c r="R3" t="n">
        <v>1083.8</v>
      </c>
      <c r="S3" t="n">
        <v>1141.2</v>
      </c>
      <c r="T3" t="n">
        <v>1145.3</v>
      </c>
      <c r="U3" t="n">
        <v>1173</v>
      </c>
      <c r="V3" t="n">
        <v>1142.7</v>
      </c>
      <c r="W3" t="n">
        <v>1096.7</v>
      </c>
      <c r="X3" t="n">
        <v>1066.4</v>
      </c>
      <c r="Y3" t="n">
        <v>1005.4</v>
      </c>
      <c r="Z3" t="n">
        <v>922.3</v>
      </c>
      <c r="AA3" t="n">
        <v>856.9</v>
      </c>
      <c r="AB3" t="n">
        <v>840.9</v>
      </c>
      <c r="AC3" t="n">
        <v>851.8</v>
      </c>
      <c r="AD3" t="n">
        <v>854.3</v>
      </c>
      <c r="AE3" t="n">
        <v>844.3</v>
      </c>
      <c r="AF3" t="n">
        <v>898.1</v>
      </c>
    </row>
    <row r="4">
      <c r="A4" t="s">
        <v>111</v>
      </c>
      <c r="B4" t="s">
        <v>278</v>
      </c>
      <c r="C4" t="s">
        <v>246</v>
      </c>
      <c r="D4" t="s">
        <v>279</v>
      </c>
      <c r="E4" t="s">
        <v>247</v>
      </c>
      <c r="F4" t="n">
        <v>19598.7</v>
      </c>
      <c r="G4" t="n">
        <v>19642.3</v>
      </c>
      <c r="H4" t="n">
        <v>20285.1</v>
      </c>
      <c r="I4" t="n">
        <v>21270.8</v>
      </c>
      <c r="J4" t="n">
        <v>21923</v>
      </c>
      <c r="K4" t="n">
        <v>23145.9</v>
      </c>
      <c r="L4" t="n">
        <v>24280.2</v>
      </c>
      <c r="M4" t="n">
        <v>26030.4</v>
      </c>
      <c r="N4" t="n">
        <v>27571</v>
      </c>
      <c r="O4" t="n">
        <v>29312.3</v>
      </c>
      <c r="P4" t="n">
        <v>31239.5</v>
      </c>
      <c r="Q4" t="n">
        <v>32965.8</v>
      </c>
      <c r="R4" t="n">
        <v>34397.9</v>
      </c>
      <c r="S4" t="n">
        <v>36237.4</v>
      </c>
      <c r="T4" t="n">
        <v>37096.1</v>
      </c>
      <c r="U4" t="n">
        <v>39439.6</v>
      </c>
      <c r="V4" t="n">
        <v>41040.7</v>
      </c>
      <c r="W4" t="n">
        <v>41439.1</v>
      </c>
      <c r="X4" t="n">
        <v>42777.8</v>
      </c>
      <c r="Y4" t="n">
        <v>44704.9</v>
      </c>
      <c r="Z4" t="n">
        <v>47565.4</v>
      </c>
      <c r="AA4" t="n">
        <v>49614.9</v>
      </c>
      <c r="AB4" t="n">
        <v>52155.8</v>
      </c>
      <c r="AC4" t="n">
        <v>54696.5</v>
      </c>
      <c r="AD4" t="n">
        <v>56845.4</v>
      </c>
      <c r="AE4" t="n">
        <v>57891.5</v>
      </c>
      <c r="AF4" t="n">
        <v>60011.7</v>
      </c>
    </row>
    <row r="5">
      <c r="A5" t="s">
        <v>111</v>
      </c>
      <c r="B5" t="s">
        <v>280</v>
      </c>
      <c r="C5" t="s">
        <v>246</v>
      </c>
      <c r="D5" t="s">
        <v>281</v>
      </c>
      <c r="E5" t="s">
        <v>247</v>
      </c>
      <c r="F5" t="n">
        <v>654.2</v>
      </c>
      <c r="G5" t="n">
        <v>654.4</v>
      </c>
      <c r="H5" t="n">
        <v>674.9</v>
      </c>
      <c r="I5" t="n">
        <v>706.9</v>
      </c>
      <c r="J5" t="n">
        <v>727.9</v>
      </c>
      <c r="K5" t="n">
        <v>768</v>
      </c>
      <c r="L5" t="n">
        <v>805.2</v>
      </c>
      <c r="M5" t="n">
        <v>862.9</v>
      </c>
      <c r="N5" t="n">
        <v>913.7</v>
      </c>
      <c r="O5" t="n">
        <v>971.2</v>
      </c>
      <c r="P5" t="n">
        <v>1034.9</v>
      </c>
      <c r="Q5" t="n">
        <v>1091.9</v>
      </c>
      <c r="R5" t="n">
        <v>1139.2</v>
      </c>
      <c r="S5" t="n">
        <v>1200.1</v>
      </c>
      <c r="T5" t="n">
        <v>1227.8</v>
      </c>
      <c r="U5" t="n">
        <v>1285.7</v>
      </c>
      <c r="V5" t="n">
        <v>1317.8</v>
      </c>
      <c r="W5" t="n">
        <v>1325.8</v>
      </c>
      <c r="X5" t="n">
        <v>1376</v>
      </c>
      <c r="Y5" t="n">
        <v>1435.3</v>
      </c>
      <c r="Z5" t="n">
        <v>1519.9</v>
      </c>
      <c r="AA5" t="n">
        <v>1592.7</v>
      </c>
      <c r="AB5" t="n">
        <v>1622.5</v>
      </c>
      <c r="AC5" t="n">
        <v>1690.1</v>
      </c>
      <c r="AD5" t="n">
        <v>1746.6</v>
      </c>
      <c r="AE5" t="n">
        <v>1805.7</v>
      </c>
      <c r="AF5"/>
    </row>
    <row r="6">
      <c r="A6" t="s">
        <v>111</v>
      </c>
      <c r="B6" t="s">
        <v>282</v>
      </c>
      <c r="C6" t="s">
        <v>246</v>
      </c>
      <c r="D6" t="s">
        <v>283</v>
      </c>
      <c r="E6" t="s">
        <v>247</v>
      </c>
      <c r="F6" t="n">
        <v>1010.5</v>
      </c>
      <c r="G6" t="n">
        <v>1020.4</v>
      </c>
      <c r="H6" t="n">
        <v>1059.7</v>
      </c>
      <c r="I6" t="n">
        <v>1115.9</v>
      </c>
      <c r="J6" t="n">
        <v>1154</v>
      </c>
      <c r="K6" t="n">
        <v>1221.4</v>
      </c>
      <c r="L6" t="n">
        <v>1283.9</v>
      </c>
      <c r="M6" t="n">
        <v>1378.5</v>
      </c>
      <c r="N6" t="n">
        <v>1461.8</v>
      </c>
      <c r="O6" t="n">
        <v>1555.4</v>
      </c>
      <c r="P6" t="n">
        <v>1658.8</v>
      </c>
      <c r="Q6" t="n">
        <v>1751.4</v>
      </c>
      <c r="R6" t="n">
        <v>1828.2</v>
      </c>
      <c r="S6" t="n">
        <v>1926.6</v>
      </c>
      <c r="T6" t="n">
        <v>2050.1</v>
      </c>
      <c r="U6" t="n">
        <v>2266</v>
      </c>
      <c r="V6" t="n">
        <v>2414.7</v>
      </c>
      <c r="W6" t="n">
        <v>2506.5</v>
      </c>
      <c r="X6" t="n">
        <v>2620.6</v>
      </c>
      <c r="Y6" t="n">
        <v>2789.5</v>
      </c>
      <c r="Z6" t="n">
        <v>3002.5</v>
      </c>
      <c r="AA6" t="n">
        <v>3166.1</v>
      </c>
      <c r="AB6" t="n">
        <v>3422.3</v>
      </c>
      <c r="AC6" t="n">
        <v>3709.4</v>
      </c>
      <c r="AD6" t="n">
        <v>3968.1</v>
      </c>
      <c r="AE6" t="n">
        <v>4005.5</v>
      </c>
      <c r="AF6"/>
    </row>
    <row r="7">
      <c r="A7" t="s">
        <v>111</v>
      </c>
      <c r="B7" t="s">
        <v>284</v>
      </c>
      <c r="C7" t="s">
        <v>246</v>
      </c>
      <c r="D7" t="s">
        <v>285</v>
      </c>
      <c r="E7" t="s">
        <v>247</v>
      </c>
      <c r="F7" t="n">
        <v>216.9</v>
      </c>
      <c r="G7" t="n">
        <v>217.4</v>
      </c>
      <c r="H7" t="n">
        <v>224.5</v>
      </c>
      <c r="I7" t="n">
        <v>235.5</v>
      </c>
      <c r="J7" t="n">
        <v>242.7</v>
      </c>
      <c r="K7" t="n">
        <v>256.2</v>
      </c>
      <c r="L7" t="n">
        <v>268.8</v>
      </c>
      <c r="M7" t="n">
        <v>288.2</v>
      </c>
      <c r="N7" t="n">
        <v>305.2</v>
      </c>
      <c r="O7" t="n">
        <v>324.5</v>
      </c>
      <c r="P7" t="n">
        <v>345.9</v>
      </c>
      <c r="Q7" t="n">
        <v>365</v>
      </c>
      <c r="R7" t="n">
        <v>380.8</v>
      </c>
      <c r="S7" t="n">
        <v>401.2</v>
      </c>
      <c r="T7" t="n">
        <v>430.9</v>
      </c>
      <c r="U7" t="n">
        <v>450</v>
      </c>
      <c r="V7" t="n">
        <v>454.2</v>
      </c>
      <c r="W7" t="n">
        <v>444.4</v>
      </c>
      <c r="X7" t="n">
        <v>457.9</v>
      </c>
      <c r="Y7" t="n">
        <v>481.1</v>
      </c>
      <c r="Z7" t="n">
        <v>514.8</v>
      </c>
      <c r="AA7" t="n">
        <v>558.1</v>
      </c>
      <c r="AB7" t="n">
        <v>596.4</v>
      </c>
      <c r="AC7" t="n">
        <v>644.2</v>
      </c>
      <c r="AD7" t="n">
        <v>709.4</v>
      </c>
      <c r="AE7" t="n">
        <v>754</v>
      </c>
      <c r="AF7"/>
    </row>
    <row r="8">
      <c r="A8" t="s">
        <v>111</v>
      </c>
      <c r="B8" t="s">
        <v>286</v>
      </c>
      <c r="C8" t="s">
        <v>246</v>
      </c>
      <c r="D8" t="s">
        <v>287</v>
      </c>
      <c r="E8" t="s">
        <v>247</v>
      </c>
      <c r="F8" t="n">
        <v>13.1</v>
      </c>
      <c r="G8" t="n">
        <v>13.2</v>
      </c>
      <c r="H8" t="n">
        <v>13.7</v>
      </c>
      <c r="I8" t="n">
        <v>14.5</v>
      </c>
      <c r="J8" t="n">
        <v>15</v>
      </c>
      <c r="K8" t="n">
        <v>15.8</v>
      </c>
      <c r="L8" t="n">
        <v>16.6</v>
      </c>
      <c r="M8" t="n">
        <v>17.9</v>
      </c>
      <c r="N8" t="n">
        <v>19</v>
      </c>
      <c r="O8" t="n">
        <v>20.2</v>
      </c>
      <c r="P8" t="n">
        <v>21.5</v>
      </c>
      <c r="Q8" t="n">
        <v>22.7</v>
      </c>
      <c r="R8" t="n">
        <v>23.7</v>
      </c>
      <c r="S8" t="n">
        <v>25</v>
      </c>
      <c r="T8" t="n">
        <v>24.7</v>
      </c>
      <c r="U8" t="n">
        <v>24.8</v>
      </c>
      <c r="V8" t="n">
        <v>36.2</v>
      </c>
      <c r="W8" t="n">
        <v>40.4</v>
      </c>
      <c r="X8" t="n">
        <v>45.4</v>
      </c>
      <c r="Y8" t="n">
        <v>52.8</v>
      </c>
      <c r="Z8" t="n">
        <v>59.6</v>
      </c>
      <c r="AA8" t="n">
        <v>63.8</v>
      </c>
      <c r="AB8" t="n">
        <v>83.8</v>
      </c>
      <c r="AC8" t="n">
        <v>119</v>
      </c>
      <c r="AD8" t="n">
        <v>120.1</v>
      </c>
      <c r="AE8" t="n">
        <v>113.5</v>
      </c>
      <c r="AF8"/>
    </row>
    <row r="9">
      <c r="A9" t="s">
        <v>111</v>
      </c>
      <c r="B9" t="s">
        <v>288</v>
      </c>
      <c r="C9" t="s">
        <v>246</v>
      </c>
      <c r="D9" t="s">
        <v>289</v>
      </c>
      <c r="E9" t="s">
        <v>247</v>
      </c>
      <c r="F9" t="n">
        <v>1113.7</v>
      </c>
      <c r="G9" t="n">
        <v>1110.8</v>
      </c>
      <c r="H9" t="n">
        <v>1142.9</v>
      </c>
      <c r="I9" t="n">
        <v>1195.1</v>
      </c>
      <c r="J9" t="n">
        <v>1229</v>
      </c>
      <c r="K9" t="n">
        <v>1295.3</v>
      </c>
      <c r="L9" t="n">
        <v>1357</v>
      </c>
      <c r="M9" t="n">
        <v>1453.3</v>
      </c>
      <c r="N9" t="n">
        <v>1538.1</v>
      </c>
      <c r="O9" t="n">
        <v>1634.3</v>
      </c>
      <c r="P9" t="n">
        <v>1741</v>
      </c>
      <c r="Q9" t="n">
        <v>1836.5</v>
      </c>
      <c r="R9" t="n">
        <v>1915.8</v>
      </c>
      <c r="S9" t="n">
        <v>2017.8</v>
      </c>
      <c r="T9" t="n">
        <v>2029.9</v>
      </c>
      <c r="U9" t="n">
        <v>2131</v>
      </c>
      <c r="V9" t="n">
        <v>2130.6</v>
      </c>
      <c r="W9" t="n">
        <v>2106.4</v>
      </c>
      <c r="X9" t="n">
        <v>2127.6</v>
      </c>
      <c r="Y9" t="n">
        <v>2157</v>
      </c>
      <c r="Z9" t="n">
        <v>2178.4</v>
      </c>
      <c r="AA9" t="n">
        <v>2268.3</v>
      </c>
      <c r="AB9" t="n">
        <v>2362.3</v>
      </c>
      <c r="AC9" t="n">
        <v>2472.7</v>
      </c>
      <c r="AD9" t="n">
        <v>2504.9</v>
      </c>
      <c r="AE9" t="n">
        <v>2568.4</v>
      </c>
      <c r="AF9"/>
    </row>
    <row r="10">
      <c r="A10" t="s">
        <v>111</v>
      </c>
      <c r="B10" t="s">
        <v>290</v>
      </c>
      <c r="C10" t="s">
        <v>246</v>
      </c>
      <c r="D10" t="s">
        <v>291</v>
      </c>
      <c r="E10" t="s">
        <v>247</v>
      </c>
      <c r="F10" t="n">
        <v>2659.4</v>
      </c>
      <c r="G10" t="n">
        <v>2663.5</v>
      </c>
      <c r="H10" t="n">
        <v>2749.2</v>
      </c>
      <c r="I10" t="n">
        <v>2881.7</v>
      </c>
      <c r="J10" t="n">
        <v>2969.1</v>
      </c>
      <c r="K10" t="n">
        <v>3134</v>
      </c>
      <c r="L10" t="n">
        <v>3287</v>
      </c>
      <c r="M10" t="n">
        <v>3523.4</v>
      </c>
      <c r="N10" t="n">
        <v>3731.5</v>
      </c>
      <c r="O10" t="n">
        <v>3966.8</v>
      </c>
      <c r="P10" t="n">
        <v>4227.4</v>
      </c>
      <c r="Q10" t="n">
        <v>4460.7</v>
      </c>
      <c r="R10" t="n">
        <v>4654.4</v>
      </c>
      <c r="S10" t="n">
        <v>4903.1</v>
      </c>
      <c r="T10" t="n">
        <v>5042.2</v>
      </c>
      <c r="U10" t="n">
        <v>5405.8</v>
      </c>
      <c r="V10" t="n">
        <v>5477.4</v>
      </c>
      <c r="W10" t="n">
        <v>5449.3</v>
      </c>
      <c r="X10" t="n">
        <v>5516.9</v>
      </c>
      <c r="Y10" t="n">
        <v>5498.1</v>
      </c>
      <c r="Z10" t="n">
        <v>5633.6</v>
      </c>
      <c r="AA10" t="n">
        <v>5841.2</v>
      </c>
      <c r="AB10" t="n">
        <v>5932.6</v>
      </c>
      <c r="AC10" t="n">
        <v>6012.9</v>
      </c>
      <c r="AD10" t="n">
        <v>6014.6</v>
      </c>
      <c r="AE10" t="n">
        <v>6223.8</v>
      </c>
      <c r="AF10"/>
    </row>
    <row r="11">
      <c r="A11" t="s">
        <v>111</v>
      </c>
      <c r="B11" t="s">
        <v>292</v>
      </c>
      <c r="C11" t="s">
        <v>246</v>
      </c>
      <c r="D11" t="s">
        <v>293</v>
      </c>
      <c r="E11" t="s">
        <v>247</v>
      </c>
      <c r="F11" t="n">
        <v>1545.7</v>
      </c>
      <c r="G11" t="n">
        <v>1552.7</v>
      </c>
      <c r="H11" t="n">
        <v>1606.3</v>
      </c>
      <c r="I11" t="n">
        <v>1686.6</v>
      </c>
      <c r="J11" t="n">
        <v>1740.1</v>
      </c>
      <c r="K11" t="n">
        <v>1838.7</v>
      </c>
      <c r="L11" t="n">
        <v>1930</v>
      </c>
      <c r="M11" t="n">
        <v>2070.1</v>
      </c>
      <c r="N11" t="n">
        <v>2193.4</v>
      </c>
      <c r="O11" t="n">
        <v>2332.5</v>
      </c>
      <c r="P11" t="n">
        <v>2486.4</v>
      </c>
      <c r="Q11" t="n">
        <v>2624.2</v>
      </c>
      <c r="R11" t="n">
        <v>2738.6</v>
      </c>
      <c r="S11" t="n">
        <v>2885.3</v>
      </c>
      <c r="T11" t="n">
        <v>3012.3</v>
      </c>
      <c r="U11" t="n">
        <v>3274.8</v>
      </c>
      <c r="V11" t="n">
        <v>3346.8</v>
      </c>
      <c r="W11" t="n">
        <v>3342.9</v>
      </c>
      <c r="X11" t="n">
        <v>3389.3</v>
      </c>
      <c r="Y11" t="n">
        <v>3341.1</v>
      </c>
      <c r="Z11" t="n">
        <v>3455.2</v>
      </c>
      <c r="AA11" t="n">
        <v>3572.9</v>
      </c>
      <c r="AB11" t="n">
        <v>3570.3</v>
      </c>
      <c r="AC11" t="n">
        <v>3540.2</v>
      </c>
      <c r="AD11" t="n">
        <v>3509.7</v>
      </c>
      <c r="AE11" t="n">
        <v>3655.4</v>
      </c>
      <c r="AF11"/>
    </row>
    <row r="12">
      <c r="A12" t="s">
        <v>111</v>
      </c>
      <c r="B12" t="s">
        <v>294</v>
      </c>
      <c r="C12" t="s">
        <v>246</v>
      </c>
      <c r="D12" t="s">
        <v>295</v>
      </c>
      <c r="E12" t="s">
        <v>247</v>
      </c>
      <c r="F12" t="n">
        <v>772</v>
      </c>
      <c r="G12" t="n">
        <v>770.5</v>
      </c>
      <c r="H12" t="n">
        <v>793.2</v>
      </c>
      <c r="I12" t="n">
        <v>829.7</v>
      </c>
      <c r="J12" t="n">
        <v>853.5</v>
      </c>
      <c r="K12" t="n">
        <v>899.7</v>
      </c>
      <c r="L12" t="n">
        <v>942.7</v>
      </c>
      <c r="M12" t="n">
        <v>1009.8</v>
      </c>
      <c r="N12" t="n">
        <v>1068.8</v>
      </c>
      <c r="O12" t="n">
        <v>1135.8</v>
      </c>
      <c r="P12" t="n">
        <v>1209.9</v>
      </c>
      <c r="Q12" t="n">
        <v>1276.4</v>
      </c>
      <c r="R12" t="n">
        <v>1331.6</v>
      </c>
      <c r="S12" t="n">
        <v>1402.5</v>
      </c>
      <c r="T12" t="n">
        <v>1425</v>
      </c>
      <c r="U12" t="n">
        <v>1502.1</v>
      </c>
      <c r="V12" t="n">
        <v>1493.4</v>
      </c>
      <c r="W12" t="n">
        <v>1510.3</v>
      </c>
      <c r="X12" t="n">
        <v>1553.1</v>
      </c>
      <c r="Y12" t="n">
        <v>1622.8</v>
      </c>
      <c r="Z12" t="n">
        <v>1855.2</v>
      </c>
      <c r="AA12" t="n">
        <v>2088.1</v>
      </c>
      <c r="AB12" t="n">
        <v>2322</v>
      </c>
      <c r="AC12" t="n">
        <v>2482.5</v>
      </c>
      <c r="AD12" t="n">
        <v>2590</v>
      </c>
      <c r="AE12" t="n">
        <v>2613.2</v>
      </c>
      <c r="AF12"/>
    </row>
    <row r="13">
      <c r="A13" t="s">
        <v>111</v>
      </c>
      <c r="B13" t="s">
        <v>296</v>
      </c>
      <c r="C13" t="s">
        <v>246</v>
      </c>
      <c r="D13" t="s">
        <v>297</v>
      </c>
      <c r="E13" t="s">
        <v>247</v>
      </c>
      <c r="F13" t="n">
        <v>921.9</v>
      </c>
      <c r="G13" t="n">
        <v>922.9</v>
      </c>
      <c r="H13" t="n">
        <v>952.3</v>
      </c>
      <c r="I13" t="n">
        <v>997.9</v>
      </c>
      <c r="J13" t="n">
        <v>1028</v>
      </c>
      <c r="K13" t="n">
        <v>1084.9</v>
      </c>
      <c r="L13" t="n">
        <v>1137.7</v>
      </c>
      <c r="M13" t="n">
        <v>1219.5</v>
      </c>
      <c r="N13" t="n">
        <v>1291.4</v>
      </c>
      <c r="O13" t="n">
        <v>1372.8</v>
      </c>
      <c r="P13" t="n">
        <v>1462.9</v>
      </c>
      <c r="Q13" t="n">
        <v>1543.6</v>
      </c>
      <c r="R13" t="n">
        <v>1610.5</v>
      </c>
      <c r="S13" t="n">
        <v>1696.6</v>
      </c>
      <c r="T13" t="n">
        <v>1737</v>
      </c>
      <c r="U13" t="n">
        <v>1829.5</v>
      </c>
      <c r="V13" t="n">
        <v>1885</v>
      </c>
      <c r="W13" t="n">
        <v>1899.2</v>
      </c>
      <c r="X13" t="n">
        <v>1979.7</v>
      </c>
      <c r="Y13" t="n">
        <v>2031.6</v>
      </c>
      <c r="Z13" t="n">
        <v>2113.5</v>
      </c>
      <c r="AA13" t="n">
        <v>2272.1</v>
      </c>
      <c r="AB13" t="n">
        <v>2487.9</v>
      </c>
      <c r="AC13" t="n">
        <v>2742.4</v>
      </c>
      <c r="AD13" t="n">
        <v>2901.8</v>
      </c>
      <c r="AE13" t="n">
        <v>2887.2</v>
      </c>
      <c r="AF13"/>
    </row>
    <row r="14">
      <c r="A14" t="s">
        <v>111</v>
      </c>
      <c r="B14" t="s">
        <v>298</v>
      </c>
      <c r="C14" t="s">
        <v>246</v>
      </c>
      <c r="D14" t="s">
        <v>299</v>
      </c>
      <c r="E14" t="s">
        <v>247</v>
      </c>
      <c r="F14" t="n">
        <v>2553.5</v>
      </c>
      <c r="G14" t="n">
        <v>2564.1</v>
      </c>
      <c r="H14" t="n">
        <v>2651.8</v>
      </c>
      <c r="I14" t="n">
        <v>2783.8</v>
      </c>
      <c r="J14" t="n">
        <v>2871.6</v>
      </c>
      <c r="K14" t="n">
        <v>3033.9</v>
      </c>
      <c r="L14" t="n">
        <v>3184.2</v>
      </c>
      <c r="M14" t="n">
        <v>3415.1</v>
      </c>
      <c r="N14" t="n">
        <v>3618.3</v>
      </c>
      <c r="O14" t="n">
        <v>3847.7</v>
      </c>
      <c r="P14" t="n">
        <v>4101.3</v>
      </c>
      <c r="Q14" t="n">
        <v>4328.6</v>
      </c>
      <c r="R14" t="n">
        <v>4517.1</v>
      </c>
      <c r="S14" t="n">
        <v>4759</v>
      </c>
      <c r="T14" t="n">
        <v>4905.1</v>
      </c>
      <c r="U14" t="n">
        <v>5295.7</v>
      </c>
      <c r="V14" t="n">
        <v>5501.3</v>
      </c>
      <c r="W14" t="n">
        <v>5495.5</v>
      </c>
      <c r="X14" t="n">
        <v>5546.1</v>
      </c>
      <c r="Y14" t="n">
        <v>5979.8</v>
      </c>
      <c r="Z14" t="n">
        <v>6448.5</v>
      </c>
      <c r="AA14" t="n">
        <v>6203</v>
      </c>
      <c r="AB14" t="n">
        <v>6116.4</v>
      </c>
      <c r="AC14" t="n">
        <v>6048.2</v>
      </c>
      <c r="AD14" t="n">
        <v>6002</v>
      </c>
      <c r="AE14" t="n">
        <v>6267.6</v>
      </c>
      <c r="AF14"/>
    </row>
    <row r="15">
      <c r="A15" t="s">
        <v>111</v>
      </c>
      <c r="B15" t="s">
        <v>300</v>
      </c>
      <c r="C15" t="s">
        <v>246</v>
      </c>
      <c r="D15" t="s">
        <v>301</v>
      </c>
      <c r="E15" t="s">
        <v>247</v>
      </c>
      <c r="F15" t="n">
        <v>3688.5</v>
      </c>
      <c r="G15" t="n">
        <v>3707.1</v>
      </c>
      <c r="H15" t="n">
        <v>3836.6</v>
      </c>
      <c r="I15" t="n">
        <v>4029.6</v>
      </c>
      <c r="J15" t="n">
        <v>4158.4</v>
      </c>
      <c r="K15" t="n">
        <v>4394.7</v>
      </c>
      <c r="L15" t="n">
        <v>4613.6</v>
      </c>
      <c r="M15" t="n">
        <v>4949.1</v>
      </c>
      <c r="N15" t="n">
        <v>5244.3</v>
      </c>
      <c r="O15" t="n">
        <v>5577.3</v>
      </c>
      <c r="P15" t="n">
        <v>5945.5</v>
      </c>
      <c r="Q15" t="n">
        <v>6275.3</v>
      </c>
      <c r="R15" t="n">
        <v>6548.9</v>
      </c>
      <c r="S15" t="n">
        <v>6900</v>
      </c>
      <c r="T15" t="n">
        <v>7196</v>
      </c>
      <c r="U15" t="n">
        <v>7735.3</v>
      </c>
      <c r="V15" t="n">
        <v>8078.5</v>
      </c>
      <c r="W15" t="n">
        <v>8107.5</v>
      </c>
      <c r="X15" t="n">
        <v>8164.3</v>
      </c>
      <c r="Y15" t="n">
        <v>8602.4</v>
      </c>
      <c r="Z15" t="n">
        <v>9167</v>
      </c>
      <c r="AA15" t="n">
        <v>9064</v>
      </c>
      <c r="AB15" t="n">
        <v>9092.8</v>
      </c>
      <c r="AC15" t="n">
        <v>9174.5</v>
      </c>
      <c r="AD15" t="n">
        <v>9297.3</v>
      </c>
      <c r="AE15" t="n">
        <v>9592.6</v>
      </c>
      <c r="AF15"/>
    </row>
    <row r="16">
      <c r="A16" t="s">
        <v>111</v>
      </c>
      <c r="B16" t="s">
        <v>302</v>
      </c>
      <c r="C16" t="s">
        <v>246</v>
      </c>
      <c r="D16" t="s">
        <v>303</v>
      </c>
      <c r="E16" t="s">
        <v>247</v>
      </c>
      <c r="F16" t="n">
        <v>1135</v>
      </c>
      <c r="G16" t="n">
        <v>1143</v>
      </c>
      <c r="H16" t="n">
        <v>1184.8</v>
      </c>
      <c r="I16" t="n">
        <v>1245.8</v>
      </c>
      <c r="J16" t="n">
        <v>1286.8</v>
      </c>
      <c r="K16" t="n">
        <v>1360.8</v>
      </c>
      <c r="L16" t="n">
        <v>1429.4</v>
      </c>
      <c r="M16" t="n">
        <v>1534</v>
      </c>
      <c r="N16" t="n">
        <v>1626</v>
      </c>
      <c r="O16" t="n">
        <v>1729.6</v>
      </c>
      <c r="P16" t="n">
        <v>1844.2</v>
      </c>
      <c r="Q16" t="n">
        <v>1946.7</v>
      </c>
      <c r="R16" t="n">
        <v>2031.8</v>
      </c>
      <c r="S16" t="n">
        <v>2141</v>
      </c>
      <c r="T16" t="n">
        <v>2290.9</v>
      </c>
      <c r="U16" t="n">
        <v>2439.6</v>
      </c>
      <c r="V16" t="n">
        <v>2577.2</v>
      </c>
      <c r="W16" t="n">
        <v>2612</v>
      </c>
      <c r="X16" t="n">
        <v>2618.2</v>
      </c>
      <c r="Y16" t="n">
        <v>2622.6</v>
      </c>
      <c r="Z16" t="n">
        <v>2718.5</v>
      </c>
      <c r="AA16" t="n">
        <v>2861</v>
      </c>
      <c r="AB16" t="n">
        <v>2976.4</v>
      </c>
      <c r="AC16" t="n">
        <v>3126.3</v>
      </c>
      <c r="AD16" t="n">
        <v>3295.3</v>
      </c>
      <c r="AE16" t="n">
        <v>3325</v>
      </c>
      <c r="AF16"/>
    </row>
    <row r="17">
      <c r="A17" t="s">
        <v>111</v>
      </c>
      <c r="B17" t="s">
        <v>304</v>
      </c>
      <c r="C17" t="s">
        <v>246</v>
      </c>
      <c r="D17" t="s">
        <v>305</v>
      </c>
      <c r="E17" t="s">
        <v>247</v>
      </c>
      <c r="F17" t="n">
        <v>3102.3</v>
      </c>
      <c r="G17" t="n">
        <v>3109.5</v>
      </c>
      <c r="H17" t="n">
        <v>3211.5</v>
      </c>
      <c r="I17" t="n">
        <v>3367.7</v>
      </c>
      <c r="J17" t="n">
        <v>3471.1</v>
      </c>
      <c r="K17" t="n">
        <v>3664.9</v>
      </c>
      <c r="L17" t="n">
        <v>3844.6</v>
      </c>
      <c r="M17" t="n">
        <v>4121.8</v>
      </c>
      <c r="N17" t="n">
        <v>4365.8</v>
      </c>
      <c r="O17" t="n">
        <v>4641.6</v>
      </c>
      <c r="P17" t="n">
        <v>4946.8</v>
      </c>
      <c r="Q17" t="n">
        <v>5220.2</v>
      </c>
      <c r="R17" t="n">
        <v>5447</v>
      </c>
      <c r="S17" t="n">
        <v>5738.3</v>
      </c>
      <c r="T17" t="n">
        <v>5856.2</v>
      </c>
      <c r="U17" t="n">
        <v>6198.7</v>
      </c>
      <c r="V17" t="n">
        <v>6478.7</v>
      </c>
      <c r="W17" t="n">
        <v>6582.7</v>
      </c>
      <c r="X17" t="n">
        <v>6916.7</v>
      </c>
      <c r="Y17" t="n">
        <v>7312</v>
      </c>
      <c r="Z17" t="n">
        <v>7654</v>
      </c>
      <c r="AA17" t="n">
        <v>7935.7</v>
      </c>
      <c r="AB17" t="n">
        <v>8398.9</v>
      </c>
      <c r="AC17" t="n">
        <v>8989.2</v>
      </c>
      <c r="AD17" t="n">
        <v>9375</v>
      </c>
      <c r="AE17" t="n">
        <v>9674.4</v>
      </c>
      <c r="AF17"/>
    </row>
    <row r="18">
      <c r="A18" t="s">
        <v>111</v>
      </c>
      <c r="B18" t="s">
        <v>306</v>
      </c>
      <c r="C18" t="s">
        <v>246</v>
      </c>
      <c r="D18" t="s">
        <v>307</v>
      </c>
      <c r="E18" t="s">
        <v>247</v>
      </c>
      <c r="F18" t="n">
        <v>5871.8</v>
      </c>
      <c r="G18" t="n">
        <v>5877.2</v>
      </c>
      <c r="H18" t="n">
        <v>6063.6</v>
      </c>
      <c r="I18" t="n">
        <v>6353.3</v>
      </c>
      <c r="J18" t="n">
        <v>6544.3</v>
      </c>
      <c r="K18" t="n">
        <v>6906.3</v>
      </c>
      <c r="L18" t="n">
        <v>7242.1</v>
      </c>
      <c r="M18" t="n">
        <v>7761.9</v>
      </c>
      <c r="N18" t="n">
        <v>8219.7</v>
      </c>
      <c r="O18" t="n">
        <v>8737.5</v>
      </c>
      <c r="P18" t="n">
        <v>9310.9</v>
      </c>
      <c r="Q18" t="n">
        <v>9824.6</v>
      </c>
      <c r="R18" t="n">
        <v>10250.6</v>
      </c>
      <c r="S18" t="n">
        <v>10798.1</v>
      </c>
      <c r="T18" t="n">
        <v>10840.9</v>
      </c>
      <c r="U18" t="n">
        <v>11411.2</v>
      </c>
      <c r="V18" t="n">
        <v>12080.2</v>
      </c>
      <c r="W18" t="n">
        <v>12273.8</v>
      </c>
      <c r="X18" t="n">
        <v>12834.5</v>
      </c>
      <c r="Y18" t="n">
        <v>13518.6</v>
      </c>
      <c r="Z18" t="n">
        <v>14636.4</v>
      </c>
      <c r="AA18" t="n">
        <v>15427.2</v>
      </c>
      <c r="AB18" t="n">
        <v>16456.5</v>
      </c>
      <c r="AC18" t="n">
        <v>17252.4</v>
      </c>
      <c r="AD18" t="n">
        <v>18130.7</v>
      </c>
      <c r="AE18" t="n">
        <v>18219.1</v>
      </c>
      <c r="AF18"/>
    </row>
    <row r="19">
      <c r="A19" t="s">
        <v>111</v>
      </c>
      <c r="B19" t="s">
        <v>308</v>
      </c>
      <c r="C19" t="s">
        <v>246</v>
      </c>
      <c r="D19" t="s">
        <v>309</v>
      </c>
      <c r="E19" t="s">
        <v>247</v>
      </c>
      <c r="F19" t="n">
        <v>688.1</v>
      </c>
      <c r="G19" t="n">
        <v>686.2</v>
      </c>
      <c r="H19" t="n">
        <v>705.9</v>
      </c>
      <c r="I19" t="n">
        <v>738.1</v>
      </c>
      <c r="J19" t="n">
        <v>759</v>
      </c>
      <c r="K19" t="n">
        <v>800</v>
      </c>
      <c r="L19" t="n">
        <v>838</v>
      </c>
      <c r="M19" t="n">
        <v>897.4</v>
      </c>
      <c r="N19" t="n">
        <v>949.8</v>
      </c>
      <c r="O19" t="n">
        <v>1009.2</v>
      </c>
      <c r="P19" t="n">
        <v>1075</v>
      </c>
      <c r="Q19" t="n">
        <v>1134</v>
      </c>
      <c r="R19" t="n">
        <v>1183</v>
      </c>
      <c r="S19" t="n">
        <v>1245.9</v>
      </c>
      <c r="T19" t="n">
        <v>1265.3</v>
      </c>
      <c r="U19" t="n">
        <v>1330.5</v>
      </c>
      <c r="V19" t="n">
        <v>1324.6</v>
      </c>
      <c r="W19" t="n">
        <v>1299.2</v>
      </c>
      <c r="X19" t="n">
        <v>1312.7</v>
      </c>
      <c r="Y19" t="n">
        <v>1360.7</v>
      </c>
      <c r="Z19" t="n">
        <v>1408.9</v>
      </c>
      <c r="AA19" t="n">
        <v>1605.9</v>
      </c>
      <c r="AB19" t="n">
        <v>1740.1</v>
      </c>
      <c r="AC19" t="n">
        <v>1879.9</v>
      </c>
      <c r="AD19" t="n">
        <v>1991.8</v>
      </c>
      <c r="AE19" t="n">
        <v>2002.5</v>
      </c>
      <c r="AF19"/>
    </row>
    <row r="20">
      <c r="A20" t="s">
        <v>111</v>
      </c>
      <c r="B20" t="s">
        <v>310</v>
      </c>
      <c r="C20" t="s">
        <v>246</v>
      </c>
      <c r="D20" t="s">
        <v>311</v>
      </c>
      <c r="E20" t="s">
        <v>247</v>
      </c>
      <c r="F20" t="n">
        <v>178.7</v>
      </c>
      <c r="G20" t="n">
        <v>167.9</v>
      </c>
      <c r="H20" t="n">
        <v>164.6</v>
      </c>
      <c r="I20" t="n">
        <v>165.6</v>
      </c>
      <c r="J20" t="n">
        <v>165</v>
      </c>
      <c r="K20" t="n">
        <v>169.6</v>
      </c>
      <c r="L20" t="n">
        <v>174.1</v>
      </c>
      <c r="M20" t="n">
        <v>183.6</v>
      </c>
      <c r="N20" t="n">
        <v>192</v>
      </c>
      <c r="O20" t="n">
        <v>202.2</v>
      </c>
      <c r="P20" t="n">
        <v>213.8</v>
      </c>
      <c r="Q20" t="n">
        <v>224.3</v>
      </c>
      <c r="R20" t="n">
        <v>233</v>
      </c>
      <c r="S20" t="n">
        <v>244.5</v>
      </c>
      <c r="T20" t="n">
        <v>201.2</v>
      </c>
      <c r="U20" t="n">
        <v>183.5</v>
      </c>
      <c r="V20" t="n">
        <v>169.2</v>
      </c>
      <c r="W20" t="n">
        <v>165.1</v>
      </c>
      <c r="X20" t="n">
        <v>170.6</v>
      </c>
      <c r="Y20" t="n">
        <v>155</v>
      </c>
      <c r="Z20" t="n">
        <v>151.1</v>
      </c>
      <c r="AA20" t="n">
        <v>156.9</v>
      </c>
      <c r="AB20" t="n">
        <v>229.7</v>
      </c>
      <c r="AC20" t="n">
        <v>280.8</v>
      </c>
      <c r="AD20" t="n">
        <v>299.5</v>
      </c>
      <c r="AE20" t="n">
        <v>326.5</v>
      </c>
      <c r="AF20" t="n">
        <v>328.5</v>
      </c>
    </row>
    <row r="21">
      <c r="A21" t="s">
        <v>111</v>
      </c>
      <c r="B21" t="s">
        <v>312</v>
      </c>
      <c r="C21" t="s">
        <v>246</v>
      </c>
      <c r="D21" t="s">
        <v>313</v>
      </c>
      <c r="E21" t="s">
        <v>247</v>
      </c>
      <c r="F21" t="n">
        <v>210.4</v>
      </c>
      <c r="G21" t="n">
        <v>199.2</v>
      </c>
      <c r="H21" t="n">
        <v>196.6</v>
      </c>
      <c r="I21" t="n">
        <v>198.8</v>
      </c>
      <c r="J21" t="n">
        <v>199</v>
      </c>
      <c r="K21" t="n">
        <v>205.3</v>
      </c>
      <c r="L21" t="n">
        <v>211.4</v>
      </c>
      <c r="M21" t="n">
        <v>223.5</v>
      </c>
      <c r="N21" t="n">
        <v>234.1</v>
      </c>
      <c r="O21" t="n">
        <v>246.9</v>
      </c>
      <c r="P21" t="n">
        <v>261.4</v>
      </c>
      <c r="Q21" t="n">
        <v>274.5</v>
      </c>
      <c r="R21" t="n">
        <v>285.3</v>
      </c>
      <c r="S21" t="n">
        <v>299.6</v>
      </c>
      <c r="T21" t="n">
        <v>264.4</v>
      </c>
      <c r="U21" t="n">
        <v>244.8</v>
      </c>
      <c r="V21" t="n">
        <v>227.5</v>
      </c>
      <c r="W21" t="n">
        <v>222.1</v>
      </c>
      <c r="X21" t="n">
        <v>227.4</v>
      </c>
      <c r="Y21" t="n">
        <v>215.5</v>
      </c>
      <c r="Z21" t="n">
        <v>220.7</v>
      </c>
      <c r="AA21" t="n">
        <v>245.4</v>
      </c>
      <c r="AB21" t="n">
        <v>346.2</v>
      </c>
      <c r="AC21" t="n">
        <v>438.9</v>
      </c>
      <c r="AD21" t="n">
        <v>498.7</v>
      </c>
      <c r="AE21" t="n">
        <v>547.3</v>
      </c>
      <c r="AF21" t="n">
        <v>566.9</v>
      </c>
    </row>
    <row r="22">
      <c r="A22" t="s">
        <v>111</v>
      </c>
      <c r="B22" t="s">
        <v>314</v>
      </c>
      <c r="C22" t="s">
        <v>246</v>
      </c>
      <c r="D22" t="s">
        <v>315</v>
      </c>
      <c r="E22" t="s">
        <v>247</v>
      </c>
      <c r="F22" t="n">
        <v>31.7</v>
      </c>
      <c r="G22" t="n">
        <v>31.3</v>
      </c>
      <c r="H22" t="n">
        <v>32</v>
      </c>
      <c r="I22" t="n">
        <v>33.2</v>
      </c>
      <c r="J22" t="n">
        <v>34</v>
      </c>
      <c r="K22" t="n">
        <v>35.7</v>
      </c>
      <c r="L22" t="n">
        <v>37.3</v>
      </c>
      <c r="M22" t="n">
        <v>39.9</v>
      </c>
      <c r="N22" t="n">
        <v>42.1</v>
      </c>
      <c r="O22" t="n">
        <v>44.7</v>
      </c>
      <c r="P22" t="n">
        <v>47.6</v>
      </c>
      <c r="Q22" t="n">
        <v>50.2</v>
      </c>
      <c r="R22" t="n">
        <v>52.3</v>
      </c>
      <c r="S22" t="n">
        <v>55.1</v>
      </c>
      <c r="T22" t="n">
        <v>63.2</v>
      </c>
      <c r="U22" t="n">
        <v>61.3</v>
      </c>
      <c r="V22" t="n">
        <v>58.3</v>
      </c>
      <c r="W22" t="n">
        <v>57</v>
      </c>
      <c r="X22" t="n">
        <v>56.8</v>
      </c>
      <c r="Y22" t="n">
        <v>60.5</v>
      </c>
      <c r="Z22" t="n">
        <v>69.6</v>
      </c>
      <c r="AA22" t="n">
        <v>88.5</v>
      </c>
      <c r="AB22" t="n">
        <v>116.5</v>
      </c>
      <c r="AC22" t="n">
        <v>158.1</v>
      </c>
      <c r="AD22" t="n">
        <v>199.2</v>
      </c>
      <c r="AE22" t="n">
        <v>220.8</v>
      </c>
      <c r="AF22" t="n">
        <v>238.4</v>
      </c>
    </row>
    <row r="23">
      <c r="A23" t="s">
        <v>111</v>
      </c>
      <c r="B23" t="s">
        <v>316</v>
      </c>
      <c r="C23" t="s">
        <v>246</v>
      </c>
      <c r="D23" t="s">
        <v>317</v>
      </c>
      <c r="E23" t="s">
        <v>247</v>
      </c>
      <c r="F23" t="n">
        <v>152</v>
      </c>
      <c r="G23" t="n">
        <v>151.7</v>
      </c>
      <c r="H23" t="n">
        <v>156.2</v>
      </c>
      <c r="I23" t="n">
        <v>163.5</v>
      </c>
      <c r="J23" t="n">
        <v>168.2</v>
      </c>
      <c r="K23" t="n">
        <v>177.3</v>
      </c>
      <c r="L23" t="n">
        <v>185.8</v>
      </c>
      <c r="M23" t="n">
        <v>199</v>
      </c>
      <c r="N23" t="n">
        <v>210.7</v>
      </c>
      <c r="O23" t="n">
        <v>223.9</v>
      </c>
      <c r="P23" t="n">
        <v>238.5</v>
      </c>
      <c r="Q23" t="n">
        <v>251.6</v>
      </c>
      <c r="R23" t="n">
        <v>262.5</v>
      </c>
      <c r="S23" t="n">
        <v>276.5</v>
      </c>
      <c r="T23" t="n">
        <v>317.3</v>
      </c>
      <c r="U23" t="n">
        <v>321.7</v>
      </c>
      <c r="V23" t="n">
        <v>306.3</v>
      </c>
      <c r="W23" t="n">
        <v>294</v>
      </c>
      <c r="X23" t="n">
        <v>526.3</v>
      </c>
      <c r="Y23" t="n">
        <v>477</v>
      </c>
      <c r="Z23" t="n">
        <v>491.9</v>
      </c>
      <c r="AA23" t="n">
        <v>510.3</v>
      </c>
      <c r="AB23" t="n">
        <v>642.5</v>
      </c>
      <c r="AC23" t="n">
        <v>741.3</v>
      </c>
      <c r="AD23" t="n">
        <v>863</v>
      </c>
      <c r="AE23" t="n">
        <v>992.7</v>
      </c>
      <c r="AF23" t="n">
        <v>1145.9</v>
      </c>
    </row>
    <row r="24">
      <c r="A24" t="s">
        <v>111</v>
      </c>
      <c r="B24" t="s">
        <v>318</v>
      </c>
      <c r="C24" t="s">
        <v>246</v>
      </c>
      <c r="D24" t="s">
        <v>319</v>
      </c>
      <c r="E24" t="s">
        <v>247</v>
      </c>
      <c r="F24" t="n">
        <v>974</v>
      </c>
      <c r="G24" t="n">
        <v>962.6</v>
      </c>
      <c r="H24" t="n">
        <v>983.5</v>
      </c>
      <c r="I24" t="n">
        <v>1022.7</v>
      </c>
      <c r="J24" t="n">
        <v>1047.3</v>
      </c>
      <c r="K24" t="n">
        <v>1100.1</v>
      </c>
      <c r="L24" t="n">
        <v>1149.4</v>
      </c>
      <c r="M24" t="n">
        <v>1228.5</v>
      </c>
      <c r="N24" t="n">
        <v>1298.2</v>
      </c>
      <c r="O24" t="n">
        <v>1377.8</v>
      </c>
      <c r="P24" t="n">
        <v>1466.4</v>
      </c>
      <c r="Q24" t="n">
        <v>1545.9</v>
      </c>
      <c r="R24" t="n">
        <v>1611.7</v>
      </c>
      <c r="S24" t="n">
        <v>1696.8</v>
      </c>
      <c r="T24" t="n">
        <v>1555.8</v>
      </c>
      <c r="U24" t="n">
        <v>1519.6</v>
      </c>
      <c r="V24" t="n">
        <v>1697.4</v>
      </c>
      <c r="W24" t="n">
        <v>1590.2</v>
      </c>
      <c r="X24" t="n">
        <v>1554.6</v>
      </c>
      <c r="Y24" t="n">
        <v>1574.5</v>
      </c>
      <c r="Z24" t="n">
        <v>1674.6</v>
      </c>
      <c r="AA24" t="n">
        <v>1985.6</v>
      </c>
      <c r="AB24" t="n">
        <v>2369.5</v>
      </c>
      <c r="AC24" t="n">
        <v>2684.7</v>
      </c>
      <c r="AD24" t="n">
        <v>3127.5</v>
      </c>
      <c r="AE24" t="n">
        <v>3289.3</v>
      </c>
      <c r="AF24" t="n">
        <v>3603.7</v>
      </c>
    </row>
    <row r="25">
      <c r="A25" t="s">
        <v>111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111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111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111</v>
      </c>
      <c r="B28" t="s">
        <v>326</v>
      </c>
      <c r="C28" t="s">
        <v>246</v>
      </c>
      <c r="D28" t="s">
        <v>327</v>
      </c>
      <c r="E28" t="s">
        <v>247</v>
      </c>
      <c r="F28" t="n">
        <v>209.7</v>
      </c>
      <c r="G28" t="n">
        <v>203.7</v>
      </c>
      <c r="H28" t="n">
        <v>205.4</v>
      </c>
      <c r="I28" t="n">
        <v>211.3</v>
      </c>
      <c r="J28" t="n">
        <v>214.5</v>
      </c>
      <c r="K28" t="n">
        <v>223.9</v>
      </c>
      <c r="L28" t="n">
        <v>232.6</v>
      </c>
      <c r="M28" t="n">
        <v>247.6</v>
      </c>
      <c r="N28" t="n">
        <v>260.9</v>
      </c>
      <c r="O28" t="n">
        <v>276.2</v>
      </c>
      <c r="P28" t="n">
        <v>293.4</v>
      </c>
      <c r="Q28" t="n">
        <v>308.9</v>
      </c>
      <c r="R28" t="n">
        <v>321.7</v>
      </c>
      <c r="S28" t="n">
        <v>338.3</v>
      </c>
      <c r="T28" t="n">
        <v>334.5</v>
      </c>
      <c r="U28" t="n">
        <v>326</v>
      </c>
      <c r="V28" t="n">
        <v>288.4</v>
      </c>
      <c r="W28" t="n">
        <v>243</v>
      </c>
      <c r="X28" t="n">
        <v>235.5</v>
      </c>
      <c r="Y28" t="n">
        <v>217.5</v>
      </c>
      <c r="Z28" t="n">
        <v>271</v>
      </c>
      <c r="AA28" t="n">
        <v>326.2</v>
      </c>
      <c r="AB28" t="n">
        <v>399.2</v>
      </c>
      <c r="AC28" t="n">
        <v>506.2</v>
      </c>
      <c r="AD28" t="n">
        <v>594.3</v>
      </c>
      <c r="AE28" t="n">
        <v>651.6</v>
      </c>
      <c r="AF28" t="n">
        <v>613.4</v>
      </c>
    </row>
    <row r="29">
      <c r="A29" t="s">
        <v>111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111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111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111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111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111</v>
      </c>
      <c r="B34" t="s">
        <v>338</v>
      </c>
      <c r="C34" t="s">
        <v>246</v>
      </c>
      <c r="D34" t="s">
        <v>339</v>
      </c>
      <c r="E34" t="s">
        <v>247</v>
      </c>
      <c r="F34" t="n">
        <v>6.5</v>
      </c>
      <c r="G34" t="n">
        <v>6.6</v>
      </c>
      <c r="H34" t="n">
        <v>6.9</v>
      </c>
      <c r="I34" t="n">
        <v>7.3</v>
      </c>
      <c r="J34" t="n">
        <v>7.5</v>
      </c>
      <c r="K34" t="n">
        <v>8</v>
      </c>
      <c r="L34" t="n">
        <v>8.4</v>
      </c>
      <c r="M34" t="n">
        <v>9</v>
      </c>
      <c r="N34" t="n">
        <v>9.6</v>
      </c>
      <c r="O34" t="n">
        <v>10.2</v>
      </c>
      <c r="P34" t="n">
        <v>10.9</v>
      </c>
      <c r="Q34" t="n">
        <v>11.5</v>
      </c>
      <c r="R34" t="n">
        <v>12</v>
      </c>
      <c r="S34" t="n">
        <v>12.6</v>
      </c>
      <c r="T34" t="n">
        <v>14</v>
      </c>
      <c r="U34" t="n">
        <v>16.3</v>
      </c>
      <c r="V34" t="n">
        <v>16.5</v>
      </c>
      <c r="W34" t="n">
        <v>17.5</v>
      </c>
      <c r="X34" t="n">
        <v>17.9</v>
      </c>
      <c r="Y34" t="n">
        <v>18.9</v>
      </c>
      <c r="Z34" t="n">
        <v>19.5</v>
      </c>
      <c r="AA34" t="n">
        <v>22</v>
      </c>
      <c r="AB34" t="n">
        <v>29.3</v>
      </c>
      <c r="AC34" t="n">
        <v>51.4</v>
      </c>
      <c r="AD34" t="n">
        <v>63.4</v>
      </c>
      <c r="AE34" t="n">
        <v>64.1</v>
      </c>
      <c r="AF34" t="n">
        <v>58.7</v>
      </c>
    </row>
    <row r="35">
      <c r="A35" t="s">
        <v>111</v>
      </c>
      <c r="B35" t="s">
        <v>340</v>
      </c>
      <c r="C35" t="s">
        <v>246</v>
      </c>
      <c r="D35" t="s">
        <v>341</v>
      </c>
      <c r="E35" t="s">
        <v>247</v>
      </c>
      <c r="F35" t="n">
        <v>2774.3</v>
      </c>
      <c r="G35" t="n">
        <v>2783.3</v>
      </c>
      <c r="H35" t="n">
        <v>2876.6</v>
      </c>
      <c r="I35" t="n">
        <v>3018.1</v>
      </c>
      <c r="J35" t="n">
        <v>3112</v>
      </c>
      <c r="K35" t="n">
        <v>3286.8</v>
      </c>
      <c r="L35" t="n">
        <v>3448.8</v>
      </c>
      <c r="M35" t="n">
        <v>3698.1</v>
      </c>
      <c r="N35" t="n">
        <v>3917.6</v>
      </c>
      <c r="O35" t="n">
        <v>4165.5</v>
      </c>
      <c r="P35" t="n">
        <v>4439.8</v>
      </c>
      <c r="Q35" t="n">
        <v>4685.4</v>
      </c>
      <c r="R35" t="n">
        <v>4889.1</v>
      </c>
      <c r="S35" t="n">
        <v>5150.9</v>
      </c>
      <c r="T35" t="n">
        <v>5550.3</v>
      </c>
      <c r="U35" t="n">
        <v>5849.7</v>
      </c>
      <c r="V35" t="n">
        <v>5881.3</v>
      </c>
      <c r="W35" t="n">
        <v>5849.7</v>
      </c>
      <c r="X35" t="n">
        <v>6180.9</v>
      </c>
      <c r="Y35" t="n">
        <v>6218.1</v>
      </c>
      <c r="Z35" t="n">
        <v>6418.4</v>
      </c>
      <c r="AA35" t="n">
        <v>6470.5</v>
      </c>
      <c r="AB35" t="n">
        <v>6601.1</v>
      </c>
      <c r="AC35" t="n">
        <v>6856</v>
      </c>
      <c r="AD35" t="n">
        <v>7357.1</v>
      </c>
      <c r="AE35" t="n">
        <v>7576</v>
      </c>
      <c r="AF35" t="n">
        <v>7692.6</v>
      </c>
    </row>
    <row r="36">
      <c r="A36" t="s">
        <v>111</v>
      </c>
      <c r="B36" t="s">
        <v>342</v>
      </c>
      <c r="C36" t="s">
        <v>246</v>
      </c>
      <c r="D36" t="s">
        <v>343</v>
      </c>
      <c r="E36" t="s">
        <v>247</v>
      </c>
      <c r="F36" t="n">
        <v>40.8</v>
      </c>
      <c r="G36" t="n">
        <v>40.6</v>
      </c>
      <c r="H36" t="n">
        <v>41.6</v>
      </c>
      <c r="I36" t="n">
        <v>43.4</v>
      </c>
      <c r="J36" t="n">
        <v>44.6</v>
      </c>
      <c r="K36" t="n">
        <v>46.9</v>
      </c>
      <c r="L36" t="n">
        <v>49.1</v>
      </c>
      <c r="M36" t="n">
        <v>52.6</v>
      </c>
      <c r="N36" t="n">
        <v>55.6</v>
      </c>
      <c r="O36" t="n">
        <v>59</v>
      </c>
      <c r="P36" t="n">
        <v>62.9</v>
      </c>
      <c r="Q36" t="n">
        <v>66.3</v>
      </c>
      <c r="R36" t="n">
        <v>69.1</v>
      </c>
      <c r="S36" t="n">
        <v>72.8</v>
      </c>
      <c r="T36" t="n">
        <v>75.1</v>
      </c>
      <c r="U36" t="n">
        <v>76.3</v>
      </c>
      <c r="V36" t="n">
        <v>74.9</v>
      </c>
      <c r="W36" t="n">
        <v>67.5</v>
      </c>
      <c r="X36" t="n">
        <v>70.8</v>
      </c>
      <c r="Y36" t="n">
        <v>77.4</v>
      </c>
      <c r="Z36" t="n">
        <v>91.8</v>
      </c>
      <c r="AA36" t="n">
        <v>108.4</v>
      </c>
      <c r="AB36" t="n">
        <v>135.8</v>
      </c>
      <c r="AC36" t="n">
        <v>174.4</v>
      </c>
      <c r="AD36" t="n">
        <v>213</v>
      </c>
      <c r="AE36" t="n">
        <v>282</v>
      </c>
      <c r="AF36"/>
    </row>
    <row r="37">
      <c r="A37" t="s">
        <v>111</v>
      </c>
      <c r="B37" t="s">
        <v>344</v>
      </c>
      <c r="C37" t="s">
        <v>246</v>
      </c>
      <c r="D37" t="s">
        <v>345</v>
      </c>
      <c r="E37" t="s">
        <v>247</v>
      </c>
      <c r="F37" t="n">
        <v>2111.2</v>
      </c>
      <c r="G37" t="n">
        <v>2115.8</v>
      </c>
      <c r="H37" t="n">
        <v>2185</v>
      </c>
      <c r="I37" t="n">
        <v>2291.1</v>
      </c>
      <c r="J37" t="n">
        <v>2361.3</v>
      </c>
      <c r="K37" t="n">
        <v>2493</v>
      </c>
      <c r="L37" t="n">
        <v>2615.1</v>
      </c>
      <c r="M37" t="n">
        <v>2803.5</v>
      </c>
      <c r="N37" t="n">
        <v>2969.4</v>
      </c>
      <c r="O37" t="n">
        <v>3157</v>
      </c>
      <c r="P37" t="n">
        <v>3364.5</v>
      </c>
      <c r="Q37" t="n">
        <v>3550.4</v>
      </c>
      <c r="R37" t="n">
        <v>3704.6</v>
      </c>
      <c r="S37" t="n">
        <v>3902.7</v>
      </c>
      <c r="T37" t="n">
        <v>4220.6</v>
      </c>
      <c r="U37" t="n">
        <v>4396.8</v>
      </c>
      <c r="V37" t="n">
        <v>4383.1</v>
      </c>
      <c r="W37" t="n">
        <v>4279.3</v>
      </c>
      <c r="X37" t="n">
        <v>4124.3</v>
      </c>
      <c r="Y37" t="n">
        <v>4083.9</v>
      </c>
      <c r="Z37" t="n">
        <v>4093.1</v>
      </c>
      <c r="AA37" t="n">
        <v>3725.3</v>
      </c>
      <c r="AB37" t="n">
        <v>3401.2</v>
      </c>
      <c r="AC37" t="n">
        <v>3099.1</v>
      </c>
      <c r="AD37" t="n">
        <v>2844.1</v>
      </c>
      <c r="AE37" t="n">
        <v>2606</v>
      </c>
      <c r="AF37"/>
    </row>
    <row r="38">
      <c r="A38" t="s">
        <v>111</v>
      </c>
      <c r="B38" t="s">
        <v>346</v>
      </c>
      <c r="C38" t="s">
        <v>246</v>
      </c>
      <c r="D38" t="s">
        <v>347</v>
      </c>
      <c r="E38" t="s">
        <v>247</v>
      </c>
      <c r="F38" t="n">
        <v>622.3</v>
      </c>
      <c r="G38" t="n">
        <v>626.9</v>
      </c>
      <c r="H38" t="n">
        <v>650</v>
      </c>
      <c r="I38" t="n">
        <v>683.6</v>
      </c>
      <c r="J38" t="n">
        <v>706.1</v>
      </c>
      <c r="K38" t="n">
        <v>746.9</v>
      </c>
      <c r="L38" t="n">
        <v>784.6</v>
      </c>
      <c r="M38" t="n">
        <v>842</v>
      </c>
      <c r="N38" t="n">
        <v>892.6</v>
      </c>
      <c r="O38" t="n">
        <v>949.5</v>
      </c>
      <c r="P38" t="n">
        <v>1012.4</v>
      </c>
      <c r="Q38" t="n">
        <v>1068.7</v>
      </c>
      <c r="R38" t="n">
        <v>1115.4</v>
      </c>
      <c r="S38" t="n">
        <v>1175.4</v>
      </c>
      <c r="T38" t="n">
        <v>1254.6</v>
      </c>
      <c r="U38" t="n">
        <v>1376.6</v>
      </c>
      <c r="V38" t="n">
        <v>1423.3</v>
      </c>
      <c r="W38" t="n">
        <v>1502.9</v>
      </c>
      <c r="X38" t="n">
        <v>1985.8</v>
      </c>
      <c r="Y38" t="n">
        <v>2056.8</v>
      </c>
      <c r="Z38" t="n">
        <v>2233.5</v>
      </c>
      <c r="AA38" t="n">
        <v>2636.8</v>
      </c>
      <c r="AB38" t="n">
        <v>3064.1</v>
      </c>
      <c r="AC38" t="n">
        <v>3582.5</v>
      </c>
      <c r="AD38" t="n">
        <v>4300</v>
      </c>
      <c r="AE38" t="n">
        <v>4688</v>
      </c>
      <c r="AF38"/>
    </row>
    <row r="39">
      <c r="A39" t="s">
        <v>111</v>
      </c>
      <c r="B39" t="s">
        <v>348</v>
      </c>
      <c r="C39" t="s">
        <v>246</v>
      </c>
      <c r="D39" t="s">
        <v>349</v>
      </c>
      <c r="E39" t="s">
        <v>247</v>
      </c>
      <c r="F39" t="n">
        <v>1470.1</v>
      </c>
      <c r="G39" t="n">
        <v>1463.6</v>
      </c>
      <c r="H39" t="n">
        <v>1503.8</v>
      </c>
      <c r="I39" t="n">
        <v>1570.7</v>
      </c>
      <c r="J39" t="n">
        <v>1614</v>
      </c>
      <c r="K39" t="n">
        <v>1700</v>
      </c>
      <c r="L39" t="n">
        <v>1780</v>
      </c>
      <c r="M39" t="n">
        <v>1905.5</v>
      </c>
      <c r="N39" t="n">
        <v>2016.2</v>
      </c>
      <c r="O39" t="n">
        <v>2141.8</v>
      </c>
      <c r="P39" t="n">
        <v>2281.2</v>
      </c>
      <c r="Q39" t="n">
        <v>2406.1</v>
      </c>
      <c r="R39" t="n">
        <v>2509.6</v>
      </c>
      <c r="S39" t="n">
        <v>2643</v>
      </c>
      <c r="T39" t="n">
        <v>2615.7</v>
      </c>
      <c r="U39" t="n">
        <v>2693.7</v>
      </c>
      <c r="V39" t="n">
        <v>2342</v>
      </c>
      <c r="W39" t="n">
        <v>2164.4</v>
      </c>
      <c r="X39" t="n">
        <v>2024.7</v>
      </c>
      <c r="Y39" t="n">
        <v>1946.6</v>
      </c>
      <c r="Z39" t="n">
        <v>1943.4</v>
      </c>
      <c r="AA39" t="n">
        <v>1896.2</v>
      </c>
      <c r="AB39" t="n">
        <v>1873.2</v>
      </c>
      <c r="AC39" t="n">
        <v>1826.2</v>
      </c>
      <c r="AD39" t="n">
        <v>1785.5</v>
      </c>
      <c r="AE39" t="n">
        <v>1888.5</v>
      </c>
      <c r="AF39" t="n">
        <v>1925.1</v>
      </c>
    </row>
    <row r="40">
      <c r="A40" t="s">
        <v>111</v>
      </c>
      <c r="B40" t="s">
        <v>350</v>
      </c>
      <c r="C40" t="s">
        <v>246</v>
      </c>
      <c r="D40" t="s">
        <v>351</v>
      </c>
      <c r="E40" t="s">
        <v>247</v>
      </c>
      <c r="F40" t="n">
        <v>37</v>
      </c>
      <c r="G40" t="n">
        <v>35.1</v>
      </c>
      <c r="H40" t="n">
        <v>34.8</v>
      </c>
      <c r="I40" t="n">
        <v>35.3</v>
      </c>
      <c r="J40" t="n">
        <v>35.4</v>
      </c>
      <c r="K40" t="n">
        <v>36.5</v>
      </c>
      <c r="L40" t="n">
        <v>37.7</v>
      </c>
      <c r="M40" t="n">
        <v>39.9</v>
      </c>
      <c r="N40" t="n">
        <v>41.8</v>
      </c>
      <c r="O40" t="n">
        <v>44.1</v>
      </c>
      <c r="P40" t="n">
        <v>46.7</v>
      </c>
      <c r="Q40" t="n">
        <v>49.1</v>
      </c>
      <c r="R40" t="n">
        <v>51</v>
      </c>
      <c r="S40" t="n">
        <v>53.6</v>
      </c>
      <c r="T40" t="n">
        <v>45.1</v>
      </c>
      <c r="U40" t="n">
        <v>43.5</v>
      </c>
      <c r="V40" t="n">
        <v>37.6</v>
      </c>
      <c r="W40" t="n">
        <v>32.2</v>
      </c>
      <c r="X40" t="n">
        <v>26.9</v>
      </c>
      <c r="Y40" t="n">
        <v>26.9</v>
      </c>
      <c r="Z40" t="n">
        <v>24.8</v>
      </c>
      <c r="AA40" t="n">
        <v>38.1</v>
      </c>
      <c r="AB40" t="n">
        <v>39.5</v>
      </c>
      <c r="AC40" t="n">
        <v>43.7</v>
      </c>
      <c r="AD40" t="n">
        <v>52.8</v>
      </c>
      <c r="AE40" t="n">
        <v>58.7</v>
      </c>
      <c r="AF40" t="n">
        <v>55</v>
      </c>
    </row>
    <row r="41">
      <c r="A41" t="s">
        <v>111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111</v>
      </c>
      <c r="B42" t="s">
        <v>354</v>
      </c>
      <c r="C42" t="s">
        <v>246</v>
      </c>
      <c r="D42" t="s">
        <v>355</v>
      </c>
      <c r="E42" t="s">
        <v>247</v>
      </c>
      <c r="F42" t="n">
        <v>19754.6</v>
      </c>
      <c r="G42" t="n">
        <v>19542.4</v>
      </c>
      <c r="H42" t="n">
        <v>20091.6</v>
      </c>
      <c r="I42" t="n">
        <v>21127.5</v>
      </c>
      <c r="J42" t="n">
        <v>21878.6</v>
      </c>
      <c r="K42" t="n">
        <v>23442.6</v>
      </c>
      <c r="L42" t="n">
        <v>24898.3</v>
      </c>
      <c r="M42" t="n">
        <v>27077.2</v>
      </c>
      <c r="N42" t="n">
        <v>28787.3</v>
      </c>
      <c r="O42" t="n">
        <v>30547.7</v>
      </c>
      <c r="P42" t="n">
        <v>32593.1</v>
      </c>
      <c r="Q42" t="n">
        <v>34397</v>
      </c>
      <c r="R42" t="n">
        <v>35948.9</v>
      </c>
      <c r="S42" t="n">
        <v>37033.6</v>
      </c>
      <c r="T42" t="n">
        <v>37095.4</v>
      </c>
      <c r="U42" t="n">
        <v>38249.9</v>
      </c>
      <c r="V42" t="n">
        <v>38180.6</v>
      </c>
      <c r="W42" t="n">
        <v>37747</v>
      </c>
      <c r="X42" t="n">
        <v>38596.2</v>
      </c>
      <c r="Y42" t="n">
        <v>39231.1</v>
      </c>
      <c r="Z42" t="n">
        <v>39805.6</v>
      </c>
      <c r="AA42" t="n">
        <v>38987.7</v>
      </c>
      <c r="AB42" t="n">
        <v>39179.5</v>
      </c>
      <c r="AC42" t="n">
        <v>39888.9</v>
      </c>
      <c r="AD42" t="n">
        <v>40236.9</v>
      </c>
      <c r="AE42" t="n">
        <v>40370.5</v>
      </c>
      <c r="AF42" t="n">
        <v>42011</v>
      </c>
    </row>
    <row r="43">
      <c r="A43" t="s">
        <v>111</v>
      </c>
      <c r="B43" t="s">
        <v>356</v>
      </c>
      <c r="C43" t="s">
        <v>246</v>
      </c>
      <c r="D43" t="s">
        <v>357</v>
      </c>
      <c r="E43" t="s">
        <v>247</v>
      </c>
      <c r="F43" t="n">
        <v>19795.5</v>
      </c>
      <c r="G43" t="n">
        <v>19581.8</v>
      </c>
      <c r="H43" t="n">
        <v>20131.1</v>
      </c>
      <c r="I43" t="n">
        <v>21167.9</v>
      </c>
      <c r="J43" t="n">
        <v>21919.4</v>
      </c>
      <c r="K43" t="n">
        <v>23485.1</v>
      </c>
      <c r="L43" t="n">
        <v>24942.3</v>
      </c>
      <c r="M43" t="n">
        <v>27125</v>
      </c>
      <c r="N43" t="n">
        <v>28839.3</v>
      </c>
      <c r="O43" t="n">
        <v>30609.1</v>
      </c>
      <c r="P43" t="n">
        <v>32698.2</v>
      </c>
      <c r="Q43" t="n">
        <v>34538.6</v>
      </c>
      <c r="R43" t="n">
        <v>36121.3</v>
      </c>
      <c r="S43" t="n">
        <v>37231.5</v>
      </c>
      <c r="T43" t="n">
        <v>37292.5</v>
      </c>
      <c r="U43" t="n">
        <v>38442.1</v>
      </c>
      <c r="V43" t="n">
        <v>38366.9</v>
      </c>
      <c r="W43" t="n">
        <v>37925.1</v>
      </c>
      <c r="X43" t="n">
        <v>38775.2</v>
      </c>
      <c r="Y43" t="n">
        <v>39434.1</v>
      </c>
      <c r="Z43" t="n">
        <v>40064.2</v>
      </c>
      <c r="AA43" t="n">
        <v>39325.6</v>
      </c>
      <c r="AB43" t="n">
        <v>39598</v>
      </c>
      <c r="AC43" t="n">
        <v>40449.7</v>
      </c>
      <c r="AD43" t="n">
        <v>40908</v>
      </c>
      <c r="AE43" t="n">
        <v>41063.5</v>
      </c>
      <c r="AF43" t="n">
        <v>42707.9</v>
      </c>
    </row>
    <row r="44">
      <c r="A44" t="s">
        <v>111</v>
      </c>
      <c r="B44" t="s">
        <v>358</v>
      </c>
      <c r="C44" t="s">
        <v>246</v>
      </c>
      <c r="D44" t="s">
        <v>359</v>
      </c>
      <c r="E44" t="s">
        <v>247</v>
      </c>
      <c r="F44" t="n">
        <v>45888.2</v>
      </c>
      <c r="G44" t="n">
        <v>45692.4</v>
      </c>
      <c r="H44" t="n">
        <v>47065</v>
      </c>
      <c r="I44" t="n">
        <v>49385.4</v>
      </c>
      <c r="J44" t="n">
        <v>50987.8</v>
      </c>
      <c r="K44" t="n">
        <v>54168</v>
      </c>
      <c r="L44" t="n">
        <v>57121.5</v>
      </c>
      <c r="M44" t="n">
        <v>61618.9</v>
      </c>
      <c r="N44" t="n">
        <v>65371.6</v>
      </c>
      <c r="O44" t="n">
        <v>69448.6</v>
      </c>
      <c r="P44" t="n">
        <v>74099.9</v>
      </c>
      <c r="Q44" t="n">
        <v>78245.5</v>
      </c>
      <c r="R44" t="n">
        <v>81742.5</v>
      </c>
      <c r="S44" t="n">
        <v>85297.4</v>
      </c>
      <c r="T44" t="n">
        <v>86471.9</v>
      </c>
      <c r="U44" t="n">
        <v>90334.1</v>
      </c>
      <c r="V44" t="n">
        <v>91629.6</v>
      </c>
      <c r="W44" t="n">
        <v>91171.6</v>
      </c>
      <c r="X44" t="n">
        <v>93755</v>
      </c>
      <c r="Y44" t="n">
        <v>96190.7</v>
      </c>
      <c r="Z44" t="n">
        <v>99988.7</v>
      </c>
      <c r="AA44" t="n">
        <v>101663</v>
      </c>
      <c r="AB44" t="n">
        <v>105295.7</v>
      </c>
      <c r="AC44" t="n">
        <v>109557.8</v>
      </c>
      <c r="AD44" t="n">
        <v>113392.9</v>
      </c>
      <c r="AE44" t="n">
        <v>115319.5</v>
      </c>
      <c r="AF44" t="n">
        <v>119745.9</v>
      </c>
    </row>
    <row r="45">
      <c r="A45" t="s">
        <v>111</v>
      </c>
      <c r="B45" t="s">
        <v>360</v>
      </c>
      <c r="C45" t="s">
        <v>246</v>
      </c>
      <c r="D45" t="s">
        <v>361</v>
      </c>
      <c r="E45" t="s">
        <v>247</v>
      </c>
      <c r="F45" t="n">
        <v>45883.9</v>
      </c>
      <c r="G45" t="n">
        <v>45687.9</v>
      </c>
      <c r="H45" t="n">
        <v>47060.3</v>
      </c>
      <c r="I45" t="n">
        <v>49380.3</v>
      </c>
      <c r="J45" t="n">
        <v>50982.5</v>
      </c>
      <c r="K45" t="n">
        <v>54162.3</v>
      </c>
      <c r="L45" t="n">
        <v>57115.5</v>
      </c>
      <c r="M45" t="n">
        <v>61612.4</v>
      </c>
      <c r="N45" t="n">
        <v>65364.7</v>
      </c>
      <c r="O45" t="n">
        <v>69441.2</v>
      </c>
      <c r="P45" t="n">
        <v>74092</v>
      </c>
      <c r="Q45" t="n">
        <v>78237.2</v>
      </c>
      <c r="R45" t="n">
        <v>81733.8</v>
      </c>
      <c r="S45" t="n">
        <v>85288.2</v>
      </c>
      <c r="T45" t="n">
        <v>86461.1</v>
      </c>
      <c r="U45" t="n">
        <v>90317.7</v>
      </c>
      <c r="V45" t="n">
        <v>91608.9</v>
      </c>
      <c r="W45" t="n">
        <v>91148</v>
      </c>
      <c r="X45" t="n">
        <v>93728.2</v>
      </c>
      <c r="Y45" t="n">
        <v>96157.5</v>
      </c>
      <c r="Z45" t="n">
        <v>99948.6</v>
      </c>
      <c r="AA45" t="n">
        <v>101612.1</v>
      </c>
      <c r="AB45" t="n">
        <v>105232.1</v>
      </c>
      <c r="AC45" t="n">
        <v>109480.2</v>
      </c>
      <c r="AD45" t="n">
        <v>113293.2</v>
      </c>
      <c r="AE45" t="n">
        <v>115198.7</v>
      </c>
      <c r="AF45" t="n">
        <v>119603.4</v>
      </c>
    </row>
    <row r="46">
      <c r="A46" t="s">
        <v>111</v>
      </c>
      <c r="B46" t="s">
        <v>362</v>
      </c>
      <c r="C46" t="s">
        <v>246</v>
      </c>
      <c r="D46" t="s">
        <v>363</v>
      </c>
      <c r="E46" t="s">
        <v>247</v>
      </c>
      <c r="F46" t="n">
        <v>40.9</v>
      </c>
      <c r="G46" t="n">
        <v>39.4</v>
      </c>
      <c r="H46" t="n">
        <v>39.5</v>
      </c>
      <c r="I46" t="n">
        <v>40.4</v>
      </c>
      <c r="J46" t="n">
        <v>40.8</v>
      </c>
      <c r="K46" t="n">
        <v>42.5</v>
      </c>
      <c r="L46" t="n">
        <v>44</v>
      </c>
      <c r="M46" t="n">
        <v>47.8</v>
      </c>
      <c r="N46" t="n">
        <v>52</v>
      </c>
      <c r="O46" t="n">
        <v>61.4</v>
      </c>
      <c r="P46" t="n">
        <v>105.1</v>
      </c>
      <c r="Q46" t="n">
        <v>141.6</v>
      </c>
      <c r="R46" t="n">
        <v>172.4</v>
      </c>
      <c r="S46" t="n">
        <v>197.9</v>
      </c>
      <c r="T46" t="n">
        <v>197.1</v>
      </c>
      <c r="U46" t="n">
        <v>192.2</v>
      </c>
      <c r="V46" t="n">
        <v>186.3</v>
      </c>
      <c r="W46" t="n">
        <v>178.1</v>
      </c>
      <c r="X46" t="n">
        <v>179</v>
      </c>
      <c r="Y46" t="n">
        <v>203</v>
      </c>
      <c r="Z46" t="n">
        <v>258.6</v>
      </c>
      <c r="AA46" t="n">
        <v>337.9</v>
      </c>
      <c r="AB46" t="n">
        <v>418.5</v>
      </c>
      <c r="AC46" t="n">
        <v>560.8</v>
      </c>
      <c r="AD46" t="n">
        <v>671.1</v>
      </c>
      <c r="AE46" t="n">
        <v>693</v>
      </c>
      <c r="AF46" t="n">
        <v>696.9</v>
      </c>
    </row>
    <row r="47">
      <c r="A47" t="s">
        <v>111</v>
      </c>
      <c r="B47" t="s">
        <v>364</v>
      </c>
      <c r="C47" t="s">
        <v>246</v>
      </c>
      <c r="D47" t="s">
        <v>365</v>
      </c>
      <c r="E47" t="s">
        <v>247</v>
      </c>
      <c r="F47" t="n">
        <v>10.1</v>
      </c>
      <c r="G47" t="n">
        <v>11.8</v>
      </c>
      <c r="H47" t="n">
        <v>14.4</v>
      </c>
      <c r="I47" t="n">
        <v>16.6</v>
      </c>
      <c r="J47" t="n">
        <v>19.3</v>
      </c>
      <c r="K47" t="n">
        <v>22.7</v>
      </c>
      <c r="L47" t="n">
        <v>26.3</v>
      </c>
      <c r="M47" t="n">
        <v>29.7</v>
      </c>
      <c r="N47" t="n">
        <v>33.4</v>
      </c>
      <c r="O47" t="n">
        <v>37.8</v>
      </c>
      <c r="P47" t="n">
        <v>42.6</v>
      </c>
      <c r="Q47" t="n">
        <v>47.5</v>
      </c>
      <c r="R47" t="n">
        <v>51.2</v>
      </c>
      <c r="S47" t="n">
        <v>54.8</v>
      </c>
      <c r="T47" t="n">
        <v>58.1</v>
      </c>
      <c r="U47" t="n">
        <v>93.3</v>
      </c>
      <c r="V47" t="n">
        <v>163.1</v>
      </c>
      <c r="W47" t="n">
        <v>180.4</v>
      </c>
      <c r="X47" t="n">
        <v>229.1</v>
      </c>
      <c r="Y47" t="n">
        <v>271.4</v>
      </c>
      <c r="Z47" t="n">
        <v>413.1</v>
      </c>
      <c r="AA47" t="n">
        <v>544.4</v>
      </c>
      <c r="AB47" t="n">
        <v>752.1</v>
      </c>
      <c r="AC47" t="n">
        <v>942</v>
      </c>
      <c r="AD47" t="n">
        <v>1115.7</v>
      </c>
      <c r="AE47" t="n">
        <v>1276.9</v>
      </c>
      <c r="AF47" t="n">
        <v>1468.7</v>
      </c>
    </row>
    <row r="48">
      <c r="A48" t="s">
        <v>111</v>
      </c>
      <c r="B48" t="s">
        <v>366</v>
      </c>
      <c r="C48" t="s">
        <v>246</v>
      </c>
      <c r="D48" t="s">
        <v>367</v>
      </c>
      <c r="E48" t="s">
        <v>247</v>
      </c>
      <c r="F48" t="n">
        <v>1717.7</v>
      </c>
      <c r="G48" t="n">
        <v>1746.9</v>
      </c>
      <c r="H48" t="n">
        <v>1835.6</v>
      </c>
      <c r="I48" t="n">
        <v>1950.7</v>
      </c>
      <c r="J48" t="n">
        <v>2031.8</v>
      </c>
      <c r="K48" t="n">
        <v>2166.3</v>
      </c>
      <c r="L48" t="n">
        <v>2288.6</v>
      </c>
      <c r="M48" t="n">
        <v>2474.1</v>
      </c>
      <c r="N48" t="n">
        <v>2710.9</v>
      </c>
      <c r="O48" t="n">
        <v>3014.7</v>
      </c>
      <c r="P48" t="n">
        <v>3307.5</v>
      </c>
      <c r="Q48" t="n">
        <v>3571</v>
      </c>
      <c r="R48" t="n">
        <v>3921.8</v>
      </c>
      <c r="S48" t="n">
        <v>4254.4</v>
      </c>
      <c r="T48" t="n">
        <v>4355.7</v>
      </c>
      <c r="U48" t="n">
        <v>4648</v>
      </c>
      <c r="V48" t="n">
        <v>4667.6</v>
      </c>
      <c r="W48" t="n">
        <v>4545.5</v>
      </c>
      <c r="X48" t="n">
        <v>4633.7</v>
      </c>
      <c r="Y48" t="n">
        <v>4738.7</v>
      </c>
      <c r="Z48" t="n">
        <v>4999.1</v>
      </c>
      <c r="AA48" t="n">
        <v>4977.6</v>
      </c>
      <c r="AB48" t="n">
        <v>5078.6</v>
      </c>
      <c r="AC48" t="n">
        <v>5174.2</v>
      </c>
      <c r="AD48" t="n">
        <v>5265.7</v>
      </c>
      <c r="AE48" t="n">
        <v>5452.3</v>
      </c>
      <c r="AF48" t="n">
        <v>5828.7</v>
      </c>
    </row>
    <row r="49">
      <c r="A49" t="s">
        <v>111</v>
      </c>
      <c r="B49" t="s">
        <v>368</v>
      </c>
      <c r="C49" t="s">
        <v>246</v>
      </c>
      <c r="D49" t="s">
        <v>369</v>
      </c>
      <c r="E49" t="s">
        <v>247</v>
      </c>
      <c r="F49" t="n">
        <v>49.3</v>
      </c>
      <c r="G49" t="n">
        <v>50.2</v>
      </c>
      <c r="H49" t="n">
        <v>53.3</v>
      </c>
      <c r="I49" t="n">
        <v>58.6</v>
      </c>
      <c r="J49" t="n">
        <v>63.1</v>
      </c>
      <c r="K49" t="n">
        <v>69.1</v>
      </c>
      <c r="L49" t="n">
        <v>74.7</v>
      </c>
      <c r="M49" t="n">
        <v>83.2</v>
      </c>
      <c r="N49" t="n">
        <v>91.1</v>
      </c>
      <c r="O49" t="n">
        <v>99.2</v>
      </c>
      <c r="P49" t="n">
        <v>107.9</v>
      </c>
      <c r="Q49" t="n">
        <v>112.8</v>
      </c>
      <c r="R49" t="n">
        <v>117.7</v>
      </c>
      <c r="S49" t="n">
        <v>123</v>
      </c>
      <c r="T49" t="n">
        <v>123.6</v>
      </c>
      <c r="U49" t="n">
        <v>129.1</v>
      </c>
      <c r="V49" t="n">
        <v>129.5</v>
      </c>
      <c r="W49" t="n">
        <v>125.4</v>
      </c>
      <c r="X49" t="n">
        <v>112.2</v>
      </c>
      <c r="Y49" t="n">
        <v>99.2</v>
      </c>
      <c r="Z49" t="n">
        <v>89.5</v>
      </c>
      <c r="AA49" t="n">
        <v>85.6</v>
      </c>
      <c r="AB49" t="n">
        <v>99.4</v>
      </c>
      <c r="AC49" t="n">
        <v>101.1</v>
      </c>
      <c r="AD49" t="n">
        <v>104.4</v>
      </c>
      <c r="AE49" t="n">
        <v>98.5</v>
      </c>
      <c r="AF49" t="n">
        <v>131.6</v>
      </c>
    </row>
    <row r="50">
      <c r="A50" t="s">
        <v>111</v>
      </c>
      <c r="B50" t="s">
        <v>370</v>
      </c>
      <c r="C50" t="s">
        <v>246</v>
      </c>
      <c r="D50" t="s">
        <v>371</v>
      </c>
      <c r="E50" t="s">
        <v>247</v>
      </c>
      <c r="F50" t="n">
        <v>1658.3</v>
      </c>
      <c r="G50" t="n">
        <v>1684.9</v>
      </c>
      <c r="H50" t="n">
        <v>1767.9</v>
      </c>
      <c r="I50" t="n">
        <v>1875.5</v>
      </c>
      <c r="J50" t="n">
        <v>1949.4</v>
      </c>
      <c r="K50" t="n">
        <v>2074.5</v>
      </c>
      <c r="L50" t="n">
        <v>2187.6</v>
      </c>
      <c r="M50" t="n">
        <v>2361.3</v>
      </c>
      <c r="N50" t="n">
        <v>2586.4</v>
      </c>
      <c r="O50" t="n">
        <v>2877.7</v>
      </c>
      <c r="P50" t="n">
        <v>3157.1</v>
      </c>
      <c r="Q50" t="n">
        <v>3410.7</v>
      </c>
      <c r="R50" t="n">
        <v>3752.9</v>
      </c>
      <c r="S50" t="n">
        <v>4076.7</v>
      </c>
      <c r="T50" t="n">
        <v>4174</v>
      </c>
      <c r="U50" t="n">
        <v>4425.6</v>
      </c>
      <c r="V50" t="n">
        <v>4375</v>
      </c>
      <c r="W50" t="n">
        <v>4239.6</v>
      </c>
      <c r="X50" t="n">
        <v>4292.4</v>
      </c>
      <c r="Y50" t="n">
        <v>4368.1</v>
      </c>
      <c r="Z50" t="n">
        <v>4496.4</v>
      </c>
      <c r="AA50" t="n">
        <v>4347.6</v>
      </c>
      <c r="AB50" t="n">
        <v>4227.1</v>
      </c>
      <c r="AC50" t="n">
        <v>4131</v>
      </c>
      <c r="AD50" t="n">
        <v>4045.6</v>
      </c>
      <c r="AE50" t="n">
        <v>4076.8</v>
      </c>
      <c r="AF50" t="n">
        <v>4228.4</v>
      </c>
    </row>
    <row r="51">
      <c r="A51" t="s">
        <v>111</v>
      </c>
      <c r="B51" t="s">
        <v>372</v>
      </c>
      <c r="C51" t="s">
        <v>246</v>
      </c>
      <c r="D51" t="s">
        <v>373</v>
      </c>
      <c r="E51" t="s">
        <v>247</v>
      </c>
      <c r="F51" t="n">
        <v>1657.6</v>
      </c>
      <c r="G51" t="n">
        <v>1684.2</v>
      </c>
      <c r="H51" t="n">
        <v>1767.2</v>
      </c>
      <c r="I51" t="n">
        <v>1874.7</v>
      </c>
      <c r="J51" t="n">
        <v>1948.6</v>
      </c>
      <c r="K51" t="n">
        <v>2073.6</v>
      </c>
      <c r="L51" t="n">
        <v>2186.7</v>
      </c>
      <c r="M51" t="n">
        <v>2360.3</v>
      </c>
      <c r="N51" t="n">
        <v>2585.4</v>
      </c>
      <c r="O51" t="n">
        <v>2876.6</v>
      </c>
      <c r="P51" t="n">
        <v>3155.9</v>
      </c>
      <c r="Q51" t="n">
        <v>3409.5</v>
      </c>
      <c r="R51" t="n">
        <v>3751.6</v>
      </c>
      <c r="S51" t="n">
        <v>4075.3</v>
      </c>
      <c r="T51" t="n">
        <v>4172.4</v>
      </c>
      <c r="U51" t="n">
        <v>4423.8</v>
      </c>
      <c r="V51" t="n">
        <v>4373.2</v>
      </c>
      <c r="W51" t="n">
        <v>4236.6</v>
      </c>
      <c r="X51" t="n">
        <v>4289.5</v>
      </c>
      <c r="Y51" t="n">
        <v>4365.5</v>
      </c>
      <c r="Z51" t="n">
        <v>4492.2</v>
      </c>
      <c r="AA51" t="n">
        <v>4341.5</v>
      </c>
      <c r="AB51" t="n">
        <v>4213.4</v>
      </c>
      <c r="AC51" t="n">
        <v>4096.1</v>
      </c>
      <c r="AD51" t="n">
        <v>3983.6</v>
      </c>
      <c r="AE51" t="n">
        <v>4011.4</v>
      </c>
      <c r="AF51"/>
    </row>
    <row r="52">
      <c r="A52" t="s">
        <v>111</v>
      </c>
      <c r="B52" t="s">
        <v>374</v>
      </c>
      <c r="C52" t="s">
        <v>246</v>
      </c>
      <c r="D52" t="s">
        <v>375</v>
      </c>
      <c r="E52" t="s">
        <v>247</v>
      </c>
      <c r="F52" t="n">
        <v>0.7</v>
      </c>
      <c r="G52" t="n">
        <v>0.7</v>
      </c>
      <c r="H52" t="n">
        <v>0.7</v>
      </c>
      <c r="I52" t="n">
        <v>0.8</v>
      </c>
      <c r="J52" t="n">
        <v>0.8</v>
      </c>
      <c r="K52" t="n">
        <v>0.9</v>
      </c>
      <c r="L52" t="n">
        <v>0.9</v>
      </c>
      <c r="M52" t="n">
        <v>1</v>
      </c>
      <c r="N52" t="n">
        <v>1</v>
      </c>
      <c r="O52" t="n">
        <v>1.1</v>
      </c>
      <c r="P52" t="n">
        <v>1.2</v>
      </c>
      <c r="Q52" t="n">
        <v>1.2</v>
      </c>
      <c r="R52" t="n">
        <v>1.3</v>
      </c>
      <c r="S52" t="n">
        <v>1.4</v>
      </c>
      <c r="T52" t="n">
        <v>1.6</v>
      </c>
      <c r="U52" t="n">
        <v>1.8</v>
      </c>
      <c r="V52" t="n">
        <v>1.8</v>
      </c>
      <c r="W52" t="n">
        <v>3</v>
      </c>
      <c r="X52" t="n">
        <v>2.9</v>
      </c>
      <c r="Y52" t="n">
        <v>2.6</v>
      </c>
      <c r="Z52" t="n">
        <v>4.2</v>
      </c>
      <c r="AA52" t="n">
        <v>6.1</v>
      </c>
      <c r="AB52" t="n">
        <v>13.7</v>
      </c>
      <c r="AC52" t="n">
        <v>34.9</v>
      </c>
      <c r="AD52" t="n">
        <v>62</v>
      </c>
      <c r="AE52" t="n">
        <v>65.4</v>
      </c>
      <c r="AF52"/>
    </row>
    <row r="53">
      <c r="A53" t="s">
        <v>111</v>
      </c>
      <c r="B53" t="s">
        <v>376</v>
      </c>
      <c r="C53" t="s">
        <v>246</v>
      </c>
      <c r="D53" t="s">
        <v>377</v>
      </c>
      <c r="E53" t="s">
        <v>247</v>
      </c>
      <c r="F53" t="n">
        <v>37.4</v>
      </c>
      <c r="G53" t="n">
        <v>40.2</v>
      </c>
      <c r="H53" t="n">
        <v>43.9</v>
      </c>
      <c r="I53" t="n">
        <v>47.8</v>
      </c>
      <c r="J53" t="n">
        <v>56.6</v>
      </c>
      <c r="K53" t="n">
        <v>70.2</v>
      </c>
      <c r="L53" t="n">
        <v>80.9</v>
      </c>
      <c r="M53" t="n">
        <v>93.8</v>
      </c>
      <c r="N53" t="n">
        <v>105.4</v>
      </c>
      <c r="O53" t="n">
        <v>119.5</v>
      </c>
      <c r="P53" t="n">
        <v>142.3</v>
      </c>
      <c r="Q53" t="n">
        <v>170.6</v>
      </c>
      <c r="R53" t="n">
        <v>196.4</v>
      </c>
      <c r="S53" t="n">
        <v>214.4</v>
      </c>
      <c r="T53" t="n">
        <v>228.9</v>
      </c>
      <c r="U53" t="n">
        <v>239.7</v>
      </c>
      <c r="V53" t="n">
        <v>240.6</v>
      </c>
      <c r="W53" t="n">
        <v>237.5</v>
      </c>
      <c r="X53" t="n">
        <v>262.9</v>
      </c>
      <c r="Y53" t="n">
        <v>251.4</v>
      </c>
      <c r="Z53" t="n">
        <v>255.3</v>
      </c>
      <c r="AA53" t="n">
        <v>254.8</v>
      </c>
      <c r="AB53" t="n">
        <v>268.3</v>
      </c>
      <c r="AC53" t="n">
        <v>265.7</v>
      </c>
      <c r="AD53" t="n">
        <v>280.3</v>
      </c>
      <c r="AE53" t="n">
        <v>279.1</v>
      </c>
      <c r="AF53" t="n">
        <v>269.4</v>
      </c>
    </row>
    <row r="54">
      <c r="A54" t="s">
        <v>111</v>
      </c>
      <c r="B54" t="s">
        <v>378</v>
      </c>
      <c r="C54" t="s">
        <v>246</v>
      </c>
      <c r="D54" t="s">
        <v>379</v>
      </c>
      <c r="E54" t="s">
        <v>247</v>
      </c>
      <c r="F54" t="n">
        <v>50.5</v>
      </c>
      <c r="G54" t="n">
        <v>55.5</v>
      </c>
      <c r="H54" t="n">
        <v>61.3</v>
      </c>
      <c r="I54" t="n">
        <v>67.5</v>
      </c>
      <c r="J54" t="n">
        <v>78</v>
      </c>
      <c r="K54" t="n">
        <v>93.7</v>
      </c>
      <c r="L54" t="n">
        <v>106.4</v>
      </c>
      <c r="M54" t="n">
        <v>121.7</v>
      </c>
      <c r="N54" t="n">
        <v>135.6</v>
      </c>
      <c r="O54" t="n">
        <v>152</v>
      </c>
      <c r="P54" t="n">
        <v>177.2</v>
      </c>
      <c r="Q54" t="n">
        <v>209.7</v>
      </c>
      <c r="R54" t="n">
        <v>238.9</v>
      </c>
      <c r="S54" t="n">
        <v>260.4</v>
      </c>
      <c r="T54" t="n">
        <v>275.2</v>
      </c>
      <c r="U54" t="n">
        <v>291.2</v>
      </c>
      <c r="V54" t="n">
        <v>299.2</v>
      </c>
      <c r="W54" t="n">
        <v>306.2</v>
      </c>
      <c r="X54" t="n">
        <v>341.5</v>
      </c>
      <c r="Y54" t="n">
        <v>345</v>
      </c>
      <c r="Z54" t="n">
        <v>357.2</v>
      </c>
      <c r="AA54" t="n">
        <v>358.5</v>
      </c>
      <c r="AB54" t="n">
        <v>376.4</v>
      </c>
      <c r="AC54" t="n">
        <v>377.5</v>
      </c>
      <c r="AD54" t="n">
        <v>396</v>
      </c>
      <c r="AE54" t="n">
        <v>389.9</v>
      </c>
      <c r="AF54" t="n">
        <v>379.4</v>
      </c>
    </row>
    <row r="55">
      <c r="A55" t="s">
        <v>111</v>
      </c>
      <c r="B55" t="s">
        <v>380</v>
      </c>
      <c r="C55" t="s">
        <v>246</v>
      </c>
      <c r="D55" t="s">
        <v>381</v>
      </c>
      <c r="E55" t="s">
        <v>247</v>
      </c>
      <c r="F55" t="n">
        <v>13.1</v>
      </c>
      <c r="G55" t="n">
        <v>15.3</v>
      </c>
      <c r="H55" t="n">
        <v>17.4</v>
      </c>
      <c r="I55" t="n">
        <v>19.7</v>
      </c>
      <c r="J55" t="n">
        <v>21.4</v>
      </c>
      <c r="K55" t="n">
        <v>23.5</v>
      </c>
      <c r="L55" t="n">
        <v>25.5</v>
      </c>
      <c r="M55" t="n">
        <v>27.9</v>
      </c>
      <c r="N55" t="n">
        <v>30.2</v>
      </c>
      <c r="O55" t="n">
        <v>32.5</v>
      </c>
      <c r="P55" t="n">
        <v>34.9</v>
      </c>
      <c r="Q55" t="n">
        <v>39.1</v>
      </c>
      <c r="R55" t="n">
        <v>42.5</v>
      </c>
      <c r="S55" t="n">
        <v>46</v>
      </c>
      <c r="T55" t="n">
        <v>46.3</v>
      </c>
      <c r="U55" t="n">
        <v>51.5</v>
      </c>
      <c r="V55" t="n">
        <v>58.6</v>
      </c>
      <c r="W55" t="n">
        <v>68.7</v>
      </c>
      <c r="X55" t="n">
        <v>78.6</v>
      </c>
      <c r="Y55" t="n">
        <v>93.6</v>
      </c>
      <c r="Z55" t="n">
        <v>101.9</v>
      </c>
      <c r="AA55" t="n">
        <v>103.7</v>
      </c>
      <c r="AB55" t="n">
        <v>108.1</v>
      </c>
      <c r="AC55" t="n">
        <v>111.8</v>
      </c>
      <c r="AD55" t="n">
        <v>115.7</v>
      </c>
      <c r="AE55" t="n">
        <v>110.8</v>
      </c>
      <c r="AF55" t="n">
        <v>110</v>
      </c>
    </row>
    <row r="56">
      <c r="A56" t="s">
        <v>111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111</v>
      </c>
      <c r="B57" t="s">
        <v>384</v>
      </c>
      <c r="C57" t="s">
        <v>246</v>
      </c>
      <c r="D57" t="s">
        <v>385</v>
      </c>
      <c r="E57" t="s">
        <v>247</v>
      </c>
      <c r="F57" t="n">
        <v>47642.9</v>
      </c>
      <c r="G57" t="n">
        <v>47474.4</v>
      </c>
      <c r="H57" t="n">
        <v>48935.4</v>
      </c>
      <c r="I57" t="n">
        <v>51371.4</v>
      </c>
      <c r="J57" t="n">
        <v>53055</v>
      </c>
      <c r="K57" t="n">
        <v>56370.8</v>
      </c>
      <c r="L57" t="n">
        <v>59447.8</v>
      </c>
      <c r="M57" t="n">
        <v>64133</v>
      </c>
      <c r="N57" t="n">
        <v>68124.3</v>
      </c>
      <c r="O57" t="n">
        <v>72507.4</v>
      </c>
      <c r="P57" t="n">
        <v>77454.2</v>
      </c>
      <c r="Q57" t="n">
        <v>81865.6</v>
      </c>
      <c r="R57" t="n">
        <v>85715.3</v>
      </c>
      <c r="S57" t="n">
        <v>89605.5</v>
      </c>
      <c r="T57" t="n">
        <v>90872.7</v>
      </c>
      <c r="U57" t="n">
        <v>95025.6</v>
      </c>
      <c r="V57" t="n">
        <v>96334.8</v>
      </c>
      <c r="W57" t="n">
        <v>95749.2</v>
      </c>
      <c r="X57" t="n">
        <v>98415.6</v>
      </c>
      <c r="Y57" t="n">
        <v>100956.3</v>
      </c>
      <c r="Z57" t="n">
        <v>105012.5</v>
      </c>
      <c r="AA57" t="n">
        <v>106678.7</v>
      </c>
      <c r="AB57" t="n">
        <v>110413.8</v>
      </c>
      <c r="AC57" t="n">
        <v>114775.6</v>
      </c>
      <c r="AD57" t="n">
        <v>118711.4</v>
      </c>
      <c r="AE57" t="n">
        <v>120830.4</v>
      </c>
      <c r="AF57" t="n">
        <v>125629.6</v>
      </c>
    </row>
    <row r="58">
      <c r="A58" t="s">
        <v>111</v>
      </c>
      <c r="B58" t="s">
        <v>386</v>
      </c>
      <c r="C58" t="s">
        <v>246</v>
      </c>
      <c r="D58" t="s">
        <v>387</v>
      </c>
      <c r="E58" t="s">
        <v>247</v>
      </c>
      <c r="F58" t="n">
        <v>47642.9</v>
      </c>
      <c r="G58" t="n">
        <v>47474.4</v>
      </c>
      <c r="H58" t="n">
        <v>48935.4</v>
      </c>
      <c r="I58" t="n">
        <v>51371.4</v>
      </c>
      <c r="J58" t="n">
        <v>53055</v>
      </c>
      <c r="K58" t="n">
        <v>56370.8</v>
      </c>
      <c r="L58" t="n">
        <v>59447.8</v>
      </c>
      <c r="M58" t="n">
        <v>64133</v>
      </c>
      <c r="N58" t="n">
        <v>68124.3</v>
      </c>
      <c r="O58" t="n">
        <v>72507.4</v>
      </c>
      <c r="P58" t="n">
        <v>77454.2</v>
      </c>
      <c r="Q58" t="n">
        <v>81865.6</v>
      </c>
      <c r="R58" t="n">
        <v>85715.3</v>
      </c>
      <c r="S58" t="n">
        <v>89605.5</v>
      </c>
      <c r="T58" t="n">
        <v>90872.7</v>
      </c>
      <c r="U58" t="n">
        <v>95025.6</v>
      </c>
      <c r="V58" t="n">
        <v>96334.8</v>
      </c>
      <c r="W58" t="n">
        <v>95749.2</v>
      </c>
      <c r="X58" t="n">
        <v>98415.6</v>
      </c>
      <c r="Y58" t="n">
        <v>100956.3</v>
      </c>
      <c r="Z58" t="n">
        <v>105012.5</v>
      </c>
      <c r="AA58" t="n">
        <v>106678.7</v>
      </c>
      <c r="AB58" t="n">
        <v>110413.8</v>
      </c>
      <c r="AC58" t="n">
        <v>114775.6</v>
      </c>
      <c r="AD58" t="n">
        <v>118711.4</v>
      </c>
      <c r="AE58" t="n">
        <v>120830.4</v>
      </c>
      <c r="AF58" t="n">
        <v>125629.6</v>
      </c>
    </row>
    <row r="59">
      <c r="A59" t="s">
        <v>111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113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113</v>
      </c>
      <c r="B3" t="s">
        <v>276</v>
      </c>
      <c r="C3" t="s">
        <v>246</v>
      </c>
      <c r="D3" t="s">
        <v>277</v>
      </c>
      <c r="E3" t="s">
        <v>247</v>
      </c>
      <c r="F3" t="n">
        <v>1751.7</v>
      </c>
      <c r="G3" t="n">
        <v>1902.4</v>
      </c>
      <c r="H3" t="n">
        <v>2038.7</v>
      </c>
      <c r="I3" t="n">
        <v>2071.5</v>
      </c>
      <c r="J3" t="n">
        <v>2116.5</v>
      </c>
      <c r="K3" t="n">
        <v>2196.4</v>
      </c>
      <c r="L3" t="n">
        <v>2234.4</v>
      </c>
      <c r="M3" t="n">
        <v>2207.9</v>
      </c>
      <c r="N3" t="n">
        <v>2208.9</v>
      </c>
      <c r="O3" t="n">
        <v>2210.2</v>
      </c>
      <c r="P3" t="n">
        <v>2314.4</v>
      </c>
      <c r="Q3" t="n">
        <v>2415.6</v>
      </c>
      <c r="R3" t="n">
        <v>2408.4</v>
      </c>
      <c r="S3" t="n">
        <v>2496.8</v>
      </c>
      <c r="T3" t="n">
        <v>2493.5</v>
      </c>
      <c r="U3" t="n">
        <v>2424.8</v>
      </c>
      <c r="V3" t="n">
        <v>2382.2</v>
      </c>
      <c r="W3" t="n">
        <v>2386.8</v>
      </c>
      <c r="X3" t="n">
        <v>2384.1</v>
      </c>
      <c r="Y3" t="n">
        <v>2442.3</v>
      </c>
      <c r="Z3" t="n">
        <v>2582.3</v>
      </c>
      <c r="AA3" t="n">
        <v>2626.8</v>
      </c>
      <c r="AB3" t="n">
        <v>2652.8</v>
      </c>
      <c r="AC3" t="n">
        <v>2667</v>
      </c>
      <c r="AD3" t="n">
        <v>2687.4</v>
      </c>
      <c r="AE3" t="n">
        <v>2645.8</v>
      </c>
      <c r="AF3" t="n">
        <v>2615.3</v>
      </c>
    </row>
    <row r="4">
      <c r="A4" t="s">
        <v>113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113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113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113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113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113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113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113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113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113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113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113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113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113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113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113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113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113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113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113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113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113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113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113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113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113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113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113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113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113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113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113</v>
      </c>
      <c r="B35" t="s">
        <v>340</v>
      </c>
      <c r="C35" t="s">
        <v>246</v>
      </c>
      <c r="D35" t="s">
        <v>341</v>
      </c>
      <c r="E35" t="s">
        <v>247</v>
      </c>
      <c r="F35" t="n">
        <v>3502</v>
      </c>
      <c r="G35" t="n">
        <v>3598.5</v>
      </c>
      <c r="H35" t="n">
        <v>3744.7</v>
      </c>
      <c r="I35" t="n">
        <v>3948.6</v>
      </c>
      <c r="J35" t="n">
        <v>4163.3</v>
      </c>
      <c r="K35" t="n">
        <v>4393.1</v>
      </c>
      <c r="L35" t="n">
        <v>4559.5</v>
      </c>
      <c r="M35" t="n">
        <v>4762.3</v>
      </c>
      <c r="N35" t="n">
        <v>4941.2</v>
      </c>
      <c r="O35" t="n">
        <v>5193</v>
      </c>
      <c r="P35" t="n">
        <v>5324.2</v>
      </c>
      <c r="Q35" t="n">
        <v>5359.2</v>
      </c>
      <c r="R35" t="n">
        <v>5638.7</v>
      </c>
      <c r="S35" t="n">
        <v>5896.2</v>
      </c>
      <c r="T35" t="n">
        <v>5691.7</v>
      </c>
      <c r="U35" t="n">
        <v>5728.1</v>
      </c>
      <c r="V35" t="n">
        <v>6083</v>
      </c>
      <c r="W35" t="n">
        <v>5977.4</v>
      </c>
      <c r="X35" t="n">
        <v>5882.6</v>
      </c>
      <c r="Y35" t="n">
        <v>5784.9</v>
      </c>
      <c r="Z35" t="n">
        <v>8057.3</v>
      </c>
      <c r="AA35" t="n">
        <v>7685.8</v>
      </c>
      <c r="AB35" t="n">
        <v>7213.8</v>
      </c>
      <c r="AC35" t="n">
        <v>7001</v>
      </c>
      <c r="AD35" t="n">
        <v>6615.3</v>
      </c>
      <c r="AE35" t="n">
        <v>6230.4</v>
      </c>
      <c r="AF35" t="n">
        <v>6070.8</v>
      </c>
    </row>
    <row r="36">
      <c r="A36" t="s">
        <v>113</v>
      </c>
      <c r="B36" t="s">
        <v>342</v>
      </c>
      <c r="C36" t="s">
        <v>246</v>
      </c>
      <c r="D36" t="s">
        <v>343</v>
      </c>
      <c r="E36" t="s">
        <v>247</v>
      </c>
      <c r="F36" t="n">
        <v>3502</v>
      </c>
      <c r="G36" t="n">
        <v>3598.5</v>
      </c>
      <c r="H36" t="n">
        <v>3744.8</v>
      </c>
      <c r="I36" t="n">
        <v>3948.7</v>
      </c>
      <c r="J36" t="n">
        <v>4163.3</v>
      </c>
      <c r="K36" t="n">
        <v>4393.2</v>
      </c>
      <c r="L36" t="n">
        <v>4559.5</v>
      </c>
      <c r="M36" t="n">
        <v>4762.3</v>
      </c>
      <c r="N36" t="n">
        <v>4941.2</v>
      </c>
      <c r="O36" t="n">
        <v>5193.1</v>
      </c>
      <c r="P36" t="n">
        <v>5324.3</v>
      </c>
      <c r="Q36" t="n">
        <v>5359.2</v>
      </c>
      <c r="R36" t="n">
        <v>5638.7</v>
      </c>
      <c r="S36" t="n">
        <v>5896.3</v>
      </c>
      <c r="T36" t="n">
        <v>5691.7</v>
      </c>
      <c r="U36" t="n">
        <v>5728</v>
      </c>
      <c r="V36" t="n">
        <v>6082.9</v>
      </c>
      <c r="W36" t="n">
        <v>5977.4</v>
      </c>
      <c r="X36" t="n">
        <v>5882.6</v>
      </c>
      <c r="Y36" t="n">
        <v>5784.9</v>
      </c>
      <c r="Z36" t="n">
        <v>8057.5</v>
      </c>
      <c r="AA36" t="n">
        <v>7685.8</v>
      </c>
      <c r="AB36" t="n">
        <v>7213.8</v>
      </c>
      <c r="AC36" t="n">
        <v>7001.1</v>
      </c>
      <c r="AD36" t="n">
        <v>6615.2</v>
      </c>
      <c r="AE36" t="n">
        <v>6230.2</v>
      </c>
      <c r="AF36" t="n">
        <v>0</v>
      </c>
    </row>
    <row r="37">
      <c r="A37" t="s">
        <v>113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113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113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113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113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113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113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113</v>
      </c>
      <c r="B44" t="s">
        <v>358</v>
      </c>
      <c r="C44" t="s">
        <v>246</v>
      </c>
      <c r="D44" t="s">
        <v>359</v>
      </c>
      <c r="E44" t="s">
        <v>247</v>
      </c>
      <c r="F44" t="n">
        <v>6951.2</v>
      </c>
      <c r="G44" t="n">
        <v>7245.3</v>
      </c>
      <c r="H44" t="n">
        <v>7598.9</v>
      </c>
      <c r="I44" t="n">
        <v>7933.8</v>
      </c>
      <c r="J44" t="n">
        <v>8298.1</v>
      </c>
      <c r="K44" t="n">
        <v>8642</v>
      </c>
      <c r="L44" t="n">
        <v>8983.5</v>
      </c>
      <c r="M44" t="n">
        <v>9295.4</v>
      </c>
      <c r="N44" t="n">
        <v>9587.6</v>
      </c>
      <c r="O44" t="n">
        <v>9994.3</v>
      </c>
      <c r="P44" t="n">
        <v>10335.2</v>
      </c>
      <c r="Q44" t="n">
        <v>10629.7</v>
      </c>
      <c r="R44" t="n">
        <v>11057.9</v>
      </c>
      <c r="S44" t="n">
        <v>11592.7</v>
      </c>
      <c r="T44" t="n">
        <v>11440.8</v>
      </c>
      <c r="U44" t="n">
        <v>11183</v>
      </c>
      <c r="V44" t="n">
        <v>11623.1</v>
      </c>
      <c r="W44" t="n">
        <v>11437.2</v>
      </c>
      <c r="X44" t="n">
        <v>11337.5</v>
      </c>
      <c r="Y44" t="n">
        <v>11311.5</v>
      </c>
      <c r="Z44" t="n">
        <v>14986.6</v>
      </c>
      <c r="AA44" t="n">
        <v>14428.6</v>
      </c>
      <c r="AB44" t="n">
        <v>13896</v>
      </c>
      <c r="AC44" t="n">
        <v>13531.9</v>
      </c>
      <c r="AD44" t="n">
        <v>12951</v>
      </c>
      <c r="AE44" t="n">
        <v>12441.7</v>
      </c>
      <c r="AF44" t="n">
        <v>12118.8</v>
      </c>
    </row>
    <row r="45">
      <c r="A45" t="s">
        <v>113</v>
      </c>
      <c r="B45" t="s">
        <v>360</v>
      </c>
      <c r="C45" t="s">
        <v>246</v>
      </c>
      <c r="D45" t="s">
        <v>361</v>
      </c>
      <c r="E45" t="s">
        <v>247</v>
      </c>
      <c r="F45" t="n">
        <v>6951.2</v>
      </c>
      <c r="G45" t="n">
        <v>7245.4</v>
      </c>
      <c r="H45" t="n">
        <v>7598.8</v>
      </c>
      <c r="I45" t="n">
        <v>7933.9</v>
      </c>
      <c r="J45" t="n">
        <v>8298.1</v>
      </c>
      <c r="K45" t="n">
        <v>8642</v>
      </c>
      <c r="L45" t="n">
        <v>8983.5</v>
      </c>
      <c r="M45" t="n">
        <v>9295.4</v>
      </c>
      <c r="N45" t="n">
        <v>9587.6</v>
      </c>
      <c r="O45" t="n">
        <v>9994.3</v>
      </c>
      <c r="P45" t="n">
        <v>10335.2</v>
      </c>
      <c r="Q45" t="n">
        <v>10629.7</v>
      </c>
      <c r="R45" t="n">
        <v>11057.9</v>
      </c>
      <c r="S45" t="n">
        <v>11592.7</v>
      </c>
      <c r="T45" t="n">
        <v>11440.8</v>
      </c>
      <c r="U45" t="n">
        <v>11183</v>
      </c>
      <c r="V45" t="n">
        <v>11623.1</v>
      </c>
      <c r="W45" t="n">
        <v>11437.2</v>
      </c>
      <c r="X45" t="n">
        <v>11337.5</v>
      </c>
      <c r="Y45" t="n">
        <v>11311.4</v>
      </c>
      <c r="Z45" t="n">
        <v>14986.6</v>
      </c>
      <c r="AA45" t="n">
        <v>14428.6</v>
      </c>
      <c r="AB45" t="n">
        <v>13896</v>
      </c>
      <c r="AC45" t="n">
        <v>13532</v>
      </c>
      <c r="AD45" t="n">
        <v>12951.1</v>
      </c>
      <c r="AE45" t="n">
        <v>12441.7</v>
      </c>
      <c r="AF45" t="n">
        <v>12118.8</v>
      </c>
    </row>
    <row r="46">
      <c r="A46" t="s">
        <v>113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113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113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113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113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113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113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113</v>
      </c>
      <c r="B53" t="s">
        <v>376</v>
      </c>
      <c r="C53" t="s">
        <v>246</v>
      </c>
      <c r="D53" t="s">
        <v>377</v>
      </c>
      <c r="E53" t="s">
        <v>247</v>
      </c>
      <c r="F53" t="n">
        <v>1697.7</v>
      </c>
      <c r="G53" t="n">
        <v>1744.6</v>
      </c>
      <c r="H53" t="n">
        <v>1815.4</v>
      </c>
      <c r="I53" t="n">
        <v>1914.3</v>
      </c>
      <c r="J53" t="n">
        <v>2018.4</v>
      </c>
      <c r="K53" t="n">
        <v>2052.3</v>
      </c>
      <c r="L53" t="n">
        <v>2189.2</v>
      </c>
      <c r="M53" t="n">
        <v>2325.3</v>
      </c>
      <c r="N53" t="n">
        <v>2437.4</v>
      </c>
      <c r="O53" t="n">
        <v>2591.3</v>
      </c>
      <c r="P53" t="n">
        <v>2696.8</v>
      </c>
      <c r="Q53" t="n">
        <v>2854.8</v>
      </c>
      <c r="R53" t="n">
        <v>3010.7</v>
      </c>
      <c r="S53" t="n">
        <v>3199.6</v>
      </c>
      <c r="T53" t="n">
        <v>3255.8</v>
      </c>
      <c r="U53" t="n">
        <v>3029.9</v>
      </c>
      <c r="V53" t="n">
        <v>3157.9</v>
      </c>
      <c r="W53" t="n">
        <v>3072.7</v>
      </c>
      <c r="X53" t="n">
        <v>3070.5</v>
      </c>
      <c r="Y53" t="n">
        <v>3084.1</v>
      </c>
      <c r="Z53" t="n">
        <v>4347</v>
      </c>
      <c r="AA53" t="n">
        <v>4116.1</v>
      </c>
      <c r="AB53" t="n">
        <v>4029.6</v>
      </c>
      <c r="AC53" t="n">
        <v>3864</v>
      </c>
      <c r="AD53" t="n">
        <v>3648.6</v>
      </c>
      <c r="AE53" t="n">
        <v>3565.8</v>
      </c>
      <c r="AF53" t="n">
        <v>3432.8</v>
      </c>
    </row>
    <row r="54">
      <c r="A54" t="s">
        <v>113</v>
      </c>
      <c r="B54" t="s">
        <v>378</v>
      </c>
      <c r="C54" t="s">
        <v>246</v>
      </c>
      <c r="D54" t="s">
        <v>379</v>
      </c>
      <c r="E54" t="s">
        <v>247</v>
      </c>
      <c r="F54" t="n">
        <v>1697.7</v>
      </c>
      <c r="G54" t="n">
        <v>1744.5</v>
      </c>
      <c r="H54" t="n">
        <v>1815.4</v>
      </c>
      <c r="I54" t="n">
        <v>1914.3</v>
      </c>
      <c r="J54" t="n">
        <v>2018.4</v>
      </c>
      <c r="K54" t="n">
        <v>2052.3</v>
      </c>
      <c r="L54" t="n">
        <v>2189.2</v>
      </c>
      <c r="M54" t="n">
        <v>2325.4</v>
      </c>
      <c r="N54" t="n">
        <v>2437.3</v>
      </c>
      <c r="O54" t="n">
        <v>2591.3</v>
      </c>
      <c r="P54" t="n">
        <v>2696.8</v>
      </c>
      <c r="Q54" t="n">
        <v>2854.8</v>
      </c>
      <c r="R54" t="n">
        <v>3010.7</v>
      </c>
      <c r="S54" t="n">
        <v>3199.7</v>
      </c>
      <c r="T54" t="n">
        <v>3255.8</v>
      </c>
      <c r="U54" t="n">
        <v>3029.9</v>
      </c>
      <c r="V54" t="n">
        <v>3157.8</v>
      </c>
      <c r="W54" t="n">
        <v>3072.7</v>
      </c>
      <c r="X54" t="n">
        <v>3070.5</v>
      </c>
      <c r="Y54" t="n">
        <v>3084</v>
      </c>
      <c r="Z54" t="n">
        <v>4346.9</v>
      </c>
      <c r="AA54" t="n">
        <v>4116.1</v>
      </c>
      <c r="AB54" t="n">
        <v>4029.6</v>
      </c>
      <c r="AC54" t="n">
        <v>3864</v>
      </c>
      <c r="AD54" t="n">
        <v>3648.6</v>
      </c>
      <c r="AE54" t="n">
        <v>3565.9</v>
      </c>
      <c r="AF54" t="n">
        <v>3432.8</v>
      </c>
    </row>
    <row r="55">
      <c r="A55" t="s">
        <v>113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113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113</v>
      </c>
      <c r="B57" t="s">
        <v>384</v>
      </c>
      <c r="C57" t="s">
        <v>246</v>
      </c>
      <c r="D57" t="s">
        <v>385</v>
      </c>
      <c r="E57" t="s">
        <v>247</v>
      </c>
      <c r="F57" t="n">
        <v>6951.2</v>
      </c>
      <c r="G57" t="n">
        <v>7245.4</v>
      </c>
      <c r="H57" t="n">
        <v>7598.8</v>
      </c>
      <c r="I57" t="n">
        <v>7933.7</v>
      </c>
      <c r="J57" t="n">
        <v>8298.2</v>
      </c>
      <c r="K57" t="n">
        <v>8642.1</v>
      </c>
      <c r="L57" t="n">
        <v>8983.4</v>
      </c>
      <c r="M57" t="n">
        <v>9295.4</v>
      </c>
      <c r="N57" t="n">
        <v>9587.6</v>
      </c>
      <c r="O57" t="n">
        <v>9994.4</v>
      </c>
      <c r="P57" t="n">
        <v>10335.2</v>
      </c>
      <c r="Q57" t="n">
        <v>10629.7</v>
      </c>
      <c r="R57" t="n">
        <v>11057.9</v>
      </c>
      <c r="S57" t="n">
        <v>11592.4</v>
      </c>
      <c r="T57" t="n">
        <v>11440.9</v>
      </c>
      <c r="U57" t="n">
        <v>11182.9</v>
      </c>
      <c r="V57" t="n">
        <v>11623.2</v>
      </c>
      <c r="W57" t="n">
        <v>11437.1</v>
      </c>
      <c r="X57" t="n">
        <v>11337.6</v>
      </c>
      <c r="Y57" t="n">
        <v>11311.5</v>
      </c>
      <c r="Z57" t="n">
        <v>14986.8</v>
      </c>
      <c r="AA57" t="n">
        <v>14428.6</v>
      </c>
      <c r="AB57" t="n">
        <v>13896</v>
      </c>
      <c r="AC57" t="n">
        <v>13531.9</v>
      </c>
      <c r="AD57" t="n">
        <v>12951</v>
      </c>
      <c r="AE57" t="n">
        <v>12441.8</v>
      </c>
      <c r="AF57" t="n">
        <v>12118.8</v>
      </c>
    </row>
    <row r="58">
      <c r="A58" t="s">
        <v>113</v>
      </c>
      <c r="B58" t="s">
        <v>386</v>
      </c>
      <c r="C58" t="s">
        <v>246</v>
      </c>
      <c r="D58" t="s">
        <v>387</v>
      </c>
      <c r="E58" t="s">
        <v>247</v>
      </c>
      <c r="F58" t="n">
        <v>6951.2</v>
      </c>
      <c r="G58" t="n">
        <v>7245.4</v>
      </c>
      <c r="H58" t="n">
        <v>7598.8</v>
      </c>
      <c r="I58" t="n">
        <v>7933.7</v>
      </c>
      <c r="J58" t="n">
        <v>8298.2</v>
      </c>
      <c r="K58" t="n">
        <v>8642.1</v>
      </c>
      <c r="L58" t="n">
        <v>8983.4</v>
      </c>
      <c r="M58" t="n">
        <v>9295.4</v>
      </c>
      <c r="N58" t="n">
        <v>9587.6</v>
      </c>
      <c r="O58" t="n">
        <v>9994.4</v>
      </c>
      <c r="P58" t="n">
        <v>10335.2</v>
      </c>
      <c r="Q58" t="n">
        <v>10629.7</v>
      </c>
      <c r="R58" t="n">
        <v>11057.9</v>
      </c>
      <c r="S58" t="n">
        <v>11592.4</v>
      </c>
      <c r="T58" t="n">
        <v>11440.9</v>
      </c>
      <c r="U58" t="n">
        <v>11182.9</v>
      </c>
      <c r="V58" t="n">
        <v>11623.2</v>
      </c>
      <c r="W58" t="n">
        <v>11437.1</v>
      </c>
      <c r="X58" t="n">
        <v>11337.6</v>
      </c>
      <c r="Y58" t="n">
        <v>11311.5</v>
      </c>
      <c r="Z58" t="n">
        <v>14986.8</v>
      </c>
      <c r="AA58" t="n">
        <v>14428.6</v>
      </c>
      <c r="AB58" t="n">
        <v>13896</v>
      </c>
      <c r="AC58" t="n">
        <v>13531.9</v>
      </c>
      <c r="AD58" t="n">
        <v>12951</v>
      </c>
      <c r="AE58" t="n">
        <v>12441.8</v>
      </c>
      <c r="AF58" t="n">
        <v>12118.8</v>
      </c>
    </row>
    <row r="59">
      <c r="A59" t="s">
        <v>113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115</v>
      </c>
      <c r="B2" t="s">
        <v>197</v>
      </c>
      <c r="C2" t="s">
        <v>246</v>
      </c>
      <c r="D2" t="s">
        <v>199</v>
      </c>
      <c r="E2" t="s">
        <v>247</v>
      </c>
      <c r="F2" t="n">
        <v>132151.6</v>
      </c>
      <c r="G2" t="n">
        <v>133709.2</v>
      </c>
      <c r="H2" t="n">
        <v>135806.5</v>
      </c>
      <c r="I2" t="n">
        <v>137442.9</v>
      </c>
      <c r="J2" t="n">
        <v>137323.7</v>
      </c>
      <c r="K2" t="n">
        <v>141658.4</v>
      </c>
      <c r="L2" t="n">
        <v>144448.4</v>
      </c>
      <c r="M2" t="n">
        <v>147773.2</v>
      </c>
      <c r="N2" t="n">
        <v>150083</v>
      </c>
      <c r="O2" t="n">
        <v>154772.3</v>
      </c>
      <c r="P2" t="n">
        <v>159396.8</v>
      </c>
      <c r="Q2" t="n">
        <v>163975.3</v>
      </c>
      <c r="R2" t="n">
        <v>168300.3</v>
      </c>
      <c r="S2" t="n">
        <v>171321.6</v>
      </c>
      <c r="T2" t="n">
        <v>170745.5</v>
      </c>
      <c r="U2" t="n">
        <v>172161.4</v>
      </c>
      <c r="V2" t="n">
        <v>175273</v>
      </c>
      <c r="W2" t="n">
        <v>173515.6</v>
      </c>
      <c r="X2" t="n">
        <v>167740.7</v>
      </c>
      <c r="Y2" t="n">
        <v>162963.7</v>
      </c>
      <c r="Z2" t="n">
        <v>158515.7</v>
      </c>
      <c r="AA2" t="n">
        <v>154937.2</v>
      </c>
      <c r="AB2" t="n">
        <v>153948.9</v>
      </c>
      <c r="AC2" t="n">
        <v>154819.5</v>
      </c>
      <c r="AD2" t="n">
        <v>154684</v>
      </c>
      <c r="AE2" t="n">
        <v>152562.3</v>
      </c>
      <c r="AF2" t="n">
        <v>158449.3</v>
      </c>
    </row>
    <row r="3">
      <c r="A3" t="s">
        <v>115</v>
      </c>
      <c r="B3" t="s">
        <v>276</v>
      </c>
      <c r="C3" t="s">
        <v>246</v>
      </c>
      <c r="D3" t="s">
        <v>277</v>
      </c>
      <c r="E3" t="s">
        <v>247</v>
      </c>
      <c r="F3" t="n">
        <v>17079.1</v>
      </c>
      <c r="G3" t="n">
        <v>18021.3</v>
      </c>
      <c r="H3" t="n">
        <v>19198.8</v>
      </c>
      <c r="I3" t="n">
        <v>19939.7</v>
      </c>
      <c r="J3" t="n">
        <v>20358</v>
      </c>
      <c r="K3" t="n">
        <v>21682.2</v>
      </c>
      <c r="L3" t="n">
        <v>22839</v>
      </c>
      <c r="M3" t="n">
        <v>23825.2</v>
      </c>
      <c r="N3" t="n">
        <v>24684.4</v>
      </c>
      <c r="O3" t="n">
        <v>26195.4</v>
      </c>
      <c r="P3" t="n">
        <v>27950</v>
      </c>
      <c r="Q3" t="n">
        <v>29290.5</v>
      </c>
      <c r="R3" t="n">
        <v>30783.1</v>
      </c>
      <c r="S3" t="n">
        <v>32049.6</v>
      </c>
      <c r="T3" t="n">
        <v>32260.2</v>
      </c>
      <c r="U3" t="n">
        <v>33377.1</v>
      </c>
      <c r="V3" t="n">
        <v>34837.7</v>
      </c>
      <c r="W3" t="n">
        <v>35066.9</v>
      </c>
      <c r="X3" t="n">
        <v>34830.8</v>
      </c>
      <c r="Y3" t="n">
        <v>35597.3</v>
      </c>
      <c r="Z3" t="n">
        <v>36047.6</v>
      </c>
      <c r="AA3" t="n">
        <v>35512.7</v>
      </c>
      <c r="AB3" t="n">
        <v>34805.5</v>
      </c>
      <c r="AC3" t="n">
        <v>36057.2</v>
      </c>
      <c r="AD3" t="n">
        <v>36486.9</v>
      </c>
      <c r="AE3" t="n">
        <v>35843.9</v>
      </c>
      <c r="AF3" t="n">
        <v>36986</v>
      </c>
    </row>
    <row r="4">
      <c r="A4" t="s">
        <v>115</v>
      </c>
      <c r="B4" t="s">
        <v>278</v>
      </c>
      <c r="C4" t="s">
        <v>246</v>
      </c>
      <c r="D4" t="s">
        <v>279</v>
      </c>
      <c r="E4" t="s">
        <v>247</v>
      </c>
      <c r="F4" t="n">
        <v>283306.9</v>
      </c>
      <c r="G4" t="n">
        <v>289212.1</v>
      </c>
      <c r="H4" t="n">
        <v>294644.6</v>
      </c>
      <c r="I4" t="n">
        <v>302287.8</v>
      </c>
      <c r="J4" t="n">
        <v>308047.8</v>
      </c>
      <c r="K4" t="n">
        <v>324992.5</v>
      </c>
      <c r="L4" t="n">
        <v>339808.3</v>
      </c>
      <c r="M4" t="n">
        <v>355180.6</v>
      </c>
      <c r="N4" t="n">
        <v>365091</v>
      </c>
      <c r="O4" t="n">
        <v>379849.8</v>
      </c>
      <c r="P4" t="n">
        <v>391042.3</v>
      </c>
      <c r="Q4" t="n">
        <v>409885.5</v>
      </c>
      <c r="R4" t="n">
        <v>428126.8</v>
      </c>
      <c r="S4" t="n">
        <v>446986</v>
      </c>
      <c r="T4" t="n">
        <v>444467.4</v>
      </c>
      <c r="U4" t="n">
        <v>453724.3</v>
      </c>
      <c r="V4" t="n">
        <v>466793.3</v>
      </c>
      <c r="W4" t="n">
        <v>471211.4</v>
      </c>
      <c r="X4" t="n">
        <v>462418</v>
      </c>
      <c r="Y4" t="n">
        <v>461141.9</v>
      </c>
      <c r="Z4" t="n">
        <v>465716.6</v>
      </c>
      <c r="AA4" t="n">
        <v>467830</v>
      </c>
      <c r="AB4" t="n">
        <v>477908.1</v>
      </c>
      <c r="AC4" t="n">
        <v>489362.9</v>
      </c>
      <c r="AD4" t="n">
        <v>499711.1</v>
      </c>
      <c r="AE4" t="n">
        <v>494980.6</v>
      </c>
      <c r="AF4" t="n">
        <v>509635.1</v>
      </c>
    </row>
    <row r="5">
      <c r="A5" t="s">
        <v>115</v>
      </c>
      <c r="B5" t="s">
        <v>280</v>
      </c>
      <c r="C5" t="s">
        <v>246</v>
      </c>
      <c r="D5" t="s">
        <v>281</v>
      </c>
      <c r="E5" t="s">
        <v>247</v>
      </c>
      <c r="F5" t="n">
        <v>29697</v>
      </c>
      <c r="G5" t="n">
        <v>31139.4</v>
      </c>
      <c r="H5" t="n">
        <v>32334.2</v>
      </c>
      <c r="I5" t="n">
        <v>33182.6</v>
      </c>
      <c r="J5" t="n">
        <v>34864.8</v>
      </c>
      <c r="K5" t="n">
        <v>37274.7</v>
      </c>
      <c r="L5" t="n">
        <v>39366</v>
      </c>
      <c r="M5" t="n">
        <v>41467.4</v>
      </c>
      <c r="N5" t="n">
        <v>42444.8</v>
      </c>
      <c r="O5" t="n">
        <v>44767.7</v>
      </c>
      <c r="P5" t="n">
        <v>45941.1</v>
      </c>
      <c r="Q5" t="n">
        <v>48815.1</v>
      </c>
      <c r="R5" t="n">
        <v>51036.1</v>
      </c>
      <c r="S5" t="n">
        <v>53330</v>
      </c>
      <c r="T5" t="n">
        <v>52471</v>
      </c>
      <c r="U5" t="n">
        <v>53673.7</v>
      </c>
      <c r="V5" t="n">
        <v>55247.5</v>
      </c>
      <c r="W5" t="n">
        <v>56590.3</v>
      </c>
      <c r="X5" t="n">
        <v>55725.3</v>
      </c>
      <c r="Y5" t="n">
        <v>55801</v>
      </c>
      <c r="Z5" t="n">
        <v>56005.6</v>
      </c>
      <c r="AA5" t="n">
        <v>56261.4</v>
      </c>
      <c r="AB5" t="n">
        <v>57343.5</v>
      </c>
      <c r="AC5" t="n">
        <v>59540.7</v>
      </c>
      <c r="AD5" t="n">
        <v>61294.2</v>
      </c>
      <c r="AE5" t="n">
        <v>60433.7</v>
      </c>
      <c r="AF5"/>
    </row>
    <row r="6">
      <c r="A6" t="s">
        <v>115</v>
      </c>
      <c r="B6" t="s">
        <v>282</v>
      </c>
      <c r="C6" t="s">
        <v>246</v>
      </c>
      <c r="D6" t="s">
        <v>283</v>
      </c>
      <c r="E6" t="s">
        <v>247</v>
      </c>
      <c r="F6" t="n">
        <v>18219</v>
      </c>
      <c r="G6" t="n">
        <v>18553.3</v>
      </c>
      <c r="H6" t="n">
        <v>18647.2</v>
      </c>
      <c r="I6" t="n">
        <v>19345.8</v>
      </c>
      <c r="J6" t="n">
        <v>19368.4</v>
      </c>
      <c r="K6" t="n">
        <v>20095.5</v>
      </c>
      <c r="L6" t="n">
        <v>20732.5</v>
      </c>
      <c r="M6" t="n">
        <v>21544.8</v>
      </c>
      <c r="N6" t="n">
        <v>22150</v>
      </c>
      <c r="O6" t="n">
        <v>22843.7</v>
      </c>
      <c r="P6" t="n">
        <v>23390.8</v>
      </c>
      <c r="Q6" t="n">
        <v>24054.7</v>
      </c>
      <c r="R6" t="n">
        <v>24717</v>
      </c>
      <c r="S6" t="n">
        <v>25554.7</v>
      </c>
      <c r="T6" t="n">
        <v>25318.3</v>
      </c>
      <c r="U6" t="n">
        <v>25686.5</v>
      </c>
      <c r="V6" t="n">
        <v>26633.3</v>
      </c>
      <c r="W6" t="n">
        <v>26976</v>
      </c>
      <c r="X6" t="n">
        <v>26576.3</v>
      </c>
      <c r="Y6" t="n">
        <v>26913.1</v>
      </c>
      <c r="Z6" t="n">
        <v>27458</v>
      </c>
      <c r="AA6" t="n">
        <v>27315.7</v>
      </c>
      <c r="AB6" t="n">
        <v>27522.5</v>
      </c>
      <c r="AC6" t="n">
        <v>27478.1</v>
      </c>
      <c r="AD6" t="n">
        <v>27641.5</v>
      </c>
      <c r="AE6" t="n">
        <v>26585.6</v>
      </c>
      <c r="AF6"/>
    </row>
    <row r="7">
      <c r="A7" t="s">
        <v>115</v>
      </c>
      <c r="B7" t="s">
        <v>284</v>
      </c>
      <c r="C7" t="s">
        <v>246</v>
      </c>
      <c r="D7" t="s">
        <v>285</v>
      </c>
      <c r="E7" t="s">
        <v>247</v>
      </c>
      <c r="F7" t="n">
        <v>27266.6</v>
      </c>
      <c r="G7" t="n">
        <v>26770.4</v>
      </c>
      <c r="H7" t="n">
        <v>25886.4</v>
      </c>
      <c r="I7" t="n">
        <v>25560.3</v>
      </c>
      <c r="J7" t="n">
        <v>25018</v>
      </c>
      <c r="K7" t="n">
        <v>25473.5</v>
      </c>
      <c r="L7" t="n">
        <v>25760.2</v>
      </c>
      <c r="M7" t="n">
        <v>25884.5</v>
      </c>
      <c r="N7" t="n">
        <v>25704.3</v>
      </c>
      <c r="O7" t="n">
        <v>25826.1</v>
      </c>
      <c r="P7" t="n">
        <v>25954.8</v>
      </c>
      <c r="Q7" t="n">
        <v>26551.2</v>
      </c>
      <c r="R7" t="n">
        <v>27145.2</v>
      </c>
      <c r="S7" t="n">
        <v>27722.2</v>
      </c>
      <c r="T7" t="n">
        <v>26838.6</v>
      </c>
      <c r="U7" t="n">
        <v>27046</v>
      </c>
      <c r="V7" t="n">
        <v>27503.1</v>
      </c>
      <c r="W7" t="n">
        <v>27419.6</v>
      </c>
      <c r="X7" t="n">
        <v>26581.4</v>
      </c>
      <c r="Y7" t="n">
        <v>25967.3</v>
      </c>
      <c r="Z7" t="n">
        <v>26031.9</v>
      </c>
      <c r="AA7" t="n">
        <v>26067.4</v>
      </c>
      <c r="AB7" t="n">
        <v>26772.2</v>
      </c>
      <c r="AC7" t="n">
        <v>27864.4</v>
      </c>
      <c r="AD7" t="n">
        <v>28303.8</v>
      </c>
      <c r="AE7" t="n">
        <v>27832.5</v>
      </c>
      <c r="AF7"/>
    </row>
    <row r="8">
      <c r="A8" t="s">
        <v>115</v>
      </c>
      <c r="B8" t="s">
        <v>286</v>
      </c>
      <c r="C8" t="s">
        <v>246</v>
      </c>
      <c r="D8" t="s">
        <v>287</v>
      </c>
      <c r="E8" t="s">
        <v>247</v>
      </c>
      <c r="F8" t="n">
        <v>8986.3</v>
      </c>
      <c r="G8" t="n">
        <v>9794.3</v>
      </c>
      <c r="H8" t="n">
        <v>10531.1</v>
      </c>
      <c r="I8" t="n">
        <v>11892.7</v>
      </c>
      <c r="J8" t="n">
        <v>12720.8</v>
      </c>
      <c r="K8" t="n">
        <v>14471.4</v>
      </c>
      <c r="L8" t="n">
        <v>16471.2</v>
      </c>
      <c r="M8" t="n">
        <v>17873.3</v>
      </c>
      <c r="N8" t="n">
        <v>19177</v>
      </c>
      <c r="O8" t="n">
        <v>20921.4</v>
      </c>
      <c r="P8" t="n">
        <v>22644.3</v>
      </c>
      <c r="Q8" t="n">
        <v>24383.7</v>
      </c>
      <c r="R8" t="n">
        <v>26410.5</v>
      </c>
      <c r="S8" t="n">
        <v>28069.9</v>
      </c>
      <c r="T8" t="n">
        <v>28731.7</v>
      </c>
      <c r="U8" t="n">
        <v>30142.8</v>
      </c>
      <c r="V8" t="n">
        <v>31915</v>
      </c>
      <c r="W8" t="n">
        <v>32580.4</v>
      </c>
      <c r="X8" t="n">
        <v>31938.8</v>
      </c>
      <c r="Y8" t="n">
        <v>31334.9</v>
      </c>
      <c r="Z8" t="n">
        <v>30404.6</v>
      </c>
      <c r="AA8" t="n">
        <v>29745.9</v>
      </c>
      <c r="AB8" t="n">
        <v>29953.1</v>
      </c>
      <c r="AC8" t="n">
        <v>30074.9</v>
      </c>
      <c r="AD8" t="n">
        <v>30244.8</v>
      </c>
      <c r="AE8" t="n">
        <v>29467.2</v>
      </c>
      <c r="AF8"/>
    </row>
    <row r="9">
      <c r="A9" t="s">
        <v>115</v>
      </c>
      <c r="B9" t="s">
        <v>288</v>
      </c>
      <c r="C9" t="s">
        <v>246</v>
      </c>
      <c r="D9" t="s">
        <v>289</v>
      </c>
      <c r="E9" t="s">
        <v>247</v>
      </c>
      <c r="F9" t="n">
        <v>14730.8</v>
      </c>
      <c r="G9" t="n">
        <v>15300.5</v>
      </c>
      <c r="H9" t="n">
        <v>16430.8</v>
      </c>
      <c r="I9" t="n">
        <v>17662.1</v>
      </c>
      <c r="J9" t="n">
        <v>18759.6</v>
      </c>
      <c r="K9" t="n">
        <v>20397.5</v>
      </c>
      <c r="L9" t="n">
        <v>21936.2</v>
      </c>
      <c r="M9" t="n">
        <v>23325.4</v>
      </c>
      <c r="N9" t="n">
        <v>24858.9</v>
      </c>
      <c r="O9" t="n">
        <v>26163.1</v>
      </c>
      <c r="P9" t="n">
        <v>27071.7</v>
      </c>
      <c r="Q9" t="n">
        <v>28874</v>
      </c>
      <c r="R9" t="n">
        <v>30522.8</v>
      </c>
      <c r="S9" t="n">
        <v>31740.6</v>
      </c>
      <c r="T9" t="n">
        <v>31681.7</v>
      </c>
      <c r="U9" t="n">
        <v>32409.2</v>
      </c>
      <c r="V9" t="n">
        <v>33137.3</v>
      </c>
      <c r="W9" t="n">
        <v>33044</v>
      </c>
      <c r="X9" t="n">
        <v>32235.1</v>
      </c>
      <c r="Y9" t="n">
        <v>32187</v>
      </c>
      <c r="Z9" t="n">
        <v>32161.5</v>
      </c>
      <c r="AA9" t="n">
        <v>31765.2</v>
      </c>
      <c r="AB9" t="n">
        <v>31417.1</v>
      </c>
      <c r="AC9" t="n">
        <v>31225.1</v>
      </c>
      <c r="AD9" t="n">
        <v>31025.7</v>
      </c>
      <c r="AE9" t="n">
        <v>30404.1</v>
      </c>
      <c r="AF9"/>
    </row>
    <row r="10">
      <c r="A10" t="s">
        <v>115</v>
      </c>
      <c r="B10" t="s">
        <v>290</v>
      </c>
      <c r="C10" t="s">
        <v>246</v>
      </c>
      <c r="D10" t="s">
        <v>291</v>
      </c>
      <c r="E10" t="s">
        <v>247</v>
      </c>
      <c r="F10" t="n">
        <v>21702.4</v>
      </c>
      <c r="G10" t="n">
        <v>22438.2</v>
      </c>
      <c r="H10" t="n">
        <v>23881.3</v>
      </c>
      <c r="I10" t="n">
        <v>25795.7</v>
      </c>
      <c r="J10" t="n">
        <v>27332</v>
      </c>
      <c r="K10" t="n">
        <v>29518.2</v>
      </c>
      <c r="L10" t="n">
        <v>31405.2</v>
      </c>
      <c r="M10" t="n">
        <v>33375.1</v>
      </c>
      <c r="N10" t="n">
        <v>35370.3</v>
      </c>
      <c r="O10" t="n">
        <v>37088.5</v>
      </c>
      <c r="P10" t="n">
        <v>38333.5</v>
      </c>
      <c r="Q10" t="n">
        <v>40706.3</v>
      </c>
      <c r="R10" t="n">
        <v>42839.5</v>
      </c>
      <c r="S10" t="n">
        <v>44379</v>
      </c>
      <c r="T10" t="n">
        <v>44801.1</v>
      </c>
      <c r="U10" t="n">
        <v>45926.1</v>
      </c>
      <c r="V10" t="n">
        <v>46921.6</v>
      </c>
      <c r="W10" t="n">
        <v>47100.9</v>
      </c>
      <c r="X10" t="n">
        <v>45985.8</v>
      </c>
      <c r="Y10" t="n">
        <v>46208.3</v>
      </c>
      <c r="Z10" t="n">
        <v>46675.1</v>
      </c>
      <c r="AA10" t="n">
        <v>47211.4</v>
      </c>
      <c r="AB10" t="n">
        <v>47802.1</v>
      </c>
      <c r="AC10" t="n">
        <v>48072.2</v>
      </c>
      <c r="AD10" t="n">
        <v>48228.1</v>
      </c>
      <c r="AE10" t="n">
        <v>48159.5</v>
      </c>
      <c r="AF10"/>
    </row>
    <row r="11">
      <c r="A11" t="s">
        <v>115</v>
      </c>
      <c r="B11" t="s">
        <v>292</v>
      </c>
      <c r="C11" t="s">
        <v>246</v>
      </c>
      <c r="D11" t="s">
        <v>293</v>
      </c>
      <c r="E11" t="s">
        <v>247</v>
      </c>
      <c r="F11" t="n">
        <v>6971.6</v>
      </c>
      <c r="G11" t="n">
        <v>7137.7</v>
      </c>
      <c r="H11" t="n">
        <v>7450.5</v>
      </c>
      <c r="I11" t="n">
        <v>8133.6</v>
      </c>
      <c r="J11" t="n">
        <v>8572.4</v>
      </c>
      <c r="K11" t="n">
        <v>9120.7</v>
      </c>
      <c r="L11" t="n">
        <v>9469</v>
      </c>
      <c r="M11" t="n">
        <v>10049.7</v>
      </c>
      <c r="N11" t="n">
        <v>10511.4</v>
      </c>
      <c r="O11" t="n">
        <v>10925.4</v>
      </c>
      <c r="P11" t="n">
        <v>11261.8</v>
      </c>
      <c r="Q11" t="n">
        <v>11832.3</v>
      </c>
      <c r="R11" t="n">
        <v>12316.7</v>
      </c>
      <c r="S11" t="n">
        <v>12638.4</v>
      </c>
      <c r="T11" t="n">
        <v>13119.4</v>
      </c>
      <c r="U11" t="n">
        <v>13516.9</v>
      </c>
      <c r="V11" t="n">
        <v>13784.3</v>
      </c>
      <c r="W11" t="n">
        <v>14056.9</v>
      </c>
      <c r="X11" t="n">
        <v>13750.7</v>
      </c>
      <c r="Y11" t="n">
        <v>14021.3</v>
      </c>
      <c r="Z11" t="n">
        <v>14513.6</v>
      </c>
      <c r="AA11" t="n">
        <v>15446.2</v>
      </c>
      <c r="AB11" t="n">
        <v>16385</v>
      </c>
      <c r="AC11" t="n">
        <v>16847.1</v>
      </c>
      <c r="AD11" t="n">
        <v>17202.4</v>
      </c>
      <c r="AE11" t="n">
        <v>17755.4</v>
      </c>
      <c r="AF11"/>
    </row>
    <row r="12">
      <c r="A12" t="s">
        <v>115</v>
      </c>
      <c r="B12" t="s">
        <v>294</v>
      </c>
      <c r="C12" t="s">
        <v>246</v>
      </c>
      <c r="D12" t="s">
        <v>295</v>
      </c>
      <c r="E12" t="s">
        <v>247</v>
      </c>
      <c r="F12" t="n">
        <v>42479.2</v>
      </c>
      <c r="G12" t="n">
        <v>41297.4</v>
      </c>
      <c r="H12" t="n">
        <v>40035.3</v>
      </c>
      <c r="I12" t="n">
        <v>38717.5</v>
      </c>
      <c r="J12" t="n">
        <v>37737.9</v>
      </c>
      <c r="K12" t="n">
        <v>38244.9</v>
      </c>
      <c r="L12" t="n">
        <v>38376.2</v>
      </c>
      <c r="M12" t="n">
        <v>38581.5</v>
      </c>
      <c r="N12" t="n">
        <v>39022</v>
      </c>
      <c r="O12" t="n">
        <v>40072.2</v>
      </c>
      <c r="P12" t="n">
        <v>40445.5</v>
      </c>
      <c r="Q12" t="n">
        <v>42264.8</v>
      </c>
      <c r="R12" t="n">
        <v>43782.1</v>
      </c>
      <c r="S12" t="n">
        <v>46018.8</v>
      </c>
      <c r="T12" t="n">
        <v>44889.2</v>
      </c>
      <c r="U12" t="n">
        <v>45642.7</v>
      </c>
      <c r="V12" t="n">
        <v>46789.7</v>
      </c>
      <c r="W12" t="n">
        <v>47002.7</v>
      </c>
      <c r="X12" t="n">
        <v>45841.8</v>
      </c>
      <c r="Y12" t="n">
        <v>45237.8</v>
      </c>
      <c r="Z12" t="n">
        <v>45384.4</v>
      </c>
      <c r="AA12" t="n">
        <v>45480.3</v>
      </c>
      <c r="AB12" t="n">
        <v>46938.4</v>
      </c>
      <c r="AC12" t="n">
        <v>48503.2</v>
      </c>
      <c r="AD12" t="n">
        <v>49705.8</v>
      </c>
      <c r="AE12" t="n">
        <v>49265.3</v>
      </c>
      <c r="AF12"/>
    </row>
    <row r="13">
      <c r="A13" t="s">
        <v>115</v>
      </c>
      <c r="B13" t="s">
        <v>296</v>
      </c>
      <c r="C13" t="s">
        <v>246</v>
      </c>
      <c r="D13" t="s">
        <v>297</v>
      </c>
      <c r="E13" t="s">
        <v>247</v>
      </c>
      <c r="F13" t="n">
        <v>42696.7</v>
      </c>
      <c r="G13" t="n">
        <v>44234.9</v>
      </c>
      <c r="H13" t="n">
        <v>45157</v>
      </c>
      <c r="I13" t="n">
        <v>46742.3</v>
      </c>
      <c r="J13" t="n">
        <v>47345.2</v>
      </c>
      <c r="K13" t="n">
        <v>49790.3</v>
      </c>
      <c r="L13" t="n">
        <v>52124</v>
      </c>
      <c r="M13" t="n">
        <v>54930.7</v>
      </c>
      <c r="N13" t="n">
        <v>56540.6</v>
      </c>
      <c r="O13" t="n">
        <v>58849.6</v>
      </c>
      <c r="P13" t="n">
        <v>59923.5</v>
      </c>
      <c r="Q13" t="n">
        <v>61864.8</v>
      </c>
      <c r="R13" t="n">
        <v>64843.2</v>
      </c>
      <c r="S13" t="n">
        <v>67580.1</v>
      </c>
      <c r="T13" t="n">
        <v>66987.1</v>
      </c>
      <c r="U13" t="n">
        <v>67795.1</v>
      </c>
      <c r="V13" t="n">
        <v>69424.6</v>
      </c>
      <c r="W13" t="n">
        <v>69966.8</v>
      </c>
      <c r="X13" t="n">
        <v>67801.1</v>
      </c>
      <c r="Y13" t="n">
        <v>66854.8</v>
      </c>
      <c r="Z13" t="n">
        <v>67082.1</v>
      </c>
      <c r="AA13" t="n">
        <v>66161.6</v>
      </c>
      <c r="AB13" t="n">
        <v>66869.3</v>
      </c>
      <c r="AC13" t="n">
        <v>67995.6</v>
      </c>
      <c r="AD13" t="n">
        <v>70124</v>
      </c>
      <c r="AE13" t="n">
        <v>68790.7</v>
      </c>
      <c r="AF13"/>
    </row>
    <row r="14">
      <c r="A14" t="s">
        <v>115</v>
      </c>
      <c r="B14" t="s">
        <v>298</v>
      </c>
      <c r="C14" t="s">
        <v>246</v>
      </c>
      <c r="D14" t="s">
        <v>299</v>
      </c>
      <c r="E14" t="s">
        <v>247</v>
      </c>
      <c r="F14" t="n">
        <v>8720.7</v>
      </c>
      <c r="G14" t="n">
        <v>9256.6</v>
      </c>
      <c r="H14" t="n">
        <v>9550.1</v>
      </c>
      <c r="I14" t="n">
        <v>10523.7</v>
      </c>
      <c r="J14" t="n">
        <v>11128.5</v>
      </c>
      <c r="K14" t="n">
        <v>11873.3</v>
      </c>
      <c r="L14" t="n">
        <v>12924.5</v>
      </c>
      <c r="M14" t="n">
        <v>13408.4</v>
      </c>
      <c r="N14" t="n">
        <v>13796.8</v>
      </c>
      <c r="O14" t="n">
        <v>14373.5</v>
      </c>
      <c r="P14" t="n">
        <v>14925.4</v>
      </c>
      <c r="Q14" t="n">
        <v>15759.2</v>
      </c>
      <c r="R14" t="n">
        <v>16547.7</v>
      </c>
      <c r="S14" t="n">
        <v>17057.2</v>
      </c>
      <c r="T14" t="n">
        <v>17265.4</v>
      </c>
      <c r="U14" t="n">
        <v>17826.2</v>
      </c>
      <c r="V14" t="n">
        <v>18398.4</v>
      </c>
      <c r="W14" t="n">
        <v>18733.3</v>
      </c>
      <c r="X14" t="n">
        <v>18270.8</v>
      </c>
      <c r="Y14" t="n">
        <v>18444</v>
      </c>
      <c r="Z14" t="n">
        <v>18707.5</v>
      </c>
      <c r="AA14" t="n">
        <v>18484.8</v>
      </c>
      <c r="AB14" t="n">
        <v>19325.5</v>
      </c>
      <c r="AC14" t="n">
        <v>19754.9</v>
      </c>
      <c r="AD14" t="n">
        <v>20014.6</v>
      </c>
      <c r="AE14" t="n">
        <v>20586.8</v>
      </c>
      <c r="AF14"/>
    </row>
    <row r="15">
      <c r="A15" t="s">
        <v>115</v>
      </c>
      <c r="B15" t="s">
        <v>300</v>
      </c>
      <c r="C15" t="s">
        <v>246</v>
      </c>
      <c r="D15" t="s">
        <v>301</v>
      </c>
      <c r="E15" t="s">
        <v>247</v>
      </c>
      <c r="F15" t="n">
        <v>16846.1</v>
      </c>
      <c r="G15" t="n">
        <v>18252.3</v>
      </c>
      <c r="H15" t="n">
        <v>19182.8</v>
      </c>
      <c r="I15" t="n">
        <v>20767.8</v>
      </c>
      <c r="J15" t="n">
        <v>21980</v>
      </c>
      <c r="K15" t="n">
        <v>23788.3</v>
      </c>
      <c r="L15" t="n">
        <v>25939.1</v>
      </c>
      <c r="M15" t="n">
        <v>27340.4</v>
      </c>
      <c r="N15" t="n">
        <v>28365.9</v>
      </c>
      <c r="O15" t="n">
        <v>29918.2</v>
      </c>
      <c r="P15" t="n">
        <v>31239.1</v>
      </c>
      <c r="Q15" t="n">
        <v>33133.2</v>
      </c>
      <c r="R15" t="n">
        <v>35060.2</v>
      </c>
      <c r="S15" t="n">
        <v>36596.7</v>
      </c>
      <c r="T15" t="n">
        <v>36821.8</v>
      </c>
      <c r="U15" t="n">
        <v>37978.4</v>
      </c>
      <c r="V15" t="n">
        <v>39305.6</v>
      </c>
      <c r="W15" t="n">
        <v>39558.5</v>
      </c>
      <c r="X15" t="n">
        <v>38350.8</v>
      </c>
      <c r="Y15" t="n">
        <v>38064.4</v>
      </c>
      <c r="Z15" t="n">
        <v>38139.4</v>
      </c>
      <c r="AA15" t="n">
        <v>37721.2</v>
      </c>
      <c r="AB15" t="n">
        <v>38927.4</v>
      </c>
      <c r="AC15" t="n">
        <v>39629</v>
      </c>
      <c r="AD15" t="n">
        <v>40272.6</v>
      </c>
      <c r="AE15" t="n">
        <v>40571.3</v>
      </c>
      <c r="AF15"/>
    </row>
    <row r="16">
      <c r="A16" t="s">
        <v>115</v>
      </c>
      <c r="B16" t="s">
        <v>302</v>
      </c>
      <c r="C16" t="s">
        <v>246</v>
      </c>
      <c r="D16" t="s">
        <v>303</v>
      </c>
      <c r="E16" t="s">
        <v>247</v>
      </c>
      <c r="F16" t="n">
        <v>8125.4</v>
      </c>
      <c r="G16" t="n">
        <v>8995.7</v>
      </c>
      <c r="H16" t="n">
        <v>9632.7</v>
      </c>
      <c r="I16" t="n">
        <v>10244.1</v>
      </c>
      <c r="J16" t="n">
        <v>10851.5</v>
      </c>
      <c r="K16" t="n">
        <v>11915</v>
      </c>
      <c r="L16" t="n">
        <v>13014.6</v>
      </c>
      <c r="M16" t="n">
        <v>13932</v>
      </c>
      <c r="N16" t="n">
        <v>14569.1</v>
      </c>
      <c r="O16" t="n">
        <v>15544.7</v>
      </c>
      <c r="P16" t="n">
        <v>16313.7</v>
      </c>
      <c r="Q16" t="n">
        <v>17374</v>
      </c>
      <c r="R16" t="n">
        <v>18512.5</v>
      </c>
      <c r="S16" t="n">
        <v>19539.5</v>
      </c>
      <c r="T16" t="n">
        <v>19556.4</v>
      </c>
      <c r="U16" t="n">
        <v>20152.2</v>
      </c>
      <c r="V16" t="n">
        <v>20907.2</v>
      </c>
      <c r="W16" t="n">
        <v>20825.2</v>
      </c>
      <c r="X16" t="n">
        <v>20080</v>
      </c>
      <c r="Y16" t="n">
        <v>19620.4</v>
      </c>
      <c r="Z16" t="n">
        <v>19431.9</v>
      </c>
      <c r="AA16" t="n">
        <v>19236.4</v>
      </c>
      <c r="AB16" t="n">
        <v>19601.9</v>
      </c>
      <c r="AC16" t="n">
        <v>19874.1</v>
      </c>
      <c r="AD16" t="n">
        <v>20258</v>
      </c>
      <c r="AE16" t="n">
        <v>19984.5</v>
      </c>
      <c r="AF16"/>
    </row>
    <row r="17">
      <c r="A17" t="s">
        <v>115</v>
      </c>
      <c r="B17" t="s">
        <v>304</v>
      </c>
      <c r="C17" t="s">
        <v>246</v>
      </c>
      <c r="D17" t="s">
        <v>305</v>
      </c>
      <c r="E17" t="s">
        <v>247</v>
      </c>
      <c r="F17" t="n">
        <v>24860</v>
      </c>
      <c r="G17" t="n">
        <v>25630</v>
      </c>
      <c r="H17" t="n">
        <v>26789.2</v>
      </c>
      <c r="I17" t="n">
        <v>27295.8</v>
      </c>
      <c r="J17" t="n">
        <v>28252.7</v>
      </c>
      <c r="K17" t="n">
        <v>30181.2</v>
      </c>
      <c r="L17" t="n">
        <v>31527.3</v>
      </c>
      <c r="M17" t="n">
        <v>33288.8</v>
      </c>
      <c r="N17" t="n">
        <v>34076.4</v>
      </c>
      <c r="O17" t="n">
        <v>35505.6</v>
      </c>
      <c r="P17" t="n">
        <v>36937.5</v>
      </c>
      <c r="Q17" t="n">
        <v>38594.6</v>
      </c>
      <c r="R17" t="n">
        <v>40291.1</v>
      </c>
      <c r="S17" t="n">
        <v>42481</v>
      </c>
      <c r="T17" t="n">
        <v>42102.1</v>
      </c>
      <c r="U17" t="n">
        <v>43118.1</v>
      </c>
      <c r="V17" t="n">
        <v>44393</v>
      </c>
      <c r="W17" t="n">
        <v>44670</v>
      </c>
      <c r="X17" t="n">
        <v>44292.2</v>
      </c>
      <c r="Y17" t="n">
        <v>44670.2</v>
      </c>
      <c r="Z17" t="n">
        <v>45632.6</v>
      </c>
      <c r="AA17" t="n">
        <v>46386.6</v>
      </c>
      <c r="AB17" t="n">
        <v>47909.2</v>
      </c>
      <c r="AC17" t="n">
        <v>50458.9</v>
      </c>
      <c r="AD17" t="n">
        <v>51464.6</v>
      </c>
      <c r="AE17" t="n">
        <v>51352.8</v>
      </c>
      <c r="AF17"/>
    </row>
    <row r="18">
      <c r="A18" t="s">
        <v>115</v>
      </c>
      <c r="B18" t="s">
        <v>306</v>
      </c>
      <c r="C18" t="s">
        <v>246</v>
      </c>
      <c r="D18" t="s">
        <v>307</v>
      </c>
      <c r="E18" t="s">
        <v>247</v>
      </c>
      <c r="F18" t="n">
        <v>29103.6</v>
      </c>
      <c r="G18" t="n">
        <v>29374.1</v>
      </c>
      <c r="H18" t="n">
        <v>30048.8</v>
      </c>
      <c r="I18" t="n">
        <v>30283.9</v>
      </c>
      <c r="J18" t="n">
        <v>30650.8</v>
      </c>
      <c r="K18" t="n">
        <v>32213.1</v>
      </c>
      <c r="L18" t="n">
        <v>33359.7</v>
      </c>
      <c r="M18" t="n">
        <v>34917.6</v>
      </c>
      <c r="N18" t="n">
        <v>35587.7</v>
      </c>
      <c r="O18" t="n">
        <v>36542.8</v>
      </c>
      <c r="P18" t="n">
        <v>38087.8</v>
      </c>
      <c r="Q18" t="n">
        <v>40353.5</v>
      </c>
      <c r="R18" t="n">
        <v>41762.9</v>
      </c>
      <c r="S18" t="n">
        <v>44273.8</v>
      </c>
      <c r="T18" t="n">
        <v>44405.8</v>
      </c>
      <c r="U18" t="n">
        <v>45263</v>
      </c>
      <c r="V18" t="n">
        <v>46645.4</v>
      </c>
      <c r="W18" t="n">
        <v>48046.1</v>
      </c>
      <c r="X18" t="n">
        <v>49359.1</v>
      </c>
      <c r="Y18" t="n">
        <v>51038.8</v>
      </c>
      <c r="Z18" t="n">
        <v>54348.3</v>
      </c>
      <c r="AA18" t="n">
        <v>57215.5</v>
      </c>
      <c r="AB18" t="n">
        <v>59599.1</v>
      </c>
      <c r="AC18" t="n">
        <v>61375.4</v>
      </c>
      <c r="AD18" t="n">
        <v>63589.4</v>
      </c>
      <c r="AE18" t="n">
        <v>63914.8</v>
      </c>
      <c r="AF18"/>
    </row>
    <row r="19">
      <c r="A19" t="s">
        <v>115</v>
      </c>
      <c r="B19" t="s">
        <v>308</v>
      </c>
      <c r="C19" t="s">
        <v>246</v>
      </c>
      <c r="D19" t="s">
        <v>309</v>
      </c>
      <c r="E19" t="s">
        <v>247</v>
      </c>
      <c r="F19" t="n">
        <v>21450</v>
      </c>
      <c r="G19" t="n">
        <v>21727.8</v>
      </c>
      <c r="H19" t="n">
        <v>22151.3</v>
      </c>
      <c r="I19" t="n">
        <v>22703.4</v>
      </c>
      <c r="J19" t="n">
        <v>22777.2</v>
      </c>
      <c r="K19" t="n">
        <v>23941.4</v>
      </c>
      <c r="L19" t="n">
        <v>24746.9</v>
      </c>
      <c r="M19" t="n">
        <v>25976.5</v>
      </c>
      <c r="N19" t="n">
        <v>26652</v>
      </c>
      <c r="O19" t="n">
        <v>27514</v>
      </c>
      <c r="P19" t="n">
        <v>28144.4</v>
      </c>
      <c r="Q19" t="n">
        <v>29163.6</v>
      </c>
      <c r="R19" t="n">
        <v>30239</v>
      </c>
      <c r="S19" t="n">
        <v>30979.8</v>
      </c>
      <c r="T19" t="n">
        <v>31100.7</v>
      </c>
      <c r="U19" t="n">
        <v>31451.9</v>
      </c>
      <c r="V19" t="n">
        <v>32014.5</v>
      </c>
      <c r="W19" t="n">
        <v>31300.1</v>
      </c>
      <c r="X19" t="n">
        <v>29965.4</v>
      </c>
      <c r="Y19" t="n">
        <v>29051.3</v>
      </c>
      <c r="Z19" t="n">
        <v>28554.6</v>
      </c>
      <c r="AA19" t="n">
        <v>28263</v>
      </c>
      <c r="AB19" t="n">
        <v>28271.3</v>
      </c>
      <c r="AC19" t="n">
        <v>28370.5</v>
      </c>
      <c r="AD19" t="n">
        <v>28842.3</v>
      </c>
      <c r="AE19" t="n">
        <v>28607.2</v>
      </c>
      <c r="AF19"/>
    </row>
    <row r="20">
      <c r="A20" t="s">
        <v>115</v>
      </c>
      <c r="B20" t="s">
        <v>310</v>
      </c>
      <c r="C20" t="s">
        <v>246</v>
      </c>
      <c r="D20" t="s">
        <v>311</v>
      </c>
      <c r="E20" t="s">
        <v>247</v>
      </c>
      <c r="F20" t="n">
        <v>80958.1</v>
      </c>
      <c r="G20" t="n">
        <v>88677.2</v>
      </c>
      <c r="H20" t="n">
        <v>96214.5</v>
      </c>
      <c r="I20" t="n">
        <v>104217.1</v>
      </c>
      <c r="J20" t="n">
        <v>110210.4</v>
      </c>
      <c r="K20" t="n">
        <v>120158.5</v>
      </c>
      <c r="L20" t="n">
        <v>129224.9</v>
      </c>
      <c r="M20" t="n">
        <v>140265.5</v>
      </c>
      <c r="N20" t="n">
        <v>152642.2</v>
      </c>
      <c r="O20" t="n">
        <v>165529.4</v>
      </c>
      <c r="P20" t="n">
        <v>177197.6</v>
      </c>
      <c r="Q20" t="n">
        <v>188213.4</v>
      </c>
      <c r="R20" t="n">
        <v>201186.9</v>
      </c>
      <c r="S20" t="n">
        <v>216189.8</v>
      </c>
      <c r="T20" t="n">
        <v>222011.8</v>
      </c>
      <c r="U20" t="n">
        <v>225873.1</v>
      </c>
      <c r="V20" t="n">
        <v>236126</v>
      </c>
      <c r="W20" t="n">
        <v>234799.8</v>
      </c>
      <c r="X20" t="n">
        <v>231610</v>
      </c>
      <c r="Y20" t="n">
        <v>227271.9</v>
      </c>
      <c r="Z20" t="n">
        <v>221169.3</v>
      </c>
      <c r="AA20" t="n">
        <v>216166.6</v>
      </c>
      <c r="AB20" t="n">
        <v>212392</v>
      </c>
      <c r="AC20" t="n">
        <v>210658.2</v>
      </c>
      <c r="AD20" t="n">
        <v>208194.9</v>
      </c>
      <c r="AE20" t="n">
        <v>204766.2</v>
      </c>
      <c r="AF20" t="n">
        <v>209957.3</v>
      </c>
    </row>
    <row r="21">
      <c r="A21" t="s">
        <v>115</v>
      </c>
      <c r="B21" t="s">
        <v>312</v>
      </c>
      <c r="C21" t="s">
        <v>246</v>
      </c>
      <c r="D21" t="s">
        <v>313</v>
      </c>
      <c r="E21" t="s">
        <v>247</v>
      </c>
      <c r="F21" t="n">
        <v>106364.2</v>
      </c>
      <c r="G21" t="n">
        <v>114990</v>
      </c>
      <c r="H21" t="n">
        <v>123651.1</v>
      </c>
      <c r="I21" t="n">
        <v>132851.6</v>
      </c>
      <c r="J21" t="n">
        <v>139679.4</v>
      </c>
      <c r="K21" t="n">
        <v>151160.2</v>
      </c>
      <c r="L21" t="n">
        <v>161744.5</v>
      </c>
      <c r="M21" t="n">
        <v>174322.4</v>
      </c>
      <c r="N21" t="n">
        <v>188052.8</v>
      </c>
      <c r="O21" t="n">
        <v>202843.4</v>
      </c>
      <c r="P21" t="n">
        <v>215762.6</v>
      </c>
      <c r="Q21" t="n">
        <v>228639.4</v>
      </c>
      <c r="R21" t="n">
        <v>243282.6</v>
      </c>
      <c r="S21" t="n">
        <v>259471.9</v>
      </c>
      <c r="T21" t="n">
        <v>265142</v>
      </c>
      <c r="U21" t="n">
        <v>269895.2</v>
      </c>
      <c r="V21" t="n">
        <v>281413.9</v>
      </c>
      <c r="W21" t="n">
        <v>280889.9</v>
      </c>
      <c r="X21" t="n">
        <v>276600.3</v>
      </c>
      <c r="Y21" t="n">
        <v>271495.4</v>
      </c>
      <c r="Z21" t="n">
        <v>265372.1</v>
      </c>
      <c r="AA21" t="n">
        <v>260539</v>
      </c>
      <c r="AB21" t="n">
        <v>258245.9</v>
      </c>
      <c r="AC21" t="n">
        <v>257938.7</v>
      </c>
      <c r="AD21" t="n">
        <v>257072.7</v>
      </c>
      <c r="AE21" t="n">
        <v>253935.1</v>
      </c>
      <c r="AF21" t="n">
        <v>262413</v>
      </c>
    </row>
    <row r="22">
      <c r="A22" t="s">
        <v>115</v>
      </c>
      <c r="B22" t="s">
        <v>314</v>
      </c>
      <c r="C22" t="s">
        <v>246</v>
      </c>
      <c r="D22" t="s">
        <v>315</v>
      </c>
      <c r="E22" t="s">
        <v>247</v>
      </c>
      <c r="F22" t="n">
        <v>25406.1</v>
      </c>
      <c r="G22" t="n">
        <v>26312.8</v>
      </c>
      <c r="H22" t="n">
        <v>27436.6</v>
      </c>
      <c r="I22" t="n">
        <v>28634.5</v>
      </c>
      <c r="J22" t="n">
        <v>29469</v>
      </c>
      <c r="K22" t="n">
        <v>31001.7</v>
      </c>
      <c r="L22" t="n">
        <v>32519.6</v>
      </c>
      <c r="M22" t="n">
        <v>34056.9</v>
      </c>
      <c r="N22" t="n">
        <v>35410.6</v>
      </c>
      <c r="O22" t="n">
        <v>37314</v>
      </c>
      <c r="P22" t="n">
        <v>38565</v>
      </c>
      <c r="Q22" t="n">
        <v>40426</v>
      </c>
      <c r="R22" t="n">
        <v>42095.7</v>
      </c>
      <c r="S22" t="n">
        <v>43282.1</v>
      </c>
      <c r="T22" t="n">
        <v>43130.2</v>
      </c>
      <c r="U22" t="n">
        <v>44022.1</v>
      </c>
      <c r="V22" t="n">
        <v>45287.9</v>
      </c>
      <c r="W22" t="n">
        <v>46090.1</v>
      </c>
      <c r="X22" t="n">
        <v>44990.3</v>
      </c>
      <c r="Y22" t="n">
        <v>44223.5</v>
      </c>
      <c r="Z22" t="n">
        <v>44202.8</v>
      </c>
      <c r="AA22" t="n">
        <v>44372.4</v>
      </c>
      <c r="AB22" t="n">
        <v>45853.9</v>
      </c>
      <c r="AC22" t="n">
        <v>47280.5</v>
      </c>
      <c r="AD22" t="n">
        <v>48877.8</v>
      </c>
      <c r="AE22" t="n">
        <v>49168.9</v>
      </c>
      <c r="AF22" t="n">
        <v>52455.7</v>
      </c>
    </row>
    <row r="23">
      <c r="A23" t="s">
        <v>115</v>
      </c>
      <c r="B23" t="s">
        <v>316</v>
      </c>
      <c r="C23" t="s">
        <v>246</v>
      </c>
      <c r="D23" t="s">
        <v>317</v>
      </c>
      <c r="E23" t="s">
        <v>247</v>
      </c>
      <c r="F23" t="n">
        <v>38063.6</v>
      </c>
      <c r="G23" t="n">
        <v>38797.1</v>
      </c>
      <c r="H23" t="n">
        <v>39607.8</v>
      </c>
      <c r="I23" t="n">
        <v>41889.4</v>
      </c>
      <c r="J23" t="n">
        <v>42352.8</v>
      </c>
      <c r="K23" t="n">
        <v>44741.7</v>
      </c>
      <c r="L23" t="n">
        <v>47310</v>
      </c>
      <c r="M23" t="n">
        <v>50151.9</v>
      </c>
      <c r="N23" t="n">
        <v>52945.6</v>
      </c>
      <c r="O23" t="n">
        <v>55043.9</v>
      </c>
      <c r="P23" t="n">
        <v>57414</v>
      </c>
      <c r="Q23" t="n">
        <v>60264.6</v>
      </c>
      <c r="R23" t="n">
        <v>63471.1</v>
      </c>
      <c r="S23" t="n">
        <v>66210.1</v>
      </c>
      <c r="T23" t="n">
        <v>65158</v>
      </c>
      <c r="U23" t="n">
        <v>66723.6</v>
      </c>
      <c r="V23" t="n">
        <v>68498.1</v>
      </c>
      <c r="W23" t="n">
        <v>66651.1</v>
      </c>
      <c r="X23" t="n">
        <v>63351.3</v>
      </c>
      <c r="Y23" t="n">
        <v>60800.9</v>
      </c>
      <c r="Z23" t="n">
        <v>59176.9</v>
      </c>
      <c r="AA23" t="n">
        <v>58029.7</v>
      </c>
      <c r="AB23" t="n">
        <v>58976</v>
      </c>
      <c r="AC23" t="n">
        <v>58796.1</v>
      </c>
      <c r="AD23" t="n">
        <v>59123.6</v>
      </c>
      <c r="AE23" t="n">
        <v>59171.7</v>
      </c>
      <c r="AF23" t="n">
        <v>65181.8</v>
      </c>
    </row>
    <row r="24">
      <c r="A24" t="s">
        <v>115</v>
      </c>
      <c r="B24" t="s">
        <v>318</v>
      </c>
      <c r="C24" t="s">
        <v>246</v>
      </c>
      <c r="D24" t="s">
        <v>319</v>
      </c>
      <c r="E24" t="s">
        <v>247</v>
      </c>
      <c r="F24" t="n">
        <v>81454.7</v>
      </c>
      <c r="G24" t="n">
        <v>86440.4</v>
      </c>
      <c r="H24" t="n">
        <v>91749.2</v>
      </c>
      <c r="I24" t="n">
        <v>96705.9</v>
      </c>
      <c r="J24" t="n">
        <v>101958</v>
      </c>
      <c r="K24" t="n">
        <v>109809.2</v>
      </c>
      <c r="L24" t="n">
        <v>116648.4</v>
      </c>
      <c r="M24" t="n">
        <v>125070.8</v>
      </c>
      <c r="N24" t="n">
        <v>130528.2</v>
      </c>
      <c r="O24" t="n">
        <v>138440.3</v>
      </c>
      <c r="P24" t="n">
        <v>146008.8</v>
      </c>
      <c r="Q24" t="n">
        <v>154509.1</v>
      </c>
      <c r="R24" t="n">
        <v>163345.6</v>
      </c>
      <c r="S24" t="n">
        <v>169813.8</v>
      </c>
      <c r="T24" t="n">
        <v>171465.8</v>
      </c>
      <c r="U24" t="n">
        <v>176543.6</v>
      </c>
      <c r="V24" t="n">
        <v>182562</v>
      </c>
      <c r="W24" t="n">
        <v>182405.1</v>
      </c>
      <c r="X24" t="n">
        <v>179215.5</v>
      </c>
      <c r="Y24" t="n">
        <v>176334.5</v>
      </c>
      <c r="Z24" t="n">
        <v>175566.2</v>
      </c>
      <c r="AA24" t="n">
        <v>176456.5</v>
      </c>
      <c r="AB24" t="n">
        <v>180708.2</v>
      </c>
      <c r="AC24" t="n">
        <v>187120.5</v>
      </c>
      <c r="AD24" t="n">
        <v>192480.2</v>
      </c>
      <c r="AE24" t="n">
        <v>192941.4</v>
      </c>
      <c r="AF24" t="n">
        <v>200495.8</v>
      </c>
    </row>
    <row r="25">
      <c r="A25" t="s">
        <v>115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115</v>
      </c>
      <c r="B28" t="s">
        <v>326</v>
      </c>
      <c r="C28" t="s">
        <v>246</v>
      </c>
      <c r="D28" t="s">
        <v>327</v>
      </c>
      <c r="E28" t="s">
        <v>247</v>
      </c>
      <c r="F28" t="n">
        <v>161986</v>
      </c>
      <c r="G28" t="n">
        <v>167097.9</v>
      </c>
      <c r="H28" t="n">
        <v>174253.1</v>
      </c>
      <c r="I28" t="n">
        <v>180789.8</v>
      </c>
      <c r="J28" t="n">
        <v>185279.5</v>
      </c>
      <c r="K28" t="n">
        <v>194693.9</v>
      </c>
      <c r="L28" t="n">
        <v>204080</v>
      </c>
      <c r="M28" t="n">
        <v>215066.6</v>
      </c>
      <c r="N28" t="n">
        <v>222887.6</v>
      </c>
      <c r="O28" t="n">
        <v>236988.3</v>
      </c>
      <c r="P28" t="n">
        <v>250386.9</v>
      </c>
      <c r="Q28" t="n">
        <v>266029.4</v>
      </c>
      <c r="R28" t="n">
        <v>280862</v>
      </c>
      <c r="S28" t="n">
        <v>295404.7</v>
      </c>
      <c r="T28" t="n">
        <v>299291.1</v>
      </c>
      <c r="U28" t="n">
        <v>310545.4</v>
      </c>
      <c r="V28" t="n">
        <v>318991.7</v>
      </c>
      <c r="W28" t="n">
        <v>323463.3</v>
      </c>
      <c r="X28" t="n">
        <v>321305</v>
      </c>
      <c r="Y28" t="n">
        <v>318548.3</v>
      </c>
      <c r="Z28" t="n">
        <v>318469.8</v>
      </c>
      <c r="AA28" t="n">
        <v>318620.5</v>
      </c>
      <c r="AB28" t="n">
        <v>319101.9</v>
      </c>
      <c r="AC28" t="n">
        <v>324282.9</v>
      </c>
      <c r="AD28" t="n">
        <v>327297.8</v>
      </c>
      <c r="AE28" t="n">
        <v>327932.8</v>
      </c>
      <c r="AF28" t="n">
        <v>347757.2</v>
      </c>
    </row>
    <row r="29">
      <c r="A29" t="s">
        <v>115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115</v>
      </c>
      <c r="B34" t="s">
        <v>338</v>
      </c>
      <c r="C34" t="s">
        <v>246</v>
      </c>
      <c r="D34" t="s">
        <v>339</v>
      </c>
      <c r="E34" t="s">
        <v>247</v>
      </c>
      <c r="F34" t="n">
        <v>54447.8</v>
      </c>
      <c r="G34" t="n">
        <v>57423</v>
      </c>
      <c r="H34" t="n">
        <v>59289.1</v>
      </c>
      <c r="I34" t="n">
        <v>61751.6</v>
      </c>
      <c r="J34" t="n">
        <v>63179.4</v>
      </c>
      <c r="K34" t="n">
        <v>67428.2</v>
      </c>
      <c r="L34" t="n">
        <v>71680.6</v>
      </c>
      <c r="M34" t="n">
        <v>75107.8</v>
      </c>
      <c r="N34" t="n">
        <v>78099.4</v>
      </c>
      <c r="O34" t="n">
        <v>82344.3</v>
      </c>
      <c r="P34" t="n">
        <v>86405.6</v>
      </c>
      <c r="Q34" t="n">
        <v>90641.4</v>
      </c>
      <c r="R34" t="n">
        <v>95137.8</v>
      </c>
      <c r="S34" t="n">
        <v>100129.9</v>
      </c>
      <c r="T34" t="n">
        <v>101797.8</v>
      </c>
      <c r="U34" t="n">
        <v>104857.5</v>
      </c>
      <c r="V34" t="n">
        <v>108635.2</v>
      </c>
      <c r="W34" t="n">
        <v>108284.7</v>
      </c>
      <c r="X34" t="n">
        <v>105200.1</v>
      </c>
      <c r="Y34" t="n">
        <v>102903.8</v>
      </c>
      <c r="Z34" t="n">
        <v>101462.2</v>
      </c>
      <c r="AA34" t="n">
        <v>98474.6</v>
      </c>
      <c r="AB34" t="n">
        <v>98394.4</v>
      </c>
      <c r="AC34" t="n">
        <v>98284</v>
      </c>
      <c r="AD34" t="n">
        <v>97320.8</v>
      </c>
      <c r="AE34" t="n">
        <v>95685.9</v>
      </c>
      <c r="AF34" t="n">
        <v>99039</v>
      </c>
    </row>
    <row r="35">
      <c r="A35" t="s">
        <v>115</v>
      </c>
      <c r="B35" t="s">
        <v>340</v>
      </c>
      <c r="C35" t="s">
        <v>246</v>
      </c>
      <c r="D35" t="s">
        <v>341</v>
      </c>
      <c r="E35" t="s">
        <v>247</v>
      </c>
      <c r="F35" t="n">
        <v>38008.4</v>
      </c>
      <c r="G35" t="n">
        <v>41172.5</v>
      </c>
      <c r="H35" t="n">
        <v>45030.1</v>
      </c>
      <c r="I35" t="n">
        <v>48134.1</v>
      </c>
      <c r="J35" t="n">
        <v>51406.3</v>
      </c>
      <c r="K35" t="n">
        <v>56033.1</v>
      </c>
      <c r="L35" t="n">
        <v>59617.8</v>
      </c>
      <c r="M35" t="n">
        <v>63912.6</v>
      </c>
      <c r="N35" t="n">
        <v>66904.7</v>
      </c>
      <c r="O35" t="n">
        <v>69691.4</v>
      </c>
      <c r="P35" t="n">
        <v>73441.7</v>
      </c>
      <c r="Q35" t="n">
        <v>75588.5</v>
      </c>
      <c r="R35" t="n">
        <v>79106.3</v>
      </c>
      <c r="S35" t="n">
        <v>81778.6</v>
      </c>
      <c r="T35" t="n">
        <v>82223.7</v>
      </c>
      <c r="U35" t="n">
        <v>84788.1</v>
      </c>
      <c r="V35" t="n">
        <v>87912.8</v>
      </c>
      <c r="W35" t="n">
        <v>89875.2</v>
      </c>
      <c r="X35" t="n">
        <v>91354.5</v>
      </c>
      <c r="Y35" t="n">
        <v>94077.6</v>
      </c>
      <c r="Z35" t="n">
        <v>102227.2</v>
      </c>
      <c r="AA35" t="n">
        <v>103217.9</v>
      </c>
      <c r="AB35" t="n">
        <v>105771</v>
      </c>
      <c r="AC35" t="n">
        <v>107616</v>
      </c>
      <c r="AD35" t="n">
        <v>108383.9</v>
      </c>
      <c r="AE35" t="n">
        <v>110414.9</v>
      </c>
      <c r="AF35" t="n">
        <v>114371.2</v>
      </c>
    </row>
    <row r="36">
      <c r="A36" t="s">
        <v>115</v>
      </c>
      <c r="B36" t="s">
        <v>342</v>
      </c>
      <c r="C36" t="s">
        <v>246</v>
      </c>
      <c r="D36" t="s">
        <v>343</v>
      </c>
      <c r="E36" t="s">
        <v>247</v>
      </c>
      <c r="F36" t="n">
        <v>9029.8</v>
      </c>
      <c r="G36" t="n">
        <v>9631.4</v>
      </c>
      <c r="H36" t="n">
        <v>10426.4</v>
      </c>
      <c r="I36" t="n">
        <v>11166.5</v>
      </c>
      <c r="J36" t="n">
        <v>11929.1</v>
      </c>
      <c r="K36" t="n">
        <v>12890.6</v>
      </c>
      <c r="L36" t="n">
        <v>13607.4</v>
      </c>
      <c r="M36" t="n">
        <v>14824.7</v>
      </c>
      <c r="N36" t="n">
        <v>15357.6</v>
      </c>
      <c r="O36" t="n">
        <v>16040.3</v>
      </c>
      <c r="P36" t="n">
        <v>16782.5</v>
      </c>
      <c r="Q36" t="n">
        <v>17161.5</v>
      </c>
      <c r="R36" t="n">
        <v>17912.9</v>
      </c>
      <c r="S36" t="n">
        <v>18922.1</v>
      </c>
      <c r="T36" t="n">
        <v>18689.9</v>
      </c>
      <c r="U36" t="n">
        <v>19233.6</v>
      </c>
      <c r="V36" t="n">
        <v>20321.6</v>
      </c>
      <c r="W36" t="n">
        <v>20809.1</v>
      </c>
      <c r="X36" t="n">
        <v>20545.9</v>
      </c>
      <c r="Y36" t="n">
        <v>20091.4</v>
      </c>
      <c r="Z36" t="n">
        <v>22068.9</v>
      </c>
      <c r="AA36" t="n">
        <v>21550.8</v>
      </c>
      <c r="AB36" t="n">
        <v>21122.9</v>
      </c>
      <c r="AC36" t="n">
        <v>20892.8</v>
      </c>
      <c r="AD36" t="n">
        <v>20490.9</v>
      </c>
      <c r="AE36" t="n">
        <v>20145.6</v>
      </c>
      <c r="AF36"/>
    </row>
    <row r="37">
      <c r="A37" t="s">
        <v>115</v>
      </c>
      <c r="B37" t="s">
        <v>344</v>
      </c>
      <c r="C37" t="s">
        <v>246</v>
      </c>
      <c r="D37" t="s">
        <v>345</v>
      </c>
      <c r="E37" t="s">
        <v>247</v>
      </c>
      <c r="F37" t="n">
        <v>18413</v>
      </c>
      <c r="G37" t="n">
        <v>19815.7</v>
      </c>
      <c r="H37" t="n">
        <v>21713.4</v>
      </c>
      <c r="I37" t="n">
        <v>23161.7</v>
      </c>
      <c r="J37" t="n">
        <v>24401.9</v>
      </c>
      <c r="K37" t="n">
        <v>27154.9</v>
      </c>
      <c r="L37" t="n">
        <v>28810.6</v>
      </c>
      <c r="M37" t="n">
        <v>30812</v>
      </c>
      <c r="N37" t="n">
        <v>31379.6</v>
      </c>
      <c r="O37" t="n">
        <v>32775</v>
      </c>
      <c r="P37" t="n">
        <v>35009.7</v>
      </c>
      <c r="Q37" t="n">
        <v>36339.4</v>
      </c>
      <c r="R37" t="n">
        <v>37997.6</v>
      </c>
      <c r="S37" t="n">
        <v>39690</v>
      </c>
      <c r="T37" t="n">
        <v>40213.4</v>
      </c>
      <c r="U37" t="n">
        <v>41713.8</v>
      </c>
      <c r="V37" t="n">
        <v>43451.1</v>
      </c>
      <c r="W37" t="n">
        <v>45112</v>
      </c>
      <c r="X37" t="n">
        <v>46158.8</v>
      </c>
      <c r="Y37" t="n">
        <v>48962.5</v>
      </c>
      <c r="Z37" t="n">
        <v>52982</v>
      </c>
      <c r="AA37" t="n">
        <v>53438.7</v>
      </c>
      <c r="AB37" t="n">
        <v>54901.5</v>
      </c>
      <c r="AC37" t="n">
        <v>56015.1</v>
      </c>
      <c r="AD37" t="n">
        <v>56497</v>
      </c>
      <c r="AE37" t="n">
        <v>57342.5</v>
      </c>
      <c r="AF37"/>
    </row>
    <row r="38">
      <c r="A38" t="s">
        <v>115</v>
      </c>
      <c r="B38" t="s">
        <v>346</v>
      </c>
      <c r="C38" t="s">
        <v>246</v>
      </c>
      <c r="D38" t="s">
        <v>347</v>
      </c>
      <c r="E38" t="s">
        <v>247</v>
      </c>
      <c r="F38" t="n">
        <v>10565.6</v>
      </c>
      <c r="G38" t="n">
        <v>11725.4</v>
      </c>
      <c r="H38" t="n">
        <v>12890.3</v>
      </c>
      <c r="I38" t="n">
        <v>13805.9</v>
      </c>
      <c r="J38" t="n">
        <v>15075.3</v>
      </c>
      <c r="K38" t="n">
        <v>15987.6</v>
      </c>
      <c r="L38" t="n">
        <v>17199.8</v>
      </c>
      <c r="M38" t="n">
        <v>18275.9</v>
      </c>
      <c r="N38" t="n">
        <v>20167.5</v>
      </c>
      <c r="O38" t="n">
        <v>20876.1</v>
      </c>
      <c r="P38" t="n">
        <v>21649.5</v>
      </c>
      <c r="Q38" t="n">
        <v>22087.6</v>
      </c>
      <c r="R38" t="n">
        <v>23195.8</v>
      </c>
      <c r="S38" t="n">
        <v>23166.5</v>
      </c>
      <c r="T38" t="n">
        <v>23320.4</v>
      </c>
      <c r="U38" t="n">
        <v>23840.7</v>
      </c>
      <c r="V38" t="n">
        <v>24140.1</v>
      </c>
      <c r="W38" t="n">
        <v>23954.1</v>
      </c>
      <c r="X38" t="n">
        <v>24649.8</v>
      </c>
      <c r="Y38" t="n">
        <v>25023.7</v>
      </c>
      <c r="Z38" t="n">
        <v>27176.3</v>
      </c>
      <c r="AA38" t="n">
        <v>28228.4</v>
      </c>
      <c r="AB38" t="n">
        <v>29746.6</v>
      </c>
      <c r="AC38" t="n">
        <v>30708.1</v>
      </c>
      <c r="AD38" t="n">
        <v>31396</v>
      </c>
      <c r="AE38" t="n">
        <v>32926.8</v>
      </c>
      <c r="AF38"/>
    </row>
    <row r="39">
      <c r="A39" t="s">
        <v>115</v>
      </c>
      <c r="B39" t="s">
        <v>348</v>
      </c>
      <c r="C39" t="s">
        <v>246</v>
      </c>
      <c r="D39" t="s">
        <v>349</v>
      </c>
      <c r="E39" t="s">
        <v>247</v>
      </c>
      <c r="F39" t="n">
        <v>53720.5</v>
      </c>
      <c r="G39" t="n">
        <v>56970.6</v>
      </c>
      <c r="H39" t="n">
        <v>60469.8</v>
      </c>
      <c r="I39" t="n">
        <v>64127</v>
      </c>
      <c r="J39" t="n">
        <v>65257.7</v>
      </c>
      <c r="K39" t="n">
        <v>68886.3</v>
      </c>
      <c r="L39" t="n">
        <v>72112</v>
      </c>
      <c r="M39" t="n">
        <v>76483.6</v>
      </c>
      <c r="N39" t="n">
        <v>78888.7</v>
      </c>
      <c r="O39" t="n">
        <v>82983.1</v>
      </c>
      <c r="P39" t="n">
        <v>86179.6</v>
      </c>
      <c r="Q39" t="n">
        <v>88843.5</v>
      </c>
      <c r="R39" t="n">
        <v>92448</v>
      </c>
      <c r="S39" t="n">
        <v>96480.5</v>
      </c>
      <c r="T39" t="n">
        <v>97643.8</v>
      </c>
      <c r="U39" t="n">
        <v>100839.4</v>
      </c>
      <c r="V39" t="n">
        <v>103863.3</v>
      </c>
      <c r="W39" t="n">
        <v>103036.3</v>
      </c>
      <c r="X39" t="n">
        <v>101550.7</v>
      </c>
      <c r="Y39" t="n">
        <v>100796.8</v>
      </c>
      <c r="Z39" t="n">
        <v>100718.1</v>
      </c>
      <c r="AA39" t="n">
        <v>100728.3</v>
      </c>
      <c r="AB39" t="n">
        <v>102444.4</v>
      </c>
      <c r="AC39" t="n">
        <v>104916.3</v>
      </c>
      <c r="AD39" t="n">
        <v>106834.5</v>
      </c>
      <c r="AE39" t="n">
        <v>108606.2</v>
      </c>
      <c r="AF39" t="n">
        <v>115446.3</v>
      </c>
    </row>
    <row r="40">
      <c r="A40" t="s">
        <v>115</v>
      </c>
      <c r="B40" t="s">
        <v>350</v>
      </c>
      <c r="C40" t="s">
        <v>246</v>
      </c>
      <c r="D40" t="s">
        <v>351</v>
      </c>
      <c r="E40" t="s">
        <v>247</v>
      </c>
      <c r="F40" t="n">
        <v>1383980</v>
      </c>
      <c r="G40" t="n">
        <v>1445732.3</v>
      </c>
      <c r="H40" t="n">
        <v>1512802.2</v>
      </c>
      <c r="I40" t="n">
        <v>1568657.3</v>
      </c>
      <c r="J40" t="n">
        <v>1615994.3</v>
      </c>
      <c r="K40" t="n">
        <v>1701732.6</v>
      </c>
      <c r="L40" t="n">
        <v>1769927.8</v>
      </c>
      <c r="M40" t="n">
        <v>1873047.5</v>
      </c>
      <c r="N40" t="n">
        <v>1951245.8</v>
      </c>
      <c r="O40" t="n">
        <v>2061729.5</v>
      </c>
      <c r="P40" t="n">
        <v>2199240.3</v>
      </c>
      <c r="Q40" t="n">
        <v>2318945.5</v>
      </c>
      <c r="R40" t="n">
        <v>2460264.2</v>
      </c>
      <c r="S40" t="n">
        <v>2589104.3</v>
      </c>
      <c r="T40" t="n">
        <v>2676791.1</v>
      </c>
      <c r="U40" t="n">
        <v>2769270.2</v>
      </c>
      <c r="V40" t="n">
        <v>2890245.4</v>
      </c>
      <c r="W40" t="n">
        <v>2956302.1</v>
      </c>
      <c r="X40" t="n">
        <v>2979705.7</v>
      </c>
      <c r="Y40" t="n">
        <v>2991322</v>
      </c>
      <c r="Z40" t="n">
        <v>3010086.6</v>
      </c>
      <c r="AA40" t="n">
        <v>3036772</v>
      </c>
      <c r="AB40" t="n">
        <v>3073608.8</v>
      </c>
      <c r="AC40" t="n">
        <v>3139747.7</v>
      </c>
      <c r="AD40" t="n">
        <v>3152499.3</v>
      </c>
      <c r="AE40" t="n">
        <v>3178504</v>
      </c>
      <c r="AF40" t="n">
        <v>3412478</v>
      </c>
    </row>
    <row r="41">
      <c r="A41" t="s">
        <v>115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115</v>
      </c>
      <c r="B42" t="s">
        <v>354</v>
      </c>
      <c r="C42" t="s">
        <v>246</v>
      </c>
      <c r="D42" t="s">
        <v>355</v>
      </c>
      <c r="E42" t="s">
        <v>247</v>
      </c>
      <c r="F42" t="n">
        <v>44031.9</v>
      </c>
      <c r="G42" t="n">
        <v>45512.5</v>
      </c>
      <c r="H42" t="n">
        <v>47967.4</v>
      </c>
      <c r="I42" t="n">
        <v>50655.3</v>
      </c>
      <c r="J42" t="n">
        <v>53278.3</v>
      </c>
      <c r="K42" t="n">
        <v>58128.8</v>
      </c>
      <c r="L42" t="n">
        <v>62206.6</v>
      </c>
      <c r="M42" t="n">
        <v>67097.9</v>
      </c>
      <c r="N42" t="n">
        <v>70648.1</v>
      </c>
      <c r="O42" t="n">
        <v>74556</v>
      </c>
      <c r="P42" t="n">
        <v>78853.4</v>
      </c>
      <c r="Q42" t="n">
        <v>83328.6</v>
      </c>
      <c r="R42" t="n">
        <v>87484.6</v>
      </c>
      <c r="S42" t="n">
        <v>91182.6</v>
      </c>
      <c r="T42" t="n">
        <v>91944.2</v>
      </c>
      <c r="U42" t="n">
        <v>94768.9</v>
      </c>
      <c r="V42" t="n">
        <v>96608</v>
      </c>
      <c r="W42" t="n">
        <v>97155.2</v>
      </c>
      <c r="X42" t="n">
        <v>98099.1</v>
      </c>
      <c r="Y42" t="n">
        <v>99389.8</v>
      </c>
      <c r="Z42" t="n">
        <v>100253.5</v>
      </c>
      <c r="AA42" t="n">
        <v>99222.4</v>
      </c>
      <c r="AB42" t="n">
        <v>100286.1</v>
      </c>
      <c r="AC42" t="n">
        <v>101884.2</v>
      </c>
      <c r="AD42" t="n">
        <v>102322.6</v>
      </c>
      <c r="AE42" t="n">
        <v>102256.9</v>
      </c>
      <c r="AF42" t="n">
        <v>107168.5</v>
      </c>
    </row>
    <row r="43">
      <c r="A43" t="s">
        <v>115</v>
      </c>
      <c r="B43" t="s">
        <v>356</v>
      </c>
      <c r="C43" t="s">
        <v>246</v>
      </c>
      <c r="D43" t="s">
        <v>357</v>
      </c>
      <c r="E43" t="s">
        <v>247</v>
      </c>
      <c r="F43" t="n">
        <v>70565</v>
      </c>
      <c r="G43" t="n">
        <v>74407.1</v>
      </c>
      <c r="H43" t="n">
        <v>78975.4</v>
      </c>
      <c r="I43" t="n">
        <v>83808.1</v>
      </c>
      <c r="J43" t="n">
        <v>88697.4</v>
      </c>
      <c r="K43" t="n">
        <v>97384.3</v>
      </c>
      <c r="L43" t="n">
        <v>105156.7</v>
      </c>
      <c r="M43" t="n">
        <v>113058.8</v>
      </c>
      <c r="N43" t="n">
        <v>118191</v>
      </c>
      <c r="O43" t="n">
        <v>124516.2</v>
      </c>
      <c r="P43" t="n">
        <v>131442</v>
      </c>
      <c r="Q43" t="n">
        <v>138492.2</v>
      </c>
      <c r="R43" t="n">
        <v>146540.7</v>
      </c>
      <c r="S43" t="n">
        <v>154416</v>
      </c>
      <c r="T43" t="n">
        <v>154674</v>
      </c>
      <c r="U43" t="n">
        <v>159382.5</v>
      </c>
      <c r="V43" t="n">
        <v>161168.2</v>
      </c>
      <c r="W43" t="n">
        <v>163110.1</v>
      </c>
      <c r="X43" t="n">
        <v>162198.5</v>
      </c>
      <c r="Y43" t="n">
        <v>161950.7</v>
      </c>
      <c r="Z43" t="n">
        <v>163005.8</v>
      </c>
      <c r="AA43" t="n">
        <v>162012.5</v>
      </c>
      <c r="AB43" t="n">
        <v>166213.9</v>
      </c>
      <c r="AC43" t="n">
        <v>170204.2</v>
      </c>
      <c r="AD43" t="n">
        <v>173716.4</v>
      </c>
      <c r="AE43" t="n">
        <v>173423.5</v>
      </c>
      <c r="AF43" t="n">
        <v>181456.6</v>
      </c>
    </row>
    <row r="44">
      <c r="A44" t="s">
        <v>115</v>
      </c>
      <c r="B44" t="s">
        <v>358</v>
      </c>
      <c r="C44" t="s">
        <v>246</v>
      </c>
      <c r="D44" t="s">
        <v>359</v>
      </c>
      <c r="E44" t="s">
        <v>247</v>
      </c>
      <c r="F44" t="n">
        <v>1058655.7</v>
      </c>
      <c r="G44" t="n">
        <v>1101491.4</v>
      </c>
      <c r="H44" t="n">
        <v>1147798.3</v>
      </c>
      <c r="I44" t="n">
        <v>1196878.2</v>
      </c>
      <c r="J44" t="n">
        <v>1232300.9</v>
      </c>
      <c r="K44" t="n">
        <v>1309510.1</v>
      </c>
      <c r="L44" t="n">
        <v>1378860.7</v>
      </c>
      <c r="M44" t="n">
        <v>1456102.6</v>
      </c>
      <c r="N44" t="n">
        <v>1514551.3</v>
      </c>
      <c r="O44" t="n">
        <v>1594126.9</v>
      </c>
      <c r="P44" t="n">
        <v>1668640.2</v>
      </c>
      <c r="Q44" t="n">
        <v>1751945.8</v>
      </c>
      <c r="R44" t="n">
        <v>1839837.3</v>
      </c>
      <c r="S44" t="n">
        <v>1924734.8</v>
      </c>
      <c r="T44" t="n">
        <v>1937021.4</v>
      </c>
      <c r="U44" t="n">
        <v>1985936.4</v>
      </c>
      <c r="V44" t="n">
        <v>2044475.9</v>
      </c>
      <c r="W44" t="n">
        <v>2052231.3</v>
      </c>
      <c r="X44" t="n">
        <v>2019431.3</v>
      </c>
      <c r="Y44" t="n">
        <v>2000050.6</v>
      </c>
      <c r="Z44" t="n">
        <v>2000823.7</v>
      </c>
      <c r="AA44" t="n">
        <v>1990349.9</v>
      </c>
      <c r="AB44" t="n">
        <v>2011559.7</v>
      </c>
      <c r="AC44" t="n">
        <v>2044408.8</v>
      </c>
      <c r="AD44" t="n">
        <v>2068341.2</v>
      </c>
      <c r="AE44" t="n">
        <v>2060055.7</v>
      </c>
      <c r="AF44" t="n">
        <v>2147864.4</v>
      </c>
    </row>
    <row r="45">
      <c r="A45" t="s">
        <v>115</v>
      </c>
      <c r="B45" t="s">
        <v>360</v>
      </c>
      <c r="C45" t="s">
        <v>246</v>
      </c>
      <c r="D45" t="s">
        <v>361</v>
      </c>
      <c r="E45" t="s">
        <v>247</v>
      </c>
      <c r="F45" t="n">
        <v>926504.1</v>
      </c>
      <c r="G45" t="n">
        <v>967782.2</v>
      </c>
      <c r="H45" t="n">
        <v>1011991.8</v>
      </c>
      <c r="I45" t="n">
        <v>1059435.3</v>
      </c>
      <c r="J45" t="n">
        <v>1094977.2</v>
      </c>
      <c r="K45" t="n">
        <v>1167851.7</v>
      </c>
      <c r="L45" t="n">
        <v>1234412.3</v>
      </c>
      <c r="M45" t="n">
        <v>1308329.4</v>
      </c>
      <c r="N45" t="n">
        <v>1364468.3</v>
      </c>
      <c r="O45" t="n">
        <v>1439354.6</v>
      </c>
      <c r="P45" t="n">
        <v>1509243.4</v>
      </c>
      <c r="Q45" t="n">
        <v>1587970.5</v>
      </c>
      <c r="R45" t="n">
        <v>1671537</v>
      </c>
      <c r="S45" t="n">
        <v>1753413.2</v>
      </c>
      <c r="T45" t="n">
        <v>1766275.9</v>
      </c>
      <c r="U45" t="n">
        <v>1813775</v>
      </c>
      <c r="V45" t="n">
        <v>1869202.9</v>
      </c>
      <c r="W45" t="n">
        <v>1878715.7</v>
      </c>
      <c r="X45" t="n">
        <v>1851690.6</v>
      </c>
      <c r="Y45" t="n">
        <v>1837086.9</v>
      </c>
      <c r="Z45" t="n">
        <v>1842308</v>
      </c>
      <c r="AA45" t="n">
        <v>1835412.7</v>
      </c>
      <c r="AB45" t="n">
        <v>1857610.8</v>
      </c>
      <c r="AC45" t="n">
        <v>1889589.3</v>
      </c>
      <c r="AD45" t="n">
        <v>1913657.2</v>
      </c>
      <c r="AE45" t="n">
        <v>1907493.4</v>
      </c>
      <c r="AF45" t="n">
        <v>1989415.1</v>
      </c>
    </row>
    <row r="46">
      <c r="A46" t="s">
        <v>115</v>
      </c>
      <c r="B46" t="s">
        <v>362</v>
      </c>
      <c r="C46" t="s">
        <v>246</v>
      </c>
      <c r="D46" t="s">
        <v>363</v>
      </c>
      <c r="E46" t="s">
        <v>247</v>
      </c>
      <c r="F46" t="n">
        <v>26533.1</v>
      </c>
      <c r="G46" t="n">
        <v>28894.6</v>
      </c>
      <c r="H46" t="n">
        <v>31008</v>
      </c>
      <c r="I46" t="n">
        <v>33152.8</v>
      </c>
      <c r="J46" t="n">
        <v>35419.1</v>
      </c>
      <c r="K46" t="n">
        <v>39255.5</v>
      </c>
      <c r="L46" t="n">
        <v>42950.1</v>
      </c>
      <c r="M46" t="n">
        <v>45960.9</v>
      </c>
      <c r="N46" t="n">
        <v>47542.9</v>
      </c>
      <c r="O46" t="n">
        <v>49960.2</v>
      </c>
      <c r="P46" t="n">
        <v>52588.6</v>
      </c>
      <c r="Q46" t="n">
        <v>55163.6</v>
      </c>
      <c r="R46" t="n">
        <v>59056.1</v>
      </c>
      <c r="S46" t="n">
        <v>63233.4</v>
      </c>
      <c r="T46" t="n">
        <v>62729.8</v>
      </c>
      <c r="U46" t="n">
        <v>64613.6</v>
      </c>
      <c r="V46" t="n">
        <v>64560.2</v>
      </c>
      <c r="W46" t="n">
        <v>65954.9</v>
      </c>
      <c r="X46" t="n">
        <v>64099.4</v>
      </c>
      <c r="Y46" t="n">
        <v>62560.9</v>
      </c>
      <c r="Z46" t="n">
        <v>62752.3</v>
      </c>
      <c r="AA46" t="n">
        <v>62790.1</v>
      </c>
      <c r="AB46" t="n">
        <v>65927.8</v>
      </c>
      <c r="AC46" t="n">
        <v>68320</v>
      </c>
      <c r="AD46" t="n">
        <v>71393.8</v>
      </c>
      <c r="AE46" t="n">
        <v>71166.6</v>
      </c>
      <c r="AF46" t="n">
        <v>74288.1</v>
      </c>
    </row>
    <row r="47">
      <c r="A47" t="s">
        <v>115</v>
      </c>
      <c r="B47" t="s">
        <v>364</v>
      </c>
      <c r="C47" t="s">
        <v>246</v>
      </c>
      <c r="D47" t="s">
        <v>365</v>
      </c>
      <c r="E47" t="s">
        <v>247</v>
      </c>
      <c r="F47" t="n">
        <v>362075.4</v>
      </c>
      <c r="G47" t="n">
        <v>375025.2</v>
      </c>
      <c r="H47" t="n">
        <v>391232.3</v>
      </c>
      <c r="I47" t="n">
        <v>406921.1</v>
      </c>
      <c r="J47" t="n">
        <v>417692.1</v>
      </c>
      <c r="K47" t="n">
        <v>440528.7</v>
      </c>
      <c r="L47" t="n">
        <v>460508.8</v>
      </c>
      <c r="M47" t="n">
        <v>485183.8</v>
      </c>
      <c r="N47" t="n">
        <v>507279.2</v>
      </c>
      <c r="O47" t="n">
        <v>539353.7</v>
      </c>
      <c r="P47" t="n">
        <v>569614.1</v>
      </c>
      <c r="Q47" t="n">
        <v>595353.1</v>
      </c>
      <c r="R47" t="n">
        <v>622305.4</v>
      </c>
      <c r="S47" t="n">
        <v>651003.3</v>
      </c>
      <c r="T47" t="n">
        <v>669883.9</v>
      </c>
      <c r="U47" t="n">
        <v>693305.1</v>
      </c>
      <c r="V47" t="n">
        <v>723769.2</v>
      </c>
      <c r="W47" t="n">
        <v>725156.9</v>
      </c>
      <c r="X47" t="n">
        <v>717427</v>
      </c>
      <c r="Y47" t="n">
        <v>709516.1</v>
      </c>
      <c r="Z47" t="n">
        <v>703038.1</v>
      </c>
      <c r="AA47" t="n">
        <v>697170</v>
      </c>
      <c r="AB47" t="n">
        <v>695555.9</v>
      </c>
      <c r="AC47" t="n">
        <v>697791.5</v>
      </c>
      <c r="AD47" t="n">
        <v>693722.2</v>
      </c>
      <c r="AE47" t="n">
        <v>691137.7</v>
      </c>
      <c r="AF47" t="n">
        <v>719874.1</v>
      </c>
    </row>
    <row r="48">
      <c r="A48" t="s">
        <v>115</v>
      </c>
      <c r="B48" t="s">
        <v>366</v>
      </c>
      <c r="C48" t="s">
        <v>246</v>
      </c>
      <c r="D48" t="s">
        <v>367</v>
      </c>
      <c r="E48" t="s">
        <v>247</v>
      </c>
      <c r="F48" t="n">
        <v>415511.5</v>
      </c>
      <c r="G48" t="n">
        <v>431094.4</v>
      </c>
      <c r="H48" t="n">
        <v>450430.5</v>
      </c>
      <c r="I48" t="n">
        <v>469687.3</v>
      </c>
      <c r="J48" t="n">
        <v>483354.6</v>
      </c>
      <c r="K48" t="n">
        <v>511495.4</v>
      </c>
      <c r="L48" t="n">
        <v>536510</v>
      </c>
      <c r="M48" t="n">
        <v>567087.9</v>
      </c>
      <c r="N48" t="n">
        <v>594291.5</v>
      </c>
      <c r="O48" t="n">
        <v>632384.1</v>
      </c>
      <c r="P48" t="n">
        <v>668868.3</v>
      </c>
      <c r="Q48" t="n">
        <v>701598.2</v>
      </c>
      <c r="R48" t="n">
        <v>735295.2</v>
      </c>
      <c r="S48" t="n">
        <v>769405.9</v>
      </c>
      <c r="T48" t="n">
        <v>793145.2</v>
      </c>
      <c r="U48" t="n">
        <v>822083.1</v>
      </c>
      <c r="V48" t="n">
        <v>857494.5</v>
      </c>
      <c r="W48" t="n">
        <v>859383</v>
      </c>
      <c r="X48" t="n">
        <v>849162.9</v>
      </c>
      <c r="Y48" t="n">
        <v>839182.9</v>
      </c>
      <c r="Z48" t="n">
        <v>830486.1</v>
      </c>
      <c r="AA48" t="n">
        <v>822501.4</v>
      </c>
      <c r="AB48" t="n">
        <v>820290.8</v>
      </c>
      <c r="AC48" t="n">
        <v>822341.3</v>
      </c>
      <c r="AD48" t="n">
        <v>818168.8</v>
      </c>
      <c r="AE48" t="n">
        <v>816149.3</v>
      </c>
      <c r="AF48" t="n">
        <v>850252.9</v>
      </c>
    </row>
    <row r="49">
      <c r="A49" t="s">
        <v>115</v>
      </c>
      <c r="B49" t="s">
        <v>368</v>
      </c>
      <c r="C49" t="s">
        <v>246</v>
      </c>
      <c r="D49" t="s">
        <v>369</v>
      </c>
      <c r="E49" t="s">
        <v>247</v>
      </c>
      <c r="F49" t="n">
        <v>17821.1</v>
      </c>
      <c r="G49" t="n">
        <v>18807.9</v>
      </c>
      <c r="H49" t="n">
        <v>19903.7</v>
      </c>
      <c r="I49" t="n">
        <v>21107.8</v>
      </c>
      <c r="J49" t="n">
        <v>21990.3</v>
      </c>
      <c r="K49" t="n">
        <v>23466.4</v>
      </c>
      <c r="L49" t="n">
        <v>24852.5</v>
      </c>
      <c r="M49" t="n">
        <v>26744.7</v>
      </c>
      <c r="N49" t="n">
        <v>28118.8</v>
      </c>
      <c r="O49" t="n">
        <v>30005.1</v>
      </c>
      <c r="P49" t="n">
        <v>31687.1</v>
      </c>
      <c r="Q49" t="n">
        <v>33556</v>
      </c>
      <c r="R49" t="n">
        <v>35186</v>
      </c>
      <c r="S49" t="n">
        <v>36623.8</v>
      </c>
      <c r="T49" t="n">
        <v>37381.4</v>
      </c>
      <c r="U49" t="n">
        <v>38322.1</v>
      </c>
      <c r="V49" t="n">
        <v>39470.2</v>
      </c>
      <c r="W49" t="n">
        <v>39281.7</v>
      </c>
      <c r="X49" t="n">
        <v>38588</v>
      </c>
      <c r="Y49" t="n">
        <v>38249.1</v>
      </c>
      <c r="Z49" t="n">
        <v>37410.8</v>
      </c>
      <c r="AA49" t="n">
        <v>36616.4</v>
      </c>
      <c r="AB49" t="n">
        <v>36353.6</v>
      </c>
      <c r="AC49" t="n">
        <v>36375.7</v>
      </c>
      <c r="AD49" t="n">
        <v>35872.6</v>
      </c>
      <c r="AE49" t="n">
        <v>35925.9</v>
      </c>
      <c r="AF49" t="n">
        <v>37517</v>
      </c>
    </row>
    <row r="50">
      <c r="A50" t="s">
        <v>115</v>
      </c>
      <c r="B50" t="s">
        <v>370</v>
      </c>
      <c r="C50" t="s">
        <v>246</v>
      </c>
      <c r="D50" t="s">
        <v>371</v>
      </c>
      <c r="E50" t="s">
        <v>247</v>
      </c>
      <c r="F50" t="n">
        <v>35615.1</v>
      </c>
      <c r="G50" t="n">
        <v>37261.4</v>
      </c>
      <c r="H50" t="n">
        <v>39294.4</v>
      </c>
      <c r="I50" t="n">
        <v>41658.5</v>
      </c>
      <c r="J50" t="n">
        <v>43672.2</v>
      </c>
      <c r="K50" t="n">
        <v>47500.3</v>
      </c>
      <c r="L50" t="n">
        <v>51148.7</v>
      </c>
      <c r="M50" t="n">
        <v>55159.4</v>
      </c>
      <c r="N50" t="n">
        <v>58893.5</v>
      </c>
      <c r="O50" t="n">
        <v>63025.3</v>
      </c>
      <c r="P50" t="n">
        <v>67567.2</v>
      </c>
      <c r="Q50" t="n">
        <v>72689.1</v>
      </c>
      <c r="R50" t="n">
        <v>77803.8</v>
      </c>
      <c r="S50" t="n">
        <v>81778.7</v>
      </c>
      <c r="T50" t="n">
        <v>85880</v>
      </c>
      <c r="U50" t="n">
        <v>90455.8</v>
      </c>
      <c r="V50" t="n">
        <v>94255.1</v>
      </c>
      <c r="W50" t="n">
        <v>94944.4</v>
      </c>
      <c r="X50" t="n">
        <v>93147.8</v>
      </c>
      <c r="Y50" t="n">
        <v>91417.7</v>
      </c>
      <c r="Z50" t="n">
        <v>90037.2</v>
      </c>
      <c r="AA50" t="n">
        <v>88715.1</v>
      </c>
      <c r="AB50" t="n">
        <v>88381.3</v>
      </c>
      <c r="AC50" t="n">
        <v>88174.1</v>
      </c>
      <c r="AD50" t="n">
        <v>88573.9</v>
      </c>
      <c r="AE50" t="n">
        <v>89085.8</v>
      </c>
      <c r="AF50" t="n">
        <v>92861.8</v>
      </c>
    </row>
    <row r="51">
      <c r="A51" t="s">
        <v>115</v>
      </c>
      <c r="B51" t="s">
        <v>372</v>
      </c>
      <c r="C51" t="s">
        <v>246</v>
      </c>
      <c r="D51" t="s">
        <v>373</v>
      </c>
      <c r="E51" t="s">
        <v>247</v>
      </c>
      <c r="F51" t="n">
        <v>30995.9</v>
      </c>
      <c r="G51" t="n">
        <v>32482.3</v>
      </c>
      <c r="H51" t="n">
        <v>34303.1</v>
      </c>
      <c r="I51" t="n">
        <v>36462.2</v>
      </c>
      <c r="J51" t="n">
        <v>38334.2</v>
      </c>
      <c r="K51" t="n">
        <v>41833.2</v>
      </c>
      <c r="L51" t="n">
        <v>45159.9</v>
      </c>
      <c r="M51" t="n">
        <v>48911.2</v>
      </c>
      <c r="N51" t="n">
        <v>52424</v>
      </c>
      <c r="O51" t="n">
        <v>56168.4</v>
      </c>
      <c r="P51" t="n">
        <v>60358.5</v>
      </c>
      <c r="Q51" t="n">
        <v>65133.3</v>
      </c>
      <c r="R51" t="n">
        <v>69825.7</v>
      </c>
      <c r="S51" t="n">
        <v>73543.6</v>
      </c>
      <c r="T51" t="n">
        <v>77471.5</v>
      </c>
      <c r="U51" t="n">
        <v>81791.9</v>
      </c>
      <c r="V51" t="n">
        <v>85234.4</v>
      </c>
      <c r="W51" t="n">
        <v>85786.3</v>
      </c>
      <c r="X51" t="n">
        <v>83867.3</v>
      </c>
      <c r="Y51" t="n">
        <v>82163.2</v>
      </c>
      <c r="Z51" t="n">
        <v>80905.9</v>
      </c>
      <c r="AA51" t="n">
        <v>79586.6</v>
      </c>
      <c r="AB51" t="n">
        <v>79042.5</v>
      </c>
      <c r="AC51" t="n">
        <v>78772.2</v>
      </c>
      <c r="AD51" t="n">
        <v>78751.4</v>
      </c>
      <c r="AE51" t="n">
        <v>78778.1</v>
      </c>
      <c r="AF51"/>
    </row>
    <row r="52">
      <c r="A52" t="s">
        <v>115</v>
      </c>
      <c r="B52" t="s">
        <v>374</v>
      </c>
      <c r="C52" t="s">
        <v>246</v>
      </c>
      <c r="D52" t="s">
        <v>375</v>
      </c>
      <c r="E52" t="s">
        <v>247</v>
      </c>
      <c r="F52" t="n">
        <v>4619.2</v>
      </c>
      <c r="G52" t="n">
        <v>4779.1</v>
      </c>
      <c r="H52" t="n">
        <v>4991.3</v>
      </c>
      <c r="I52" t="n">
        <v>5196.3</v>
      </c>
      <c r="J52" t="n">
        <v>5338</v>
      </c>
      <c r="K52" t="n">
        <v>5667.1</v>
      </c>
      <c r="L52" t="n">
        <v>5988.8</v>
      </c>
      <c r="M52" t="n">
        <v>6248.2</v>
      </c>
      <c r="N52" t="n">
        <v>6469.5</v>
      </c>
      <c r="O52" t="n">
        <v>6856.9</v>
      </c>
      <c r="P52" t="n">
        <v>7208.7</v>
      </c>
      <c r="Q52" t="n">
        <v>7555.8</v>
      </c>
      <c r="R52" t="n">
        <v>7978.1</v>
      </c>
      <c r="S52" t="n">
        <v>8235.1</v>
      </c>
      <c r="T52" t="n">
        <v>8408.5</v>
      </c>
      <c r="U52" t="n">
        <v>8663.9</v>
      </c>
      <c r="V52" t="n">
        <v>9020.7</v>
      </c>
      <c r="W52" t="n">
        <v>9158.1</v>
      </c>
      <c r="X52" t="n">
        <v>9280.5</v>
      </c>
      <c r="Y52" t="n">
        <v>9254.5</v>
      </c>
      <c r="Z52" t="n">
        <v>9131.3</v>
      </c>
      <c r="AA52" t="n">
        <v>9128.5</v>
      </c>
      <c r="AB52" t="n">
        <v>9338.8</v>
      </c>
      <c r="AC52" t="n">
        <v>9401.9</v>
      </c>
      <c r="AD52" t="n">
        <v>9822.5</v>
      </c>
      <c r="AE52" t="n">
        <v>10307.7</v>
      </c>
      <c r="AF52"/>
    </row>
    <row r="53">
      <c r="A53" t="s">
        <v>115</v>
      </c>
      <c r="B53" t="s">
        <v>376</v>
      </c>
      <c r="C53" t="s">
        <v>246</v>
      </c>
      <c r="D53" t="s">
        <v>377</v>
      </c>
      <c r="E53" t="s">
        <v>247</v>
      </c>
      <c r="F53" t="n">
        <v>14667.3</v>
      </c>
      <c r="G53" t="n">
        <v>15766.3</v>
      </c>
      <c r="H53" t="n">
        <v>16979.5</v>
      </c>
      <c r="I53" t="n">
        <v>18266</v>
      </c>
      <c r="J53" t="n">
        <v>19281.1</v>
      </c>
      <c r="K53" t="n">
        <v>20652.4</v>
      </c>
      <c r="L53" t="n">
        <v>22119.7</v>
      </c>
      <c r="M53" t="n">
        <v>23842.8</v>
      </c>
      <c r="N53" t="n">
        <v>24969.1</v>
      </c>
      <c r="O53" t="n">
        <v>26313.7</v>
      </c>
      <c r="P53" t="n">
        <v>28028.4</v>
      </c>
      <c r="Q53" t="n">
        <v>29505.3</v>
      </c>
      <c r="R53" t="n">
        <v>31101.9</v>
      </c>
      <c r="S53" t="n">
        <v>32123.2</v>
      </c>
      <c r="T53" t="n">
        <v>33332.4</v>
      </c>
      <c r="U53" t="n">
        <v>33491.2</v>
      </c>
      <c r="V53" t="n">
        <v>33948.2</v>
      </c>
      <c r="W53" t="n">
        <v>33943.7</v>
      </c>
      <c r="X53" t="n">
        <v>33340.2</v>
      </c>
      <c r="Y53" t="n">
        <v>32980.3</v>
      </c>
      <c r="Z53" t="n">
        <v>34183.9</v>
      </c>
      <c r="AA53" t="n">
        <v>33707</v>
      </c>
      <c r="AB53" t="n">
        <v>33976.4</v>
      </c>
      <c r="AC53" t="n">
        <v>33934.4</v>
      </c>
      <c r="AD53" t="n">
        <v>34143.6</v>
      </c>
      <c r="AE53" t="n">
        <v>33890.3</v>
      </c>
      <c r="AF53" t="n">
        <v>35209.2</v>
      </c>
    </row>
    <row r="54">
      <c r="A54" t="s">
        <v>115</v>
      </c>
      <c r="B54" t="s">
        <v>378</v>
      </c>
      <c r="C54" t="s">
        <v>246</v>
      </c>
      <c r="D54" t="s">
        <v>379</v>
      </c>
      <c r="E54" t="s">
        <v>247</v>
      </c>
      <c r="F54" t="n">
        <v>21507.9</v>
      </c>
      <c r="G54" t="n">
        <v>23250.2</v>
      </c>
      <c r="H54" t="n">
        <v>25122.8</v>
      </c>
      <c r="I54" t="n">
        <v>27150.3</v>
      </c>
      <c r="J54" t="n">
        <v>28760.9</v>
      </c>
      <c r="K54" t="n">
        <v>31040.1</v>
      </c>
      <c r="L54" t="n">
        <v>33415</v>
      </c>
      <c r="M54" t="n">
        <v>36149.1</v>
      </c>
      <c r="N54" t="n">
        <v>38194.9</v>
      </c>
      <c r="O54" t="n">
        <v>40458.5</v>
      </c>
      <c r="P54" t="n">
        <v>43209.9</v>
      </c>
      <c r="Q54" t="n">
        <v>45786.4</v>
      </c>
      <c r="R54" t="n">
        <v>48433</v>
      </c>
      <c r="S54" t="n">
        <v>50672.1</v>
      </c>
      <c r="T54" t="n">
        <v>52152.1</v>
      </c>
      <c r="U54" t="n">
        <v>53098.3</v>
      </c>
      <c r="V54" t="n">
        <v>54526.7</v>
      </c>
      <c r="W54" t="n">
        <v>54721.7</v>
      </c>
      <c r="X54" t="n">
        <v>53665.9</v>
      </c>
      <c r="Y54" t="n">
        <v>53439.7</v>
      </c>
      <c r="Z54" t="n">
        <v>54545.5</v>
      </c>
      <c r="AA54" t="n">
        <v>53991</v>
      </c>
      <c r="AB54" t="n">
        <v>55041.5</v>
      </c>
      <c r="AC54" t="n">
        <v>55010.5</v>
      </c>
      <c r="AD54" t="n">
        <v>55229.3</v>
      </c>
      <c r="AE54" t="n">
        <v>54557.4</v>
      </c>
      <c r="AF54" t="n">
        <v>56633.1</v>
      </c>
    </row>
    <row r="55">
      <c r="A55" t="s">
        <v>115</v>
      </c>
      <c r="B55" t="s">
        <v>380</v>
      </c>
      <c r="C55" t="s">
        <v>246</v>
      </c>
      <c r="D55" t="s">
        <v>381</v>
      </c>
      <c r="E55" t="s">
        <v>247</v>
      </c>
      <c r="F55" t="n">
        <v>6840.6</v>
      </c>
      <c r="G55" t="n">
        <v>7483.9</v>
      </c>
      <c r="H55" t="n">
        <v>8143.3</v>
      </c>
      <c r="I55" t="n">
        <v>8884.3</v>
      </c>
      <c r="J55" t="n">
        <v>9479.8</v>
      </c>
      <c r="K55" t="n">
        <v>10387.7</v>
      </c>
      <c r="L55" t="n">
        <v>11295.3</v>
      </c>
      <c r="M55" t="n">
        <v>12306.3</v>
      </c>
      <c r="N55" t="n">
        <v>13225.8</v>
      </c>
      <c r="O55" t="n">
        <v>14144.8</v>
      </c>
      <c r="P55" t="n">
        <v>15181.5</v>
      </c>
      <c r="Q55" t="n">
        <v>16281.1</v>
      </c>
      <c r="R55" t="n">
        <v>17331.1</v>
      </c>
      <c r="S55" t="n">
        <v>18548.9</v>
      </c>
      <c r="T55" t="n">
        <v>18819.7</v>
      </c>
      <c r="U55" t="n">
        <v>19607.1</v>
      </c>
      <c r="V55" t="n">
        <v>20578.5</v>
      </c>
      <c r="W55" t="n">
        <v>20778</v>
      </c>
      <c r="X55" t="n">
        <v>20325.7</v>
      </c>
      <c r="Y55" t="n">
        <v>20459.4</v>
      </c>
      <c r="Z55" t="n">
        <v>20361.6</v>
      </c>
      <c r="AA55" t="n">
        <v>20284</v>
      </c>
      <c r="AB55" t="n">
        <v>21065.1</v>
      </c>
      <c r="AC55" t="n">
        <v>21076.1</v>
      </c>
      <c r="AD55" t="n">
        <v>21085.7</v>
      </c>
      <c r="AE55" t="n">
        <v>20667.1</v>
      </c>
      <c r="AF55" t="n">
        <v>21423.9</v>
      </c>
    </row>
    <row r="56">
      <c r="A56" t="s">
        <v>115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115</v>
      </c>
      <c r="B57" t="s">
        <v>384</v>
      </c>
      <c r="C57" t="s">
        <v>246</v>
      </c>
      <c r="D57" t="s">
        <v>385</v>
      </c>
      <c r="E57" t="s">
        <v>247</v>
      </c>
      <c r="F57" t="n">
        <v>2858147.3</v>
      </c>
      <c r="G57" t="n">
        <v>2978318.2</v>
      </c>
      <c r="H57" t="n">
        <v>3111030.9</v>
      </c>
      <c r="I57" t="n">
        <v>3235222.9</v>
      </c>
      <c r="J57" t="n">
        <v>3331649.8</v>
      </c>
      <c r="K57" t="n">
        <v>3522738.1</v>
      </c>
      <c r="L57" t="n">
        <v>3685298.5</v>
      </c>
      <c r="M57" t="n">
        <v>3896238</v>
      </c>
      <c r="N57" t="n">
        <v>4060088.6</v>
      </c>
      <c r="O57" t="n">
        <v>4288240.5</v>
      </c>
      <c r="P57" t="n">
        <v>4536748.9</v>
      </c>
      <c r="Q57" t="n">
        <v>4772489.5</v>
      </c>
      <c r="R57" t="n">
        <v>5035396.7</v>
      </c>
      <c r="S57" t="n">
        <v>5283244.9</v>
      </c>
      <c r="T57" t="n">
        <v>5406957.8</v>
      </c>
      <c r="U57" t="n">
        <v>5577289.6</v>
      </c>
      <c r="V57" t="n">
        <v>5792215.8</v>
      </c>
      <c r="W57" t="n">
        <v>5867916.4</v>
      </c>
      <c r="X57" t="n">
        <v>5848299.8</v>
      </c>
      <c r="Y57" t="n">
        <v>5830555.5</v>
      </c>
      <c r="Z57" t="n">
        <v>5841396.4</v>
      </c>
      <c r="AA57" t="n">
        <v>5849623.4</v>
      </c>
      <c r="AB57" t="n">
        <v>5905459.3</v>
      </c>
      <c r="AC57" t="n">
        <v>6006497.8</v>
      </c>
      <c r="AD57" t="n">
        <v>6039009.2</v>
      </c>
      <c r="AE57" t="n">
        <v>6054709.1</v>
      </c>
      <c r="AF57" t="n">
        <v>6410595.3</v>
      </c>
    </row>
    <row r="58">
      <c r="A58" t="s">
        <v>115</v>
      </c>
      <c r="B58" t="s">
        <v>386</v>
      </c>
      <c r="C58" t="s">
        <v>246</v>
      </c>
      <c r="D58" t="s">
        <v>387</v>
      </c>
      <c r="E58" t="s">
        <v>247</v>
      </c>
      <c r="F58" t="n">
        <v>2858147.3</v>
      </c>
      <c r="G58" t="n">
        <v>2978318.2</v>
      </c>
      <c r="H58" t="n">
        <v>3111030.9</v>
      </c>
      <c r="I58" t="n">
        <v>3235222.9</v>
      </c>
      <c r="J58" t="n">
        <v>3331649.8</v>
      </c>
      <c r="K58" t="n">
        <v>3522738.1</v>
      </c>
      <c r="L58" t="n">
        <v>3685298.5</v>
      </c>
      <c r="M58" t="n">
        <v>3896238</v>
      </c>
      <c r="N58" t="n">
        <v>4060088.6</v>
      </c>
      <c r="O58" t="n">
        <v>4288240.5</v>
      </c>
      <c r="P58" t="n">
        <v>4536748.9</v>
      </c>
      <c r="Q58" t="n">
        <v>4772489.5</v>
      </c>
      <c r="R58" t="n">
        <v>5035396.7</v>
      </c>
      <c r="S58" t="n">
        <v>5283244.9</v>
      </c>
      <c r="T58" t="n">
        <v>5406957.8</v>
      </c>
      <c r="U58" t="n">
        <v>5577289.6</v>
      </c>
      <c r="V58" t="n">
        <v>5792215.8</v>
      </c>
      <c r="W58" t="n">
        <v>5867916.4</v>
      </c>
      <c r="X58" t="n">
        <v>5848299.8</v>
      </c>
      <c r="Y58" t="n">
        <v>5830555.5</v>
      </c>
      <c r="Z58" t="n">
        <v>5841396.4</v>
      </c>
      <c r="AA58" t="n">
        <v>5849623.4</v>
      </c>
      <c r="AB58" t="n">
        <v>5905459.3</v>
      </c>
      <c r="AC58" t="n">
        <v>6006497.8</v>
      </c>
      <c r="AD58" t="n">
        <v>6039009.2</v>
      </c>
      <c r="AE58" t="n">
        <v>6054709.1</v>
      </c>
      <c r="AF58" t="n">
        <v>6410595.3</v>
      </c>
    </row>
    <row r="59">
      <c r="A59" t="s">
        <v>115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118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71.8</v>
      </c>
      <c r="H2" t="n">
        <v>66.5</v>
      </c>
      <c r="I2" t="n">
        <v>75.7</v>
      </c>
      <c r="J2" t="n">
        <v>78.9</v>
      </c>
      <c r="K2" t="n">
        <v>87.7</v>
      </c>
      <c r="L2" t="n">
        <v>102.5</v>
      </c>
      <c r="M2" t="n">
        <v>106.3</v>
      </c>
      <c r="N2" t="n">
        <v>118.8</v>
      </c>
      <c r="O2" t="n">
        <v>123</v>
      </c>
      <c r="P2" t="n">
        <v>125.1</v>
      </c>
      <c r="Q2" t="n">
        <v>128.5</v>
      </c>
      <c r="R2" t="n">
        <v>130.5</v>
      </c>
      <c r="S2" t="n">
        <v>128.3</v>
      </c>
      <c r="T2" t="n">
        <v>129.9</v>
      </c>
      <c r="U2" t="n">
        <v>127.5</v>
      </c>
      <c r="V2" t="n">
        <v>123.9</v>
      </c>
      <c r="W2" t="n">
        <v>111.6</v>
      </c>
      <c r="X2" t="n">
        <v>103.3</v>
      </c>
      <c r="Y2" t="n">
        <v>88.7</v>
      </c>
      <c r="Z2" t="n">
        <v>79.5</v>
      </c>
      <c r="AA2" t="n">
        <v>81.2</v>
      </c>
      <c r="AB2" t="n">
        <v>82.6</v>
      </c>
      <c r="AC2" t="n">
        <v>81.3</v>
      </c>
      <c r="AD2" t="n">
        <v>82.3</v>
      </c>
      <c r="AE2" t="n">
        <v>85.2</v>
      </c>
      <c r="AF2" t="n">
        <v>92.4</v>
      </c>
    </row>
    <row r="3">
      <c r="A3" t="s">
        <v>118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40.3</v>
      </c>
      <c r="H3" t="n">
        <v>265.1</v>
      </c>
      <c r="I3" t="n">
        <v>238.2</v>
      </c>
      <c r="J3" t="n">
        <v>201.6</v>
      </c>
      <c r="K3" t="n">
        <v>206.8</v>
      </c>
      <c r="L3" t="n">
        <v>222.4</v>
      </c>
      <c r="M3" t="n">
        <v>199.5</v>
      </c>
      <c r="N3" t="n">
        <v>176.2</v>
      </c>
      <c r="O3" t="n">
        <v>156.2</v>
      </c>
      <c r="P3" t="n">
        <v>136.7</v>
      </c>
      <c r="Q3" t="n">
        <v>135.1</v>
      </c>
      <c r="R3" t="n">
        <v>133</v>
      </c>
      <c r="S3" t="n">
        <v>115</v>
      </c>
      <c r="T3" t="n">
        <v>100.1</v>
      </c>
      <c r="U3" t="n">
        <v>106.6</v>
      </c>
      <c r="V3" t="n">
        <v>108.2</v>
      </c>
      <c r="W3" t="n">
        <v>102.5</v>
      </c>
      <c r="X3" t="n">
        <v>91.3</v>
      </c>
      <c r="Y3" t="n">
        <v>163.4</v>
      </c>
      <c r="Z3" t="n">
        <v>140</v>
      </c>
      <c r="AA3" t="n">
        <v>124.5</v>
      </c>
      <c r="AB3" t="n">
        <v>112.6</v>
      </c>
      <c r="AC3" t="n">
        <v>96.9</v>
      </c>
      <c r="AD3" t="n">
        <v>117.2</v>
      </c>
      <c r="AE3" t="n">
        <v>126.2</v>
      </c>
      <c r="AF3" t="n">
        <v>125.4</v>
      </c>
    </row>
    <row r="4">
      <c r="A4" t="s">
        <v>118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2265.7</v>
      </c>
      <c r="H4" t="n">
        <v>2342.8</v>
      </c>
      <c r="I4" t="n">
        <v>2612.3</v>
      </c>
      <c r="J4" t="n">
        <v>2722.4</v>
      </c>
      <c r="K4" t="n">
        <v>3017.6</v>
      </c>
      <c r="L4" t="n">
        <v>3608.8</v>
      </c>
      <c r="M4" t="n">
        <v>3768.6</v>
      </c>
      <c r="N4" t="n">
        <v>3867.8</v>
      </c>
      <c r="O4" t="n">
        <v>3868</v>
      </c>
      <c r="P4" t="n">
        <v>3869.3</v>
      </c>
      <c r="Q4" t="n">
        <v>3938.4</v>
      </c>
      <c r="R4" t="n">
        <v>4057.2</v>
      </c>
      <c r="S4" t="n">
        <v>4034.3</v>
      </c>
      <c r="T4" t="n">
        <v>3586.6</v>
      </c>
      <c r="U4" t="n">
        <v>3689.3</v>
      </c>
      <c r="V4" t="n">
        <v>3612.6</v>
      </c>
      <c r="W4" t="n">
        <v>3601</v>
      </c>
      <c r="X4" t="n">
        <v>3645.4</v>
      </c>
      <c r="Y4" t="n">
        <v>3457.4</v>
      </c>
      <c r="Z4" t="n">
        <v>3417.2</v>
      </c>
      <c r="AA4" t="n">
        <v>3669.6</v>
      </c>
      <c r="AB4" t="n">
        <v>4041.3</v>
      </c>
      <c r="AC4" t="n">
        <v>4204.6</v>
      </c>
      <c r="AD4" t="n">
        <v>4308.6</v>
      </c>
      <c r="AE4" t="n">
        <v>4428.8</v>
      </c>
      <c r="AF4" t="n">
        <v>4513.5</v>
      </c>
    </row>
    <row r="5">
      <c r="A5" t="s">
        <v>118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264.3</v>
      </c>
      <c r="H5" t="n">
        <v>275.8</v>
      </c>
      <c r="I5" t="n">
        <v>313.8</v>
      </c>
      <c r="J5" t="n">
        <v>361.7</v>
      </c>
      <c r="K5" t="n">
        <v>397.5</v>
      </c>
      <c r="L5" t="n">
        <v>474.3</v>
      </c>
      <c r="M5" t="n">
        <v>498</v>
      </c>
      <c r="N5" t="n">
        <v>515.9</v>
      </c>
      <c r="O5" t="n">
        <v>518.1</v>
      </c>
      <c r="P5" t="n">
        <v>517.1</v>
      </c>
      <c r="Q5" t="n">
        <v>531.5</v>
      </c>
      <c r="R5" t="n">
        <v>547.9</v>
      </c>
      <c r="S5" t="n">
        <v>564.6</v>
      </c>
      <c r="T5" t="n">
        <v>524.5</v>
      </c>
      <c r="U5" t="n">
        <v>537.9</v>
      </c>
      <c r="V5" t="n">
        <v>524.4</v>
      </c>
      <c r="W5" t="n">
        <v>524.3</v>
      </c>
      <c r="X5" t="n">
        <v>503.9</v>
      </c>
      <c r="Y5" t="n">
        <v>478.8</v>
      </c>
      <c r="Z5" t="n">
        <v>464.8</v>
      </c>
      <c r="AA5" t="n">
        <v>512.9</v>
      </c>
      <c r="AB5" t="n">
        <v>565.8</v>
      </c>
      <c r="AC5" t="n">
        <v>521</v>
      </c>
      <c r="AD5" t="n">
        <v>609.2</v>
      </c>
      <c r="AE5" t="n">
        <v>672.6</v>
      </c>
      <c r="AF5"/>
    </row>
    <row r="6">
      <c r="A6" t="s">
        <v>118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136.5</v>
      </c>
      <c r="H6" t="n">
        <v>128.5</v>
      </c>
      <c r="I6" t="n">
        <v>162.5</v>
      </c>
      <c r="J6" t="n">
        <v>173.3</v>
      </c>
      <c r="K6" t="n">
        <v>199.1</v>
      </c>
      <c r="L6" t="n">
        <v>242.5</v>
      </c>
      <c r="M6" t="n">
        <v>250.9</v>
      </c>
      <c r="N6" t="n">
        <v>262.9</v>
      </c>
      <c r="O6" t="n">
        <v>261.4</v>
      </c>
      <c r="P6" t="n">
        <v>265</v>
      </c>
      <c r="Q6" t="n">
        <v>272.7</v>
      </c>
      <c r="R6" t="n">
        <v>278.8</v>
      </c>
      <c r="S6" t="n">
        <v>260.9</v>
      </c>
      <c r="T6" t="n">
        <v>240.3</v>
      </c>
      <c r="U6" t="n">
        <v>248</v>
      </c>
      <c r="V6" t="n">
        <v>243.7</v>
      </c>
      <c r="W6" t="n">
        <v>271.4</v>
      </c>
      <c r="X6" t="n">
        <v>286.5</v>
      </c>
      <c r="Y6" t="n">
        <v>279</v>
      </c>
      <c r="Z6" t="n">
        <v>277.2</v>
      </c>
      <c r="AA6" t="n">
        <v>296.3</v>
      </c>
      <c r="AB6" t="n">
        <v>297.5</v>
      </c>
      <c r="AC6" t="n">
        <v>309</v>
      </c>
      <c r="AD6" t="n">
        <v>315.1</v>
      </c>
      <c r="AE6" t="n">
        <v>317.9</v>
      </c>
      <c r="AF6"/>
    </row>
    <row r="7">
      <c r="A7" t="s">
        <v>118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525.1</v>
      </c>
      <c r="H7" t="n">
        <v>440.3</v>
      </c>
      <c r="I7" t="n">
        <v>393.3</v>
      </c>
      <c r="J7" t="n">
        <v>382.5</v>
      </c>
      <c r="K7" t="n">
        <v>392.2</v>
      </c>
      <c r="L7" t="n">
        <v>455.8</v>
      </c>
      <c r="M7" t="n">
        <v>473.6</v>
      </c>
      <c r="N7" t="n">
        <v>485.4</v>
      </c>
      <c r="O7" t="n">
        <v>479.2</v>
      </c>
      <c r="P7" t="n">
        <v>489.6</v>
      </c>
      <c r="Q7" t="n">
        <v>470.9</v>
      </c>
      <c r="R7" t="n">
        <v>496.6</v>
      </c>
      <c r="S7" t="n">
        <v>478.3</v>
      </c>
      <c r="T7" t="n">
        <v>430.2</v>
      </c>
      <c r="U7" t="n">
        <v>443.2</v>
      </c>
      <c r="V7" t="n">
        <v>435</v>
      </c>
      <c r="W7" t="n">
        <v>396.8</v>
      </c>
      <c r="X7" t="n">
        <v>409.7</v>
      </c>
      <c r="Y7" t="n">
        <v>357.5</v>
      </c>
      <c r="Z7" t="n">
        <v>329.4</v>
      </c>
      <c r="AA7" t="n">
        <v>364.8</v>
      </c>
      <c r="AB7" t="n">
        <v>372.1</v>
      </c>
      <c r="AC7" t="n">
        <v>386.4</v>
      </c>
      <c r="AD7" t="n">
        <v>382.2</v>
      </c>
      <c r="AE7" t="n">
        <v>387.8</v>
      </c>
      <c r="AF7"/>
    </row>
    <row r="8">
      <c r="A8" t="s">
        <v>118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5.9</v>
      </c>
      <c r="H8" t="n">
        <v>8.3</v>
      </c>
      <c r="I8" t="n">
        <v>7.8</v>
      </c>
      <c r="J8" t="n">
        <v>7.7</v>
      </c>
      <c r="K8" t="n">
        <v>11.8</v>
      </c>
      <c r="L8" t="n">
        <v>15.4</v>
      </c>
      <c r="M8" t="n">
        <v>16.2</v>
      </c>
      <c r="N8" t="n">
        <v>16.8</v>
      </c>
      <c r="O8" t="n">
        <v>16.4</v>
      </c>
      <c r="P8" t="n">
        <v>14.7</v>
      </c>
      <c r="Q8" t="n">
        <v>15.5</v>
      </c>
      <c r="R8" t="n">
        <v>16.4</v>
      </c>
      <c r="S8" t="n">
        <v>26.6</v>
      </c>
      <c r="T8" t="n">
        <v>22.3</v>
      </c>
      <c r="U8" t="n">
        <v>21.8</v>
      </c>
      <c r="V8" t="n">
        <v>20.2</v>
      </c>
      <c r="W8" t="n">
        <v>18.2</v>
      </c>
      <c r="X8" t="n">
        <v>20.8</v>
      </c>
      <c r="Y8" t="n">
        <v>21.6</v>
      </c>
      <c r="Z8" t="n">
        <v>18.4</v>
      </c>
      <c r="AA8" t="n">
        <v>16.2</v>
      </c>
      <c r="AB8" t="n">
        <v>15.1</v>
      </c>
      <c r="AC8" t="n">
        <v>12.3</v>
      </c>
      <c r="AD8" t="n">
        <v>9.7</v>
      </c>
      <c r="AE8" t="n">
        <v>9</v>
      </c>
      <c r="AF8"/>
    </row>
    <row r="9">
      <c r="A9" t="s">
        <v>118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95.2</v>
      </c>
      <c r="H9" t="n">
        <v>98.9</v>
      </c>
      <c r="I9" t="n">
        <v>106.3</v>
      </c>
      <c r="J9" t="n">
        <v>110.5</v>
      </c>
      <c r="K9" t="n">
        <v>126.7</v>
      </c>
      <c r="L9" t="n">
        <v>165.7</v>
      </c>
      <c r="M9" t="n">
        <v>175.7</v>
      </c>
      <c r="N9" t="n">
        <v>180.5</v>
      </c>
      <c r="O9" t="n">
        <v>187.6</v>
      </c>
      <c r="P9" t="n">
        <v>185.6</v>
      </c>
      <c r="Q9" t="n">
        <v>193.2</v>
      </c>
      <c r="R9" t="n">
        <v>197.9</v>
      </c>
      <c r="S9" t="n">
        <v>188.5</v>
      </c>
      <c r="T9" t="n">
        <v>157.7</v>
      </c>
      <c r="U9" t="n">
        <v>163.2</v>
      </c>
      <c r="V9" t="n">
        <v>161</v>
      </c>
      <c r="W9" t="n">
        <v>151.5</v>
      </c>
      <c r="X9" t="n">
        <v>152.5</v>
      </c>
      <c r="Y9" t="n">
        <v>160.3</v>
      </c>
      <c r="Z9" t="n">
        <v>151.9</v>
      </c>
      <c r="AA9" t="n">
        <v>156.5</v>
      </c>
      <c r="AB9" t="n">
        <v>165.6</v>
      </c>
      <c r="AC9" t="n">
        <v>156.8</v>
      </c>
      <c r="AD9" t="n">
        <v>149.9</v>
      </c>
      <c r="AE9" t="n">
        <v>146.8</v>
      </c>
      <c r="AF9"/>
    </row>
    <row r="10">
      <c r="A10" t="s">
        <v>118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128.3</v>
      </c>
      <c r="H10" t="n">
        <v>128.5</v>
      </c>
      <c r="I10" t="n">
        <v>142.2</v>
      </c>
      <c r="J10" t="n">
        <v>150.7</v>
      </c>
      <c r="K10" t="n">
        <v>170.8</v>
      </c>
      <c r="L10" t="n">
        <v>219.8</v>
      </c>
      <c r="M10" t="n">
        <v>234.7</v>
      </c>
      <c r="N10" t="n">
        <v>238.9</v>
      </c>
      <c r="O10" t="n">
        <v>250.8</v>
      </c>
      <c r="P10" t="n">
        <v>244.5</v>
      </c>
      <c r="Q10" t="n">
        <v>256.8</v>
      </c>
      <c r="R10" t="n">
        <v>263.1</v>
      </c>
      <c r="S10" t="n">
        <v>246.6</v>
      </c>
      <c r="T10" t="n">
        <v>206</v>
      </c>
      <c r="U10" t="n">
        <v>213.4</v>
      </c>
      <c r="V10" t="n">
        <v>210.8</v>
      </c>
      <c r="W10" t="n">
        <v>212.2</v>
      </c>
      <c r="X10" t="n">
        <v>226.4</v>
      </c>
      <c r="Y10" t="n">
        <v>239.6</v>
      </c>
      <c r="Z10" t="n">
        <v>237.8</v>
      </c>
      <c r="AA10" t="n">
        <v>259.1</v>
      </c>
      <c r="AB10" t="n">
        <v>271.1</v>
      </c>
      <c r="AC10" t="n">
        <v>259.7</v>
      </c>
      <c r="AD10" t="n">
        <v>250</v>
      </c>
      <c r="AE10" t="n">
        <v>250</v>
      </c>
      <c r="AF10"/>
    </row>
    <row r="11">
      <c r="A11" t="s">
        <v>118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33.1</v>
      </c>
      <c r="H11" t="n">
        <v>29.6</v>
      </c>
      <c r="I11" t="n">
        <v>35.9</v>
      </c>
      <c r="J11" t="n">
        <v>40.2</v>
      </c>
      <c r="K11" t="n">
        <v>44.1</v>
      </c>
      <c r="L11" t="n">
        <v>54.1</v>
      </c>
      <c r="M11" t="n">
        <v>59</v>
      </c>
      <c r="N11" t="n">
        <v>58.4</v>
      </c>
      <c r="O11" t="n">
        <v>63.2</v>
      </c>
      <c r="P11" t="n">
        <v>58.9</v>
      </c>
      <c r="Q11" t="n">
        <v>63.6</v>
      </c>
      <c r="R11" t="n">
        <v>65.2</v>
      </c>
      <c r="S11" t="n">
        <v>58.1</v>
      </c>
      <c r="T11" t="n">
        <v>48.3</v>
      </c>
      <c r="U11" t="n">
        <v>50.2</v>
      </c>
      <c r="V11" t="n">
        <v>49.8</v>
      </c>
      <c r="W11" t="n">
        <v>60.7</v>
      </c>
      <c r="X11" t="n">
        <v>73.9</v>
      </c>
      <c r="Y11" t="n">
        <v>79.3</v>
      </c>
      <c r="Z11" t="n">
        <v>85.9</v>
      </c>
      <c r="AA11" t="n">
        <v>102.6</v>
      </c>
      <c r="AB11" t="n">
        <v>105.5</v>
      </c>
      <c r="AC11" t="n">
        <v>102.9</v>
      </c>
      <c r="AD11" t="n">
        <v>100.1</v>
      </c>
      <c r="AE11" t="n">
        <v>103.2</v>
      </c>
      <c r="AF11"/>
    </row>
    <row r="12">
      <c r="A12" t="s">
        <v>118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235.6</v>
      </c>
      <c r="H12" t="n">
        <v>415.5</v>
      </c>
      <c r="I12" t="n">
        <v>409.5</v>
      </c>
      <c r="J12" t="n">
        <v>383.2</v>
      </c>
      <c r="K12" t="n">
        <v>379.9</v>
      </c>
      <c r="L12" t="n">
        <v>407.9</v>
      </c>
      <c r="M12" t="n">
        <v>396.9</v>
      </c>
      <c r="N12" t="n">
        <v>378.3</v>
      </c>
      <c r="O12" t="n">
        <v>369.6</v>
      </c>
      <c r="P12" t="n">
        <v>375.2</v>
      </c>
      <c r="Q12" t="n">
        <v>372.7</v>
      </c>
      <c r="R12" t="n">
        <v>387</v>
      </c>
      <c r="S12" t="n">
        <v>385.6</v>
      </c>
      <c r="T12" t="n">
        <v>334.2</v>
      </c>
      <c r="U12" t="n">
        <v>343.1</v>
      </c>
      <c r="V12" t="n">
        <v>335.4</v>
      </c>
      <c r="W12" t="n">
        <v>338.8</v>
      </c>
      <c r="X12" t="n">
        <v>344.1</v>
      </c>
      <c r="Y12" t="n">
        <v>335.2</v>
      </c>
      <c r="Z12" t="n">
        <v>314.1</v>
      </c>
      <c r="AA12" t="n">
        <v>330.8</v>
      </c>
      <c r="AB12" t="n">
        <v>342.9</v>
      </c>
      <c r="AC12" t="n">
        <v>325.6</v>
      </c>
      <c r="AD12" t="n">
        <v>340.9</v>
      </c>
      <c r="AE12" t="n">
        <v>347.9</v>
      </c>
      <c r="AF12"/>
    </row>
    <row r="13">
      <c r="A13" t="s">
        <v>118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240.1</v>
      </c>
      <c r="H13" t="n">
        <v>219.8</v>
      </c>
      <c r="I13" t="n">
        <v>315.6</v>
      </c>
      <c r="J13" t="n">
        <v>339.8</v>
      </c>
      <c r="K13" t="n">
        <v>387.5</v>
      </c>
      <c r="L13" t="n">
        <v>469.1</v>
      </c>
      <c r="M13" t="n">
        <v>491.6</v>
      </c>
      <c r="N13" t="n">
        <v>505.9</v>
      </c>
      <c r="O13" t="n">
        <v>512.1</v>
      </c>
      <c r="P13" t="n">
        <v>518.2</v>
      </c>
      <c r="Q13" t="n">
        <v>534</v>
      </c>
      <c r="R13" t="n">
        <v>536.2</v>
      </c>
      <c r="S13" t="n">
        <v>553.6</v>
      </c>
      <c r="T13" t="n">
        <v>473.2</v>
      </c>
      <c r="U13" t="n">
        <v>487</v>
      </c>
      <c r="V13" t="n">
        <v>476.9</v>
      </c>
      <c r="W13" t="n">
        <v>450.8</v>
      </c>
      <c r="X13" t="n">
        <v>466.4</v>
      </c>
      <c r="Y13" t="n">
        <v>449.9</v>
      </c>
      <c r="Z13" t="n">
        <v>473.1</v>
      </c>
      <c r="AA13" t="n">
        <v>518.8</v>
      </c>
      <c r="AB13" t="n">
        <v>666.1</v>
      </c>
      <c r="AC13" t="n">
        <v>708.4</v>
      </c>
      <c r="AD13" t="n">
        <v>734.3</v>
      </c>
      <c r="AE13" t="n">
        <v>743.6</v>
      </c>
      <c r="AF13"/>
    </row>
    <row r="14">
      <c r="A14" t="s">
        <v>118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43.3</v>
      </c>
      <c r="H14" t="n">
        <v>47.7</v>
      </c>
      <c r="I14" t="n">
        <v>69.7</v>
      </c>
      <c r="J14" t="n">
        <v>79.8</v>
      </c>
      <c r="K14" t="n">
        <v>87.5</v>
      </c>
      <c r="L14" t="n">
        <v>117.5</v>
      </c>
      <c r="M14" t="n">
        <v>123</v>
      </c>
      <c r="N14" t="n">
        <v>132.3</v>
      </c>
      <c r="O14" t="n">
        <v>132.8</v>
      </c>
      <c r="P14" t="n">
        <v>136.2</v>
      </c>
      <c r="Q14" t="n">
        <v>140.3</v>
      </c>
      <c r="R14" t="n">
        <v>142.9</v>
      </c>
      <c r="S14" t="n">
        <v>136.6</v>
      </c>
      <c r="T14" t="n">
        <v>121.1</v>
      </c>
      <c r="U14" t="n">
        <v>124.8</v>
      </c>
      <c r="V14" t="n">
        <v>122.6</v>
      </c>
      <c r="W14" t="n">
        <v>124.3</v>
      </c>
      <c r="X14" t="n">
        <v>136.4</v>
      </c>
      <c r="Y14" t="n">
        <v>123.7</v>
      </c>
      <c r="Z14" t="n">
        <v>121.2</v>
      </c>
      <c r="AA14" t="n">
        <v>112</v>
      </c>
      <c r="AB14" t="n">
        <v>122.5</v>
      </c>
      <c r="AC14" t="n">
        <v>120</v>
      </c>
      <c r="AD14" t="n">
        <v>111.7</v>
      </c>
      <c r="AE14" t="n">
        <v>127.6</v>
      </c>
      <c r="AF14"/>
    </row>
    <row r="15">
      <c r="A15" t="s">
        <v>118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152.8</v>
      </c>
      <c r="H15" t="n">
        <v>163</v>
      </c>
      <c r="I15" t="n">
        <v>171.7</v>
      </c>
      <c r="J15" t="n">
        <v>191.8</v>
      </c>
      <c r="K15" t="n">
        <v>208.3</v>
      </c>
      <c r="L15" t="n">
        <v>262.1</v>
      </c>
      <c r="M15" t="n">
        <v>269.1</v>
      </c>
      <c r="N15" t="n">
        <v>286</v>
      </c>
      <c r="O15" t="n">
        <v>282.4</v>
      </c>
      <c r="P15" t="n">
        <v>290.6</v>
      </c>
      <c r="Q15" t="n">
        <v>299.9</v>
      </c>
      <c r="R15" t="n">
        <v>303.3</v>
      </c>
      <c r="S15" t="n">
        <v>293</v>
      </c>
      <c r="T15" t="n">
        <v>272.1</v>
      </c>
      <c r="U15" t="n">
        <v>278.4</v>
      </c>
      <c r="V15" t="n">
        <v>271.1</v>
      </c>
      <c r="W15" t="n">
        <v>269.9</v>
      </c>
      <c r="X15" t="n">
        <v>284.2</v>
      </c>
      <c r="Y15" t="n">
        <v>268.3</v>
      </c>
      <c r="Z15" t="n">
        <v>266.7</v>
      </c>
      <c r="AA15" t="n">
        <v>268.4</v>
      </c>
      <c r="AB15" t="n">
        <v>294.2</v>
      </c>
      <c r="AC15" t="n">
        <v>312.4</v>
      </c>
      <c r="AD15" t="n">
        <v>301.9</v>
      </c>
      <c r="AE15" t="n">
        <v>329.9</v>
      </c>
      <c r="AF15"/>
    </row>
    <row r="16">
      <c r="A16" t="s">
        <v>118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109.5</v>
      </c>
      <c r="H16" t="n">
        <v>115.3</v>
      </c>
      <c r="I16" t="n">
        <v>102</v>
      </c>
      <c r="J16" t="n">
        <v>112</v>
      </c>
      <c r="K16" t="n">
        <v>120.8</v>
      </c>
      <c r="L16" t="n">
        <v>144.6</v>
      </c>
      <c r="M16" t="n">
        <v>146.1</v>
      </c>
      <c r="N16" t="n">
        <v>153.7</v>
      </c>
      <c r="O16" t="n">
        <v>149.6</v>
      </c>
      <c r="P16" t="n">
        <v>154.4</v>
      </c>
      <c r="Q16" t="n">
        <v>159.6</v>
      </c>
      <c r="R16" t="n">
        <v>160.4</v>
      </c>
      <c r="S16" t="n">
        <v>156.4</v>
      </c>
      <c r="T16" t="n">
        <v>151</v>
      </c>
      <c r="U16" t="n">
        <v>153.6</v>
      </c>
      <c r="V16" t="n">
        <v>148.5</v>
      </c>
      <c r="W16" t="n">
        <v>145.6</v>
      </c>
      <c r="X16" t="n">
        <v>147.8</v>
      </c>
      <c r="Y16" t="n">
        <v>144.6</v>
      </c>
      <c r="Z16" t="n">
        <v>145.5</v>
      </c>
      <c r="AA16" t="n">
        <v>156.4</v>
      </c>
      <c r="AB16" t="n">
        <v>171.7</v>
      </c>
      <c r="AC16" t="n">
        <v>192.4</v>
      </c>
      <c r="AD16" t="n">
        <v>190.2</v>
      </c>
      <c r="AE16" t="n">
        <v>202.3</v>
      </c>
      <c r="AF16"/>
    </row>
    <row r="17">
      <c r="A17" t="s">
        <v>118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205.3</v>
      </c>
      <c r="H17" t="n">
        <v>210.2</v>
      </c>
      <c r="I17" t="n">
        <v>256.4</v>
      </c>
      <c r="J17" t="n">
        <v>271.1</v>
      </c>
      <c r="K17" t="n">
        <v>333.6</v>
      </c>
      <c r="L17" t="n">
        <v>409.6</v>
      </c>
      <c r="M17" t="n">
        <v>441.8</v>
      </c>
      <c r="N17" t="n">
        <v>455.2</v>
      </c>
      <c r="O17" t="n">
        <v>458.7</v>
      </c>
      <c r="P17" t="n">
        <v>445.9</v>
      </c>
      <c r="Q17" t="n">
        <v>463.8</v>
      </c>
      <c r="R17" t="n">
        <v>475.8</v>
      </c>
      <c r="S17" t="n">
        <v>484.5</v>
      </c>
      <c r="T17" t="n">
        <v>413</v>
      </c>
      <c r="U17" t="n">
        <v>426.1</v>
      </c>
      <c r="V17" t="n">
        <v>418.6</v>
      </c>
      <c r="W17" t="n">
        <v>482.8</v>
      </c>
      <c r="X17" t="n">
        <v>498.3</v>
      </c>
      <c r="Y17" t="n">
        <v>476.5</v>
      </c>
      <c r="Z17" t="n">
        <v>479.7</v>
      </c>
      <c r="AA17" t="n">
        <v>503</v>
      </c>
      <c r="AB17" t="n">
        <v>594.7</v>
      </c>
      <c r="AC17" t="n">
        <v>755.9</v>
      </c>
      <c r="AD17" t="n">
        <v>741.3</v>
      </c>
      <c r="AE17" t="n">
        <v>739.2</v>
      </c>
      <c r="AF17"/>
    </row>
    <row r="18">
      <c r="A18" t="s">
        <v>118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122.4</v>
      </c>
      <c r="H18" t="n">
        <v>110.7</v>
      </c>
      <c r="I18" t="n">
        <v>134.7</v>
      </c>
      <c r="J18" t="n">
        <v>132.3</v>
      </c>
      <c r="K18" t="n">
        <v>153.9</v>
      </c>
      <c r="L18" t="n">
        <v>186.1</v>
      </c>
      <c r="M18" t="n">
        <v>200.6</v>
      </c>
      <c r="N18" t="n">
        <v>202</v>
      </c>
      <c r="O18" t="n">
        <v>197</v>
      </c>
      <c r="P18" t="n">
        <v>190.9</v>
      </c>
      <c r="Q18" t="n">
        <v>191.3</v>
      </c>
      <c r="R18" t="n">
        <v>208.5</v>
      </c>
      <c r="S18" t="n">
        <v>220.3</v>
      </c>
      <c r="T18" t="n">
        <v>220.6</v>
      </c>
      <c r="U18" t="n">
        <v>222.8</v>
      </c>
      <c r="V18" t="n">
        <v>213.8</v>
      </c>
      <c r="W18" t="n">
        <v>195.7</v>
      </c>
      <c r="X18" t="n">
        <v>189.1</v>
      </c>
      <c r="Y18" t="n">
        <v>171.7</v>
      </c>
      <c r="Z18" t="n">
        <v>169</v>
      </c>
      <c r="AA18" t="n">
        <v>177.3</v>
      </c>
      <c r="AB18" t="n">
        <v>179.4</v>
      </c>
      <c r="AC18" t="n">
        <v>177</v>
      </c>
      <c r="AD18" t="n">
        <v>166.8</v>
      </c>
      <c r="AE18" t="n">
        <v>164.4</v>
      </c>
      <c r="AF18"/>
    </row>
    <row r="19">
      <c r="A19" t="s">
        <v>118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249.4</v>
      </c>
      <c r="H19" t="n">
        <v>242.2</v>
      </c>
      <c r="I19" t="n">
        <v>304.8</v>
      </c>
      <c r="J19" t="n">
        <v>328.3</v>
      </c>
      <c r="K19" t="n">
        <v>383</v>
      </c>
      <c r="L19" t="n">
        <v>466.2</v>
      </c>
      <c r="M19" t="n">
        <v>495.2</v>
      </c>
      <c r="N19" t="n">
        <v>520.5</v>
      </c>
      <c r="O19" t="n">
        <v>522.3</v>
      </c>
      <c r="P19" t="n">
        <v>517.6</v>
      </c>
      <c r="Q19" t="n">
        <v>529.3</v>
      </c>
      <c r="R19" t="n">
        <v>543.6</v>
      </c>
      <c r="S19" t="n">
        <v>520.3</v>
      </c>
      <c r="T19" t="n">
        <v>450.2</v>
      </c>
      <c r="U19" t="n">
        <v>467.6</v>
      </c>
      <c r="V19" t="n">
        <v>462.7</v>
      </c>
      <c r="W19" t="n">
        <v>440.1</v>
      </c>
      <c r="X19" t="n">
        <v>416</v>
      </c>
      <c r="Y19" t="n">
        <v>379.3</v>
      </c>
      <c r="Z19" t="n">
        <v>387</v>
      </c>
      <c r="AA19" t="n">
        <v>422</v>
      </c>
      <c r="AB19" t="n">
        <v>442.4</v>
      </c>
      <c r="AC19" t="n">
        <v>436.9</v>
      </c>
      <c r="AD19" t="n">
        <v>457.2</v>
      </c>
      <c r="AE19" t="n">
        <v>466.5</v>
      </c>
      <c r="AF19"/>
    </row>
    <row r="20">
      <c r="A20" t="s">
        <v>118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146.2</v>
      </c>
      <c r="H20" t="n">
        <v>127.5</v>
      </c>
      <c r="I20" t="n">
        <v>111.6</v>
      </c>
      <c r="J20" t="n">
        <v>109</v>
      </c>
      <c r="K20" t="n">
        <v>104.5</v>
      </c>
      <c r="L20" t="n">
        <v>118</v>
      </c>
      <c r="M20" t="n">
        <v>120.9</v>
      </c>
      <c r="N20" t="n">
        <v>131.7</v>
      </c>
      <c r="O20" t="n">
        <v>137.6</v>
      </c>
      <c r="P20" t="n">
        <v>132.6</v>
      </c>
      <c r="Q20" t="n">
        <v>135.2</v>
      </c>
      <c r="R20" t="n">
        <v>135.5</v>
      </c>
      <c r="S20" t="n">
        <v>129.6</v>
      </c>
      <c r="T20" t="n">
        <v>109.8</v>
      </c>
      <c r="U20" t="n">
        <v>112.8</v>
      </c>
      <c r="V20" t="n">
        <v>110.8</v>
      </c>
      <c r="W20" t="n">
        <v>109.2</v>
      </c>
      <c r="X20" t="n">
        <v>120.3</v>
      </c>
      <c r="Y20" t="n">
        <v>110.6</v>
      </c>
      <c r="Z20" t="n">
        <v>104.9</v>
      </c>
      <c r="AA20" t="n">
        <v>119</v>
      </c>
      <c r="AB20" t="n">
        <v>160.1</v>
      </c>
      <c r="AC20" t="n">
        <v>187.9</v>
      </c>
      <c r="AD20" t="n">
        <v>190.9</v>
      </c>
      <c r="AE20" t="n">
        <v>215.1</v>
      </c>
      <c r="AF20" t="n">
        <v>238.9</v>
      </c>
    </row>
    <row r="21">
      <c r="A21" t="s">
        <v>118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202.1</v>
      </c>
      <c r="H21" t="n">
        <v>177.8</v>
      </c>
      <c r="I21" t="n">
        <v>173.5</v>
      </c>
      <c r="J21" t="n">
        <v>172</v>
      </c>
      <c r="K21" t="n">
        <v>174.4</v>
      </c>
      <c r="L21" t="n">
        <v>199.3</v>
      </c>
      <c r="M21" t="n">
        <v>204.4</v>
      </c>
      <c r="N21" t="n">
        <v>221.9</v>
      </c>
      <c r="O21" t="n">
        <v>234.5</v>
      </c>
      <c r="P21" t="n">
        <v>227.5</v>
      </c>
      <c r="Q21" t="n">
        <v>234.4</v>
      </c>
      <c r="R21" t="n">
        <v>236.4</v>
      </c>
      <c r="S21" t="n">
        <v>223</v>
      </c>
      <c r="T21" t="n">
        <v>193.5</v>
      </c>
      <c r="U21" t="n">
        <v>199.1</v>
      </c>
      <c r="V21" t="n">
        <v>195.1</v>
      </c>
      <c r="W21" t="n">
        <v>228.4</v>
      </c>
      <c r="X21" t="n">
        <v>260.3</v>
      </c>
      <c r="Y21" t="n">
        <v>277.6</v>
      </c>
      <c r="Z21" t="n">
        <v>294.8</v>
      </c>
      <c r="AA21" t="n">
        <v>331.2</v>
      </c>
      <c r="AB21" t="n">
        <v>402.4</v>
      </c>
      <c r="AC21" t="n">
        <v>442.1</v>
      </c>
      <c r="AD21" t="n">
        <v>451.4</v>
      </c>
      <c r="AE21" t="n">
        <v>493.7</v>
      </c>
      <c r="AF21" t="n">
        <v>521.7</v>
      </c>
    </row>
    <row r="22">
      <c r="A22" t="s">
        <v>118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55.9</v>
      </c>
      <c r="H22" t="n">
        <v>50.3</v>
      </c>
      <c r="I22" t="n">
        <v>61.9</v>
      </c>
      <c r="J22" t="n">
        <v>63</v>
      </c>
      <c r="K22" t="n">
        <v>69.9</v>
      </c>
      <c r="L22" t="n">
        <v>81.3</v>
      </c>
      <c r="M22" t="n">
        <v>83.5</v>
      </c>
      <c r="N22" t="n">
        <v>90.2</v>
      </c>
      <c r="O22" t="n">
        <v>96.9</v>
      </c>
      <c r="P22" t="n">
        <v>94.9</v>
      </c>
      <c r="Q22" t="n">
        <v>99.2</v>
      </c>
      <c r="R22" t="n">
        <v>100.9</v>
      </c>
      <c r="S22" t="n">
        <v>93.4</v>
      </c>
      <c r="T22" t="n">
        <v>83.7</v>
      </c>
      <c r="U22" t="n">
        <v>86.3</v>
      </c>
      <c r="V22" t="n">
        <v>84.3</v>
      </c>
      <c r="W22" t="n">
        <v>119.2</v>
      </c>
      <c r="X22" t="n">
        <v>140</v>
      </c>
      <c r="Y22" t="n">
        <v>167</v>
      </c>
      <c r="Z22" t="n">
        <v>189.9</v>
      </c>
      <c r="AA22" t="n">
        <v>212.2</v>
      </c>
      <c r="AB22" t="n">
        <v>242.3</v>
      </c>
      <c r="AC22" t="n">
        <v>254.2</v>
      </c>
      <c r="AD22" t="n">
        <v>260.5</v>
      </c>
      <c r="AE22" t="n">
        <v>278.6</v>
      </c>
      <c r="AF22" t="n">
        <v>282.8</v>
      </c>
    </row>
    <row r="23">
      <c r="A23" t="s">
        <v>118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238.6</v>
      </c>
      <c r="H23" t="n">
        <v>240.2</v>
      </c>
      <c r="I23" t="n">
        <v>302.2</v>
      </c>
      <c r="J23" t="n">
        <v>342.3</v>
      </c>
      <c r="K23" t="n">
        <v>396.9</v>
      </c>
      <c r="L23" t="n">
        <v>466.7</v>
      </c>
      <c r="M23" t="n">
        <v>501.3</v>
      </c>
      <c r="N23" t="n">
        <v>551.1</v>
      </c>
      <c r="O23" t="n">
        <v>546.3</v>
      </c>
      <c r="P23" t="n">
        <v>511.2</v>
      </c>
      <c r="Q23" t="n">
        <v>495.8</v>
      </c>
      <c r="R23" t="n">
        <v>542.4</v>
      </c>
      <c r="S23" t="n">
        <v>525.6</v>
      </c>
      <c r="T23" t="n">
        <v>458.2</v>
      </c>
      <c r="U23" t="n">
        <v>477.8</v>
      </c>
      <c r="V23" t="n">
        <v>475.2</v>
      </c>
      <c r="W23" t="n">
        <v>477.8</v>
      </c>
      <c r="X23" t="n">
        <v>545.2</v>
      </c>
      <c r="Y23" t="n">
        <v>757.4</v>
      </c>
      <c r="Z23" t="n">
        <v>745.5</v>
      </c>
      <c r="AA23" t="n">
        <v>770.6</v>
      </c>
      <c r="AB23" t="n">
        <v>881.2</v>
      </c>
      <c r="AC23" t="n">
        <v>881.8</v>
      </c>
      <c r="AD23" t="n">
        <v>837.1</v>
      </c>
      <c r="AE23" t="n">
        <v>796.2</v>
      </c>
      <c r="AF23" t="n">
        <v>862.3</v>
      </c>
    </row>
    <row r="24">
      <c r="A24" t="s">
        <v>118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1127.4</v>
      </c>
      <c r="H24" t="n">
        <v>1152.5</v>
      </c>
      <c r="I24" t="n">
        <v>1338.7</v>
      </c>
      <c r="J24" t="n">
        <v>1394.9</v>
      </c>
      <c r="K24" t="n">
        <v>1680.5</v>
      </c>
      <c r="L24" t="n">
        <v>2032.8</v>
      </c>
      <c r="M24" t="n">
        <v>2135.3</v>
      </c>
      <c r="N24" t="n">
        <v>2271</v>
      </c>
      <c r="O24" t="n">
        <v>2292.2</v>
      </c>
      <c r="P24" t="n">
        <v>2263.9</v>
      </c>
      <c r="Q24" t="n">
        <v>2296.5</v>
      </c>
      <c r="R24" t="n">
        <v>2395.4</v>
      </c>
      <c r="S24" t="n">
        <v>2366.7</v>
      </c>
      <c r="T24" t="n">
        <v>2041.1</v>
      </c>
      <c r="U24" t="n">
        <v>2108.8</v>
      </c>
      <c r="V24" t="n">
        <v>2076.6</v>
      </c>
      <c r="W24" t="n">
        <v>2238.7</v>
      </c>
      <c r="X24" t="n">
        <v>2259.2</v>
      </c>
      <c r="Y24" t="n">
        <v>2208.5</v>
      </c>
      <c r="Z24" t="n">
        <v>2130.1</v>
      </c>
      <c r="AA24" t="n">
        <v>2184</v>
      </c>
      <c r="AB24" t="n">
        <v>2366.3</v>
      </c>
      <c r="AC24" t="n">
        <v>2449.8</v>
      </c>
      <c r="AD24" t="n">
        <v>2404.1</v>
      </c>
      <c r="AE24" t="n">
        <v>2408</v>
      </c>
      <c r="AF24" t="n">
        <v>2456.9</v>
      </c>
    </row>
    <row r="25">
      <c r="A25" t="s">
        <v>118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118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118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118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254.1</v>
      </c>
      <c r="H28" t="n">
        <v>298.9</v>
      </c>
      <c r="I28" t="n">
        <v>293.7</v>
      </c>
      <c r="J28" t="n">
        <v>310</v>
      </c>
      <c r="K28" t="n">
        <v>352.7</v>
      </c>
      <c r="L28" t="n">
        <v>420.9</v>
      </c>
      <c r="M28" t="n">
        <v>450.7</v>
      </c>
      <c r="N28" t="n">
        <v>476.1</v>
      </c>
      <c r="O28" t="n">
        <v>464.6</v>
      </c>
      <c r="P28" t="n">
        <v>466.7</v>
      </c>
      <c r="Q28" t="n">
        <v>499.3</v>
      </c>
      <c r="R28" t="n">
        <v>507.5</v>
      </c>
      <c r="S28" t="n">
        <v>508.4</v>
      </c>
      <c r="T28" t="n">
        <v>462.9</v>
      </c>
      <c r="U28" t="n">
        <v>475.6</v>
      </c>
      <c r="V28" t="n">
        <v>462</v>
      </c>
      <c r="W28" t="n">
        <v>462.9</v>
      </c>
      <c r="X28" t="n">
        <v>483.6</v>
      </c>
      <c r="Y28" t="n">
        <v>437.7</v>
      </c>
      <c r="Z28" t="n">
        <v>465.7</v>
      </c>
      <c r="AA28" t="n">
        <v>460.1</v>
      </c>
      <c r="AB28" t="n">
        <v>445.2</v>
      </c>
      <c r="AC28" t="n">
        <v>404.7</v>
      </c>
      <c r="AD28" t="n">
        <v>395.3</v>
      </c>
      <c r="AE28" t="n">
        <v>427.7</v>
      </c>
      <c r="AF28" t="n">
        <v>532.8</v>
      </c>
    </row>
    <row r="29">
      <c r="A29" t="s">
        <v>118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118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118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118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118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118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291.8</v>
      </c>
      <c r="H34" t="n">
        <v>314.9</v>
      </c>
      <c r="I34" t="n">
        <v>407.7</v>
      </c>
      <c r="J34" t="n">
        <v>411.6</v>
      </c>
      <c r="K34" t="n">
        <v>467.5</v>
      </c>
      <c r="L34" t="n">
        <v>550.9</v>
      </c>
      <c r="M34" t="n">
        <v>610.1</v>
      </c>
      <c r="N34" t="n">
        <v>638.1</v>
      </c>
      <c r="O34" t="n">
        <v>669</v>
      </c>
      <c r="P34" t="n">
        <v>676.7</v>
      </c>
      <c r="Q34" t="n">
        <v>694.9</v>
      </c>
      <c r="R34" t="n">
        <v>710</v>
      </c>
      <c r="S34" t="n">
        <v>651.8</v>
      </c>
      <c r="T34" t="n">
        <v>576.1</v>
      </c>
      <c r="U34" t="n">
        <v>598</v>
      </c>
      <c r="V34" t="n">
        <v>592.2</v>
      </c>
      <c r="W34" t="n">
        <v>541.2</v>
      </c>
      <c r="X34" t="n">
        <v>533.3</v>
      </c>
      <c r="Y34" t="n">
        <v>486</v>
      </c>
      <c r="Z34" t="n">
        <v>462.4</v>
      </c>
      <c r="AA34" t="n">
        <v>514.5</v>
      </c>
      <c r="AB34" t="n">
        <v>543.1</v>
      </c>
      <c r="AC34" t="n">
        <v>626.5</v>
      </c>
      <c r="AD34" t="n">
        <v>595.3</v>
      </c>
      <c r="AE34" t="n">
        <v>567.1</v>
      </c>
      <c r="AF34" t="n">
        <v>582.9</v>
      </c>
    </row>
    <row r="35">
      <c r="A35" t="s">
        <v>118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1685.4</v>
      </c>
      <c r="H35" t="n">
        <v>1892.8</v>
      </c>
      <c r="I35" t="n">
        <v>2067.4</v>
      </c>
      <c r="J35" t="n">
        <v>2192.7</v>
      </c>
      <c r="K35" t="n">
        <v>2743</v>
      </c>
      <c r="L35" t="n">
        <v>2968.6</v>
      </c>
      <c r="M35" t="n">
        <v>3084.3</v>
      </c>
      <c r="N35" t="n">
        <v>3331.8</v>
      </c>
      <c r="O35" t="n">
        <v>3525.1</v>
      </c>
      <c r="P35" t="n">
        <v>3727.4</v>
      </c>
      <c r="Q35" t="n">
        <v>3727.3</v>
      </c>
      <c r="R35" t="n">
        <v>3935.9</v>
      </c>
      <c r="S35" t="n">
        <v>3760.5</v>
      </c>
      <c r="T35" t="n">
        <v>3461.9</v>
      </c>
      <c r="U35" t="n">
        <v>3493.9</v>
      </c>
      <c r="V35" t="n">
        <v>3356.8</v>
      </c>
      <c r="W35" t="n">
        <v>3211.6</v>
      </c>
      <c r="X35" t="n">
        <v>3144.8</v>
      </c>
      <c r="Y35" t="n">
        <v>2974.2</v>
      </c>
      <c r="Z35" t="n">
        <v>2864.2</v>
      </c>
      <c r="AA35" t="n">
        <v>2928.5</v>
      </c>
      <c r="AB35" t="n">
        <v>2978.6</v>
      </c>
      <c r="AC35" t="n">
        <v>2813.4</v>
      </c>
      <c r="AD35" t="n">
        <v>2674.9</v>
      </c>
      <c r="AE35" t="n">
        <v>2750.3</v>
      </c>
      <c r="AF35" t="n">
        <v>2801.1</v>
      </c>
    </row>
    <row r="36">
      <c r="A36" t="s">
        <v>118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70.8</v>
      </c>
      <c r="H36" t="n">
        <v>69.9</v>
      </c>
      <c r="I36" t="n">
        <v>128.1</v>
      </c>
      <c r="J36" t="n">
        <v>133.6</v>
      </c>
      <c r="K36" t="n">
        <v>158.2</v>
      </c>
      <c r="L36" t="n">
        <v>191.3</v>
      </c>
      <c r="M36" t="n">
        <v>205.5</v>
      </c>
      <c r="N36" t="n">
        <v>215.2</v>
      </c>
      <c r="O36" t="n">
        <v>211.4</v>
      </c>
      <c r="P36" t="n">
        <v>216.6</v>
      </c>
      <c r="Q36" t="n">
        <v>212.4</v>
      </c>
      <c r="R36" t="n">
        <v>224.5</v>
      </c>
      <c r="S36" t="n">
        <v>229.2</v>
      </c>
      <c r="T36" t="n">
        <v>196.8</v>
      </c>
      <c r="U36" t="n">
        <v>201.2</v>
      </c>
      <c r="V36" t="n">
        <v>196</v>
      </c>
      <c r="W36" t="n">
        <v>247.3</v>
      </c>
      <c r="X36" t="n">
        <v>267</v>
      </c>
      <c r="Y36" t="n">
        <v>270.3</v>
      </c>
      <c r="Z36" t="n">
        <v>253.3</v>
      </c>
      <c r="AA36" t="n">
        <v>248.9</v>
      </c>
      <c r="AB36" t="n">
        <v>241.9</v>
      </c>
      <c r="AC36" t="n">
        <v>238.3</v>
      </c>
      <c r="AD36" t="n">
        <v>253.7</v>
      </c>
      <c r="AE36" t="n">
        <v>274.6</v>
      </c>
      <c r="AF36"/>
    </row>
    <row r="37">
      <c r="A37" t="s">
        <v>118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803.3</v>
      </c>
      <c r="H37" t="n">
        <v>989.9</v>
      </c>
      <c r="I37" t="n">
        <v>958.1</v>
      </c>
      <c r="J37" t="n">
        <v>1000.3</v>
      </c>
      <c r="K37" t="n">
        <v>1371.6</v>
      </c>
      <c r="L37" t="n">
        <v>1470.2</v>
      </c>
      <c r="M37" t="n">
        <v>1467</v>
      </c>
      <c r="N37" t="n">
        <v>1482</v>
      </c>
      <c r="O37" t="n">
        <v>1572.6</v>
      </c>
      <c r="P37" t="n">
        <v>1828.1</v>
      </c>
      <c r="Q37" t="n">
        <v>1808.4</v>
      </c>
      <c r="R37" t="n">
        <v>1901.1</v>
      </c>
      <c r="S37" t="n">
        <v>1745.5</v>
      </c>
      <c r="T37" t="n">
        <v>1564.6</v>
      </c>
      <c r="U37" t="n">
        <v>1559.3</v>
      </c>
      <c r="V37" t="n">
        <v>1483.3</v>
      </c>
      <c r="W37" t="n">
        <v>1312.3</v>
      </c>
      <c r="X37" t="n">
        <v>1240</v>
      </c>
      <c r="Y37" t="n">
        <v>1126.6</v>
      </c>
      <c r="Z37" t="n">
        <v>925.5</v>
      </c>
      <c r="AA37" t="n">
        <v>918.6</v>
      </c>
      <c r="AB37" t="n">
        <v>857.4</v>
      </c>
      <c r="AC37" t="n">
        <v>854.6</v>
      </c>
      <c r="AD37" t="n">
        <v>803.8</v>
      </c>
      <c r="AE37" t="n">
        <v>767.3</v>
      </c>
      <c r="AF37"/>
    </row>
    <row r="38">
      <c r="A38" t="s">
        <v>118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811.3</v>
      </c>
      <c r="H38" t="n">
        <v>833</v>
      </c>
      <c r="I38" t="n">
        <v>981.2</v>
      </c>
      <c r="J38" t="n">
        <v>1058.8</v>
      </c>
      <c r="K38" t="n">
        <v>1213.2</v>
      </c>
      <c r="L38" t="n">
        <v>1307.1</v>
      </c>
      <c r="M38" t="n">
        <v>1411.8</v>
      </c>
      <c r="N38" t="n">
        <v>1634.6</v>
      </c>
      <c r="O38" t="n">
        <v>1741.1</v>
      </c>
      <c r="P38" t="n">
        <v>1682.7</v>
      </c>
      <c r="Q38" t="n">
        <v>1706.5</v>
      </c>
      <c r="R38" t="n">
        <v>1810.3</v>
      </c>
      <c r="S38" t="n">
        <v>1785.8</v>
      </c>
      <c r="T38" t="n">
        <v>1700.5</v>
      </c>
      <c r="U38" t="n">
        <v>1733.4</v>
      </c>
      <c r="V38" t="n">
        <v>1677.5</v>
      </c>
      <c r="W38" t="n">
        <v>1652</v>
      </c>
      <c r="X38" t="n">
        <v>1637.8</v>
      </c>
      <c r="Y38" t="n">
        <v>1577.3</v>
      </c>
      <c r="Z38" t="n">
        <v>1685.4</v>
      </c>
      <c r="AA38" t="n">
        <v>1761</v>
      </c>
      <c r="AB38" t="n">
        <v>1879.3</v>
      </c>
      <c r="AC38" t="n">
        <v>1720.5</v>
      </c>
      <c r="AD38" t="n">
        <v>1617.4</v>
      </c>
      <c r="AE38" t="n">
        <v>1708.4</v>
      </c>
      <c r="AF38"/>
    </row>
    <row r="39">
      <c r="A39" t="s">
        <v>118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603.7</v>
      </c>
      <c r="H39" t="n">
        <v>560.4</v>
      </c>
      <c r="I39" t="n">
        <v>686</v>
      </c>
      <c r="J39" t="n">
        <v>730.8</v>
      </c>
      <c r="K39" t="n">
        <v>795.4</v>
      </c>
      <c r="L39" t="n">
        <v>929.7</v>
      </c>
      <c r="M39" t="n">
        <v>972.8</v>
      </c>
      <c r="N39" t="n">
        <v>1071.1</v>
      </c>
      <c r="O39" t="n">
        <v>1127.9</v>
      </c>
      <c r="P39" t="n">
        <v>1124.6</v>
      </c>
      <c r="Q39" t="n">
        <v>1115.9</v>
      </c>
      <c r="R39" t="n">
        <v>1086.4</v>
      </c>
      <c r="S39" t="n">
        <v>1253.8</v>
      </c>
      <c r="T39" t="n">
        <v>1021.8</v>
      </c>
      <c r="U39" t="n">
        <v>1235.4</v>
      </c>
      <c r="V39" t="n">
        <v>1156.9</v>
      </c>
      <c r="W39" t="n">
        <v>1049</v>
      </c>
      <c r="X39" t="n">
        <v>1015.7</v>
      </c>
      <c r="Y39" t="n">
        <v>867.7</v>
      </c>
      <c r="Z39" t="n">
        <v>780.6</v>
      </c>
      <c r="AA39" t="n">
        <v>786.3</v>
      </c>
      <c r="AB39" t="n">
        <v>750.1</v>
      </c>
      <c r="AC39" t="n">
        <v>666.5</v>
      </c>
      <c r="AD39" t="n">
        <v>617.9</v>
      </c>
      <c r="AE39" t="n">
        <v>630.6</v>
      </c>
      <c r="AF39" t="n">
        <v>658.5</v>
      </c>
    </row>
    <row r="40">
      <c r="A40" t="s">
        <v>118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66.8</v>
      </c>
      <c r="H40" t="n">
        <v>63.7</v>
      </c>
      <c r="I40" t="n">
        <v>74.2</v>
      </c>
      <c r="J40" t="n">
        <v>81.7</v>
      </c>
      <c r="K40" t="n">
        <v>90.3</v>
      </c>
      <c r="L40" t="n">
        <v>104.6</v>
      </c>
      <c r="M40" t="n">
        <v>106.3</v>
      </c>
      <c r="N40" t="n">
        <v>117.7</v>
      </c>
      <c r="O40" t="n">
        <v>122.3</v>
      </c>
      <c r="P40" t="n">
        <v>143.8</v>
      </c>
      <c r="Q40" t="n">
        <v>137.4</v>
      </c>
      <c r="R40" t="n">
        <v>126.1</v>
      </c>
      <c r="S40" t="n">
        <v>114.2</v>
      </c>
      <c r="T40" t="n">
        <v>96.1</v>
      </c>
      <c r="U40" t="n">
        <v>120.9</v>
      </c>
      <c r="V40" t="n">
        <v>115.5</v>
      </c>
      <c r="W40" t="n">
        <v>132</v>
      </c>
      <c r="X40" t="n">
        <v>141</v>
      </c>
      <c r="Y40" t="n">
        <v>128.9</v>
      </c>
      <c r="Z40" t="n">
        <v>121.7</v>
      </c>
      <c r="AA40" t="n">
        <v>159.2</v>
      </c>
      <c r="AB40" t="n">
        <v>167</v>
      </c>
      <c r="AC40" t="n">
        <v>157.7</v>
      </c>
      <c r="AD40" t="n">
        <v>258.4</v>
      </c>
      <c r="AE40" t="n">
        <v>313.7</v>
      </c>
      <c r="AF40" t="n">
        <v>362.1</v>
      </c>
    </row>
    <row r="41">
      <c r="A41" t="s">
        <v>118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118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1088.4</v>
      </c>
      <c r="H42" t="n">
        <v>1096</v>
      </c>
      <c r="I42" t="n">
        <v>1265.9</v>
      </c>
      <c r="J42" t="n">
        <v>1340.5</v>
      </c>
      <c r="K42" t="n">
        <v>1560.4</v>
      </c>
      <c r="L42" t="n">
        <v>1891.1</v>
      </c>
      <c r="M42" t="n">
        <v>2006.1</v>
      </c>
      <c r="N42" t="n">
        <v>2133.4</v>
      </c>
      <c r="O42" t="n">
        <v>2072.1</v>
      </c>
      <c r="P42" t="n">
        <v>2056</v>
      </c>
      <c r="Q42" t="n">
        <v>2136.2</v>
      </c>
      <c r="R42" t="n">
        <v>2169.3</v>
      </c>
      <c r="S42" t="n">
        <v>2123.9</v>
      </c>
      <c r="T42" t="n">
        <v>1916.5</v>
      </c>
      <c r="U42" t="n">
        <v>1978</v>
      </c>
      <c r="V42" t="n">
        <v>1922.3</v>
      </c>
      <c r="W42" t="n">
        <v>1796.4</v>
      </c>
      <c r="X42" t="n">
        <v>1893.4</v>
      </c>
      <c r="Y42" t="n">
        <v>1857</v>
      </c>
      <c r="Z42" t="n">
        <v>1784.1</v>
      </c>
      <c r="AA42" t="n">
        <v>2004.4</v>
      </c>
      <c r="AB42" t="n">
        <v>2014.4</v>
      </c>
      <c r="AC42" t="n">
        <v>1857.8</v>
      </c>
      <c r="AD42" t="n">
        <v>1726</v>
      </c>
      <c r="AE42" t="n">
        <v>1723.9</v>
      </c>
      <c r="AF42" t="n">
        <v>1779.7</v>
      </c>
    </row>
    <row r="43">
      <c r="A43" t="s">
        <v>118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1269.7</v>
      </c>
      <c r="H43" t="n">
        <v>1285.7</v>
      </c>
      <c r="I43" t="n">
        <v>1485.3</v>
      </c>
      <c r="J43" t="n">
        <v>1577.2</v>
      </c>
      <c r="K43" t="n">
        <v>1838.9</v>
      </c>
      <c r="L43" t="n">
        <v>2226.5</v>
      </c>
      <c r="M43" t="n">
        <v>2365.1</v>
      </c>
      <c r="N43" t="n">
        <v>2513.2</v>
      </c>
      <c r="O43" t="n">
        <v>2441.2</v>
      </c>
      <c r="P43" t="n">
        <v>2416.8</v>
      </c>
      <c r="Q43" t="n">
        <v>2509.8</v>
      </c>
      <c r="R43" t="n">
        <v>2555.1</v>
      </c>
      <c r="S43" t="n">
        <v>2523.5</v>
      </c>
      <c r="T43" t="n">
        <v>2268.9</v>
      </c>
      <c r="U43" t="n">
        <v>2342</v>
      </c>
      <c r="V43" t="n">
        <v>2277.4</v>
      </c>
      <c r="W43" t="n">
        <v>2190</v>
      </c>
      <c r="X43" t="n">
        <v>2319.9</v>
      </c>
      <c r="Y43" t="n">
        <v>2291.1</v>
      </c>
      <c r="Z43" t="n">
        <v>2242.5</v>
      </c>
      <c r="AA43" t="n">
        <v>2496.6</v>
      </c>
      <c r="AB43" t="n">
        <v>2493.9</v>
      </c>
      <c r="AC43" t="n">
        <v>2323</v>
      </c>
      <c r="AD43" t="n">
        <v>2197.1</v>
      </c>
      <c r="AE43" t="n">
        <v>2203.1</v>
      </c>
      <c r="AF43" t="n">
        <v>2235.1</v>
      </c>
    </row>
    <row r="44">
      <c r="A44" t="s">
        <v>118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8184.1</v>
      </c>
      <c r="H44" t="n">
        <v>8733.4</v>
      </c>
      <c r="I44" t="n">
        <v>9931.7</v>
      </c>
      <c r="J44" t="n">
        <v>10399</v>
      </c>
      <c r="K44" t="n">
        <v>12053.8</v>
      </c>
      <c r="L44" t="n">
        <v>14083.7</v>
      </c>
      <c r="M44" t="n">
        <v>14762.3</v>
      </c>
      <c r="N44" t="n">
        <v>15621.3</v>
      </c>
      <c r="O44" t="n">
        <v>15813.9</v>
      </c>
      <c r="P44" t="n">
        <v>15924.5</v>
      </c>
      <c r="Q44" t="n">
        <v>16149</v>
      </c>
      <c r="R44" t="n">
        <v>16679.2</v>
      </c>
      <c r="S44" t="n">
        <v>16476.4</v>
      </c>
      <c r="T44" t="n">
        <v>14641.4</v>
      </c>
      <c r="U44" t="n">
        <v>15203.3</v>
      </c>
      <c r="V44" t="n">
        <v>14774</v>
      </c>
      <c r="W44" t="n">
        <v>14550.4</v>
      </c>
      <c r="X44" t="n">
        <v>14750.6</v>
      </c>
      <c r="Y44" t="n">
        <v>14379.1</v>
      </c>
      <c r="Z44" t="n">
        <v>13989.2</v>
      </c>
      <c r="AA44" t="n">
        <v>14743.6</v>
      </c>
      <c r="AB44" t="n">
        <v>15529</v>
      </c>
      <c r="AC44" t="n">
        <v>15414.6</v>
      </c>
      <c r="AD44" t="n">
        <v>15116.9</v>
      </c>
      <c r="AE44" t="n">
        <v>15385.9</v>
      </c>
      <c r="AF44" t="n">
        <v>15975.2</v>
      </c>
    </row>
    <row r="45">
      <c r="A45" t="s">
        <v>118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8112.3</v>
      </c>
      <c r="H45" t="n">
        <v>8666.9</v>
      </c>
      <c r="I45" t="n">
        <v>9856</v>
      </c>
      <c r="J45" t="n">
        <v>10320.1</v>
      </c>
      <c r="K45" t="n">
        <v>11966.1</v>
      </c>
      <c r="L45" t="n">
        <v>13981.2</v>
      </c>
      <c r="M45" t="n">
        <v>14656</v>
      </c>
      <c r="N45" t="n">
        <v>15502.5</v>
      </c>
      <c r="O45" t="n">
        <v>15690.9</v>
      </c>
      <c r="P45" t="n">
        <v>15799.4</v>
      </c>
      <c r="Q45" t="n">
        <v>16020.5</v>
      </c>
      <c r="R45" t="n">
        <v>16548.7</v>
      </c>
      <c r="S45" t="n">
        <v>16348.1</v>
      </c>
      <c r="T45" t="n">
        <v>14511.5</v>
      </c>
      <c r="U45" t="n">
        <v>15075.8</v>
      </c>
      <c r="V45" t="n">
        <v>14650.1</v>
      </c>
      <c r="W45" t="n">
        <v>14438.8</v>
      </c>
      <c r="X45" t="n">
        <v>14647.3</v>
      </c>
      <c r="Y45" t="n">
        <v>14290.4</v>
      </c>
      <c r="Z45" t="n">
        <v>13909.7</v>
      </c>
      <c r="AA45" t="n">
        <v>14662.4</v>
      </c>
      <c r="AB45" t="n">
        <v>15446.4</v>
      </c>
      <c r="AC45" t="n">
        <v>15333.3</v>
      </c>
      <c r="AD45" t="n">
        <v>15034.6</v>
      </c>
      <c r="AE45" t="n">
        <v>15300.7</v>
      </c>
      <c r="AF45" t="n">
        <v>15882.8</v>
      </c>
    </row>
    <row r="46">
      <c r="A46" t="s">
        <v>118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181.3</v>
      </c>
      <c r="H46" t="n">
        <v>189.7</v>
      </c>
      <c r="I46" t="n">
        <v>219.4</v>
      </c>
      <c r="J46" t="n">
        <v>236.7</v>
      </c>
      <c r="K46" t="n">
        <v>278.5</v>
      </c>
      <c r="L46" t="n">
        <v>335.4</v>
      </c>
      <c r="M46" t="n">
        <v>359</v>
      </c>
      <c r="N46" t="n">
        <v>379.8</v>
      </c>
      <c r="O46" t="n">
        <v>369.1</v>
      </c>
      <c r="P46" t="n">
        <v>360.8</v>
      </c>
      <c r="Q46" t="n">
        <v>373.6</v>
      </c>
      <c r="R46" t="n">
        <v>385.8</v>
      </c>
      <c r="S46" t="n">
        <v>399.6</v>
      </c>
      <c r="T46" t="n">
        <v>352.4</v>
      </c>
      <c r="U46" t="n">
        <v>364</v>
      </c>
      <c r="V46" t="n">
        <v>355.1</v>
      </c>
      <c r="W46" t="n">
        <v>393.6</v>
      </c>
      <c r="X46" t="n">
        <v>426.5</v>
      </c>
      <c r="Y46" t="n">
        <v>434.1</v>
      </c>
      <c r="Z46" t="n">
        <v>458.4</v>
      </c>
      <c r="AA46" t="n">
        <v>492.2</v>
      </c>
      <c r="AB46" t="n">
        <v>479.5</v>
      </c>
      <c r="AC46" t="n">
        <v>465.2</v>
      </c>
      <c r="AD46" t="n">
        <v>471.1</v>
      </c>
      <c r="AE46" t="n">
        <v>479.2</v>
      </c>
      <c r="AF46" t="n">
        <v>455.4</v>
      </c>
    </row>
    <row r="47">
      <c r="A47" t="s">
        <v>118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663.3</v>
      </c>
      <c r="H47" t="n">
        <v>696.2</v>
      </c>
      <c r="I47" t="n">
        <v>795.1</v>
      </c>
      <c r="J47" t="n">
        <v>868.2</v>
      </c>
      <c r="K47" t="n">
        <v>913.9</v>
      </c>
      <c r="L47" t="n">
        <v>1036.7</v>
      </c>
      <c r="M47" t="n">
        <v>1081.3</v>
      </c>
      <c r="N47" t="n">
        <v>1289.8</v>
      </c>
      <c r="O47" t="n">
        <v>1321.8</v>
      </c>
      <c r="P47" t="n">
        <v>1376.7</v>
      </c>
      <c r="Q47" t="n">
        <v>1463</v>
      </c>
      <c r="R47" t="n">
        <v>1588.5</v>
      </c>
      <c r="S47" t="n">
        <v>1735.4</v>
      </c>
      <c r="T47" t="n">
        <v>1823.1</v>
      </c>
      <c r="U47" t="n">
        <v>1859.5</v>
      </c>
      <c r="V47" t="n">
        <v>1762.5</v>
      </c>
      <c r="W47" t="n">
        <v>1591.9</v>
      </c>
      <c r="X47" t="n">
        <v>1473.2</v>
      </c>
      <c r="Y47" t="n">
        <v>1229.4</v>
      </c>
      <c r="Z47" t="n">
        <v>1063.9</v>
      </c>
      <c r="AA47" t="n">
        <v>1057.4</v>
      </c>
      <c r="AB47" t="n">
        <v>1060.2</v>
      </c>
      <c r="AC47" t="n">
        <v>1007</v>
      </c>
      <c r="AD47" t="n">
        <v>977.8</v>
      </c>
      <c r="AE47" t="n">
        <v>1025.1</v>
      </c>
      <c r="AF47" t="n">
        <v>1113.9</v>
      </c>
    </row>
    <row r="48">
      <c r="A48" t="s">
        <v>118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1005.1</v>
      </c>
      <c r="H48" t="n">
        <v>1005.5</v>
      </c>
      <c r="I48" t="n">
        <v>1139.5</v>
      </c>
      <c r="J48" t="n">
        <v>1234.8</v>
      </c>
      <c r="K48" t="n">
        <v>1323.4</v>
      </c>
      <c r="L48" t="n">
        <v>1532.9</v>
      </c>
      <c r="M48" t="n">
        <v>1612.8</v>
      </c>
      <c r="N48" t="n">
        <v>1860.8</v>
      </c>
      <c r="O48" t="n">
        <v>1902.4</v>
      </c>
      <c r="P48" t="n">
        <v>1974.6</v>
      </c>
      <c r="Q48" t="n">
        <v>2097.3</v>
      </c>
      <c r="R48" t="n">
        <v>2232.1</v>
      </c>
      <c r="S48" t="n">
        <v>2355.4</v>
      </c>
      <c r="T48" t="n">
        <v>2404.7</v>
      </c>
      <c r="U48" t="n">
        <v>2485</v>
      </c>
      <c r="V48" t="n">
        <v>2389.7</v>
      </c>
      <c r="W48" t="n">
        <v>2207.3</v>
      </c>
      <c r="X48" t="n">
        <v>2118.7</v>
      </c>
      <c r="Y48" t="n">
        <v>1879.2</v>
      </c>
      <c r="Z48" t="n">
        <v>1802.9</v>
      </c>
      <c r="AA48" t="n">
        <v>1860.1</v>
      </c>
      <c r="AB48" t="n">
        <v>2070.6</v>
      </c>
      <c r="AC48" t="n">
        <v>2027.8</v>
      </c>
      <c r="AD48" t="n">
        <v>2132</v>
      </c>
      <c r="AE48" t="n">
        <v>2524.8</v>
      </c>
      <c r="AF48" t="n">
        <v>2770.9</v>
      </c>
    </row>
    <row r="49">
      <c r="A49" t="s">
        <v>118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64.1</v>
      </c>
      <c r="H49" t="n">
        <v>70</v>
      </c>
      <c r="I49" t="n">
        <v>89.6</v>
      </c>
      <c r="J49" t="n">
        <v>97.3</v>
      </c>
      <c r="K49" t="n">
        <v>109.7</v>
      </c>
      <c r="L49" t="n">
        <v>131.2</v>
      </c>
      <c r="M49" t="n">
        <v>152.2</v>
      </c>
      <c r="N49" t="n">
        <v>162</v>
      </c>
      <c r="O49" t="n">
        <v>176</v>
      </c>
      <c r="P49" t="n">
        <v>177.1</v>
      </c>
      <c r="Q49" t="n">
        <v>197.6</v>
      </c>
      <c r="R49" t="n">
        <v>198.1</v>
      </c>
      <c r="S49" t="n">
        <v>192.4</v>
      </c>
      <c r="T49" t="n">
        <v>177.2</v>
      </c>
      <c r="U49" t="n">
        <v>181.7</v>
      </c>
      <c r="V49" t="n">
        <v>174.5</v>
      </c>
      <c r="W49" t="n">
        <v>163.6</v>
      </c>
      <c r="X49" t="n">
        <v>155</v>
      </c>
      <c r="Y49" t="n">
        <v>158.4</v>
      </c>
      <c r="Z49" t="n">
        <v>167.8</v>
      </c>
      <c r="AA49" t="n">
        <v>164.9</v>
      </c>
      <c r="AB49" t="n">
        <v>210.5</v>
      </c>
      <c r="AC49" t="n">
        <v>241.5</v>
      </c>
      <c r="AD49" t="n">
        <v>234.8</v>
      </c>
      <c r="AE49" t="n">
        <v>450.6</v>
      </c>
      <c r="AF49" t="n">
        <v>408.8</v>
      </c>
    </row>
    <row r="50">
      <c r="A50" t="s">
        <v>118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277.6</v>
      </c>
      <c r="H50" t="n">
        <v>239.3</v>
      </c>
      <c r="I50" t="n">
        <v>254.9</v>
      </c>
      <c r="J50" t="n">
        <v>269.4</v>
      </c>
      <c r="K50" t="n">
        <v>299.9</v>
      </c>
      <c r="L50" t="n">
        <v>365</v>
      </c>
      <c r="M50" t="n">
        <v>379.3</v>
      </c>
      <c r="N50" t="n">
        <v>409</v>
      </c>
      <c r="O50" t="n">
        <v>404.7</v>
      </c>
      <c r="P50" t="n">
        <v>420.8</v>
      </c>
      <c r="Q50" t="n">
        <v>436.7</v>
      </c>
      <c r="R50" t="n">
        <v>445.5</v>
      </c>
      <c r="S50" t="n">
        <v>427.6</v>
      </c>
      <c r="T50" t="n">
        <v>404.3</v>
      </c>
      <c r="U50" t="n">
        <v>443.6</v>
      </c>
      <c r="V50" t="n">
        <v>452.7</v>
      </c>
      <c r="W50" t="n">
        <v>451.8</v>
      </c>
      <c r="X50" t="n">
        <v>490.6</v>
      </c>
      <c r="Y50" t="n">
        <v>491.4</v>
      </c>
      <c r="Z50" t="n">
        <v>571.3</v>
      </c>
      <c r="AA50" t="n">
        <v>637.8</v>
      </c>
      <c r="AB50" t="n">
        <v>799.9</v>
      </c>
      <c r="AC50" t="n">
        <v>779.3</v>
      </c>
      <c r="AD50" t="n">
        <v>919.3</v>
      </c>
      <c r="AE50" t="n">
        <v>1049.1</v>
      </c>
      <c r="AF50" t="n">
        <v>1248.2</v>
      </c>
    </row>
    <row r="51">
      <c r="A51" t="s">
        <v>118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262.5</v>
      </c>
      <c r="H51" t="n">
        <v>226.9</v>
      </c>
      <c r="I51" t="n">
        <v>241.9</v>
      </c>
      <c r="J51" t="n">
        <v>254.8</v>
      </c>
      <c r="K51" t="n">
        <v>283.4</v>
      </c>
      <c r="L51" t="n">
        <v>344</v>
      </c>
      <c r="M51" t="n">
        <v>356.6</v>
      </c>
      <c r="N51" t="n">
        <v>385.6</v>
      </c>
      <c r="O51" t="n">
        <v>381.1</v>
      </c>
      <c r="P51" t="n">
        <v>396.7</v>
      </c>
      <c r="Q51" t="n">
        <v>411.6</v>
      </c>
      <c r="R51" t="n">
        <v>418.8</v>
      </c>
      <c r="S51" t="n">
        <v>401.9</v>
      </c>
      <c r="T51" t="n">
        <v>380.8</v>
      </c>
      <c r="U51" t="n">
        <v>420.7</v>
      </c>
      <c r="V51" t="n">
        <v>430.2</v>
      </c>
      <c r="W51" t="n">
        <v>426.5</v>
      </c>
      <c r="X51" t="n">
        <v>457</v>
      </c>
      <c r="Y51" t="n">
        <v>445.7</v>
      </c>
      <c r="Z51" t="n">
        <v>522.7</v>
      </c>
      <c r="AA51" t="n">
        <v>578.4</v>
      </c>
      <c r="AB51" t="n">
        <v>736.4</v>
      </c>
      <c r="AC51" t="n">
        <v>719.6</v>
      </c>
      <c r="AD51" t="n">
        <v>858.1</v>
      </c>
      <c r="AE51" t="n">
        <v>985.8</v>
      </c>
      <c r="AF51"/>
    </row>
    <row r="52">
      <c r="A52" t="s">
        <v>118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15.1</v>
      </c>
      <c r="H52" t="n">
        <v>12.4</v>
      </c>
      <c r="I52" t="n">
        <v>13</v>
      </c>
      <c r="J52" t="n">
        <v>14.6</v>
      </c>
      <c r="K52" t="n">
        <v>16.5</v>
      </c>
      <c r="L52" t="n">
        <v>21</v>
      </c>
      <c r="M52" t="n">
        <v>22.7</v>
      </c>
      <c r="N52" t="n">
        <v>23.4</v>
      </c>
      <c r="O52" t="n">
        <v>23.6</v>
      </c>
      <c r="P52" t="n">
        <v>24.1</v>
      </c>
      <c r="Q52" t="n">
        <v>25.1</v>
      </c>
      <c r="R52" t="n">
        <v>26.7</v>
      </c>
      <c r="S52" t="n">
        <v>25.7</v>
      </c>
      <c r="T52" t="n">
        <v>23.5</v>
      </c>
      <c r="U52" t="n">
        <v>22.9</v>
      </c>
      <c r="V52" t="n">
        <v>22.5</v>
      </c>
      <c r="W52" t="n">
        <v>25.3</v>
      </c>
      <c r="X52" t="n">
        <v>33.6</v>
      </c>
      <c r="Y52" t="n">
        <v>45.7</v>
      </c>
      <c r="Z52" t="n">
        <v>48.6</v>
      </c>
      <c r="AA52" t="n">
        <v>59.4</v>
      </c>
      <c r="AB52" t="n">
        <v>63.5</v>
      </c>
      <c r="AC52" t="n">
        <v>59.7</v>
      </c>
      <c r="AD52" t="n">
        <v>61.2</v>
      </c>
      <c r="AE52" t="n">
        <v>63.3</v>
      </c>
      <c r="AF52"/>
    </row>
    <row r="53">
      <c r="A53" t="s">
        <v>118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109</v>
      </c>
      <c r="H53" t="n">
        <v>112</v>
      </c>
      <c r="I53" t="n">
        <v>204.7</v>
      </c>
      <c r="J53" t="n">
        <v>215.6</v>
      </c>
      <c r="K53" t="n">
        <v>233.9</v>
      </c>
      <c r="L53" t="n">
        <v>282</v>
      </c>
      <c r="M53" t="n">
        <v>293</v>
      </c>
      <c r="N53" t="n">
        <v>306.3</v>
      </c>
      <c r="O53" t="n">
        <v>290</v>
      </c>
      <c r="P53" t="n">
        <v>304.7</v>
      </c>
      <c r="Q53" t="n">
        <v>298.2</v>
      </c>
      <c r="R53" t="n">
        <v>312.6</v>
      </c>
      <c r="S53" t="n">
        <v>299</v>
      </c>
      <c r="T53" t="n">
        <v>266.9</v>
      </c>
      <c r="U53" t="n">
        <v>275.1</v>
      </c>
      <c r="V53" t="n">
        <v>265.9</v>
      </c>
      <c r="W53" t="n">
        <v>249.1</v>
      </c>
      <c r="X53" t="n">
        <v>247.2</v>
      </c>
      <c r="Y53" t="n">
        <v>252.5</v>
      </c>
      <c r="Z53" t="n">
        <v>253.1</v>
      </c>
      <c r="AA53" t="n">
        <v>270.8</v>
      </c>
      <c r="AB53" t="n">
        <v>272.2</v>
      </c>
      <c r="AC53" t="n">
        <v>267.2</v>
      </c>
      <c r="AD53" t="n">
        <v>281.9</v>
      </c>
      <c r="AE53" t="n">
        <v>287.6</v>
      </c>
      <c r="AF53" t="n">
        <v>409.2</v>
      </c>
    </row>
    <row r="54">
      <c r="A54" t="s">
        <v>118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133.5</v>
      </c>
      <c r="H54" t="n">
        <v>135.8</v>
      </c>
      <c r="I54" t="n">
        <v>251</v>
      </c>
      <c r="J54" t="n">
        <v>264.6</v>
      </c>
      <c r="K54" t="n">
        <v>292.4</v>
      </c>
      <c r="L54" t="n">
        <v>354.6</v>
      </c>
      <c r="M54" t="n">
        <v>363.9</v>
      </c>
      <c r="N54" t="n">
        <v>384.2</v>
      </c>
      <c r="O54" t="n">
        <v>365.9</v>
      </c>
      <c r="P54" t="n">
        <v>378.6</v>
      </c>
      <c r="Q54" t="n">
        <v>373.1</v>
      </c>
      <c r="R54" t="n">
        <v>389.4</v>
      </c>
      <c r="S54" t="n">
        <v>385.5</v>
      </c>
      <c r="T54" t="n">
        <v>340.4</v>
      </c>
      <c r="U54" t="n">
        <v>349.3</v>
      </c>
      <c r="V54" t="n">
        <v>337.1</v>
      </c>
      <c r="W54" t="n">
        <v>335.7</v>
      </c>
      <c r="X54" t="n">
        <v>348.6</v>
      </c>
      <c r="Y54" t="n">
        <v>369.4</v>
      </c>
      <c r="Z54" t="n">
        <v>366.7</v>
      </c>
      <c r="AA54" t="n">
        <v>396.5</v>
      </c>
      <c r="AB54" t="n">
        <v>431.7</v>
      </c>
      <c r="AC54" t="n">
        <v>424</v>
      </c>
      <c r="AD54" t="n">
        <v>435.7</v>
      </c>
      <c r="AE54" t="n">
        <v>469</v>
      </c>
      <c r="AF54" t="n">
        <v>592.6</v>
      </c>
    </row>
    <row r="55">
      <c r="A55" t="s">
        <v>118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24.5</v>
      </c>
      <c r="H55" t="n">
        <v>23.8</v>
      </c>
      <c r="I55" t="n">
        <v>46.3</v>
      </c>
      <c r="J55" t="n">
        <v>49</v>
      </c>
      <c r="K55" t="n">
        <v>58.5</v>
      </c>
      <c r="L55" t="n">
        <v>72.6</v>
      </c>
      <c r="M55" t="n">
        <v>70.9</v>
      </c>
      <c r="N55" t="n">
        <v>77.9</v>
      </c>
      <c r="O55" t="n">
        <v>75.9</v>
      </c>
      <c r="P55" t="n">
        <v>73.9</v>
      </c>
      <c r="Q55" t="n">
        <v>74.9</v>
      </c>
      <c r="R55" t="n">
        <v>76.8</v>
      </c>
      <c r="S55" t="n">
        <v>86.5</v>
      </c>
      <c r="T55" t="n">
        <v>73.5</v>
      </c>
      <c r="U55" t="n">
        <v>74.2</v>
      </c>
      <c r="V55" t="n">
        <v>71.2</v>
      </c>
      <c r="W55" t="n">
        <v>86.6</v>
      </c>
      <c r="X55" t="n">
        <v>101.4</v>
      </c>
      <c r="Y55" t="n">
        <v>116.9</v>
      </c>
      <c r="Z55" t="n">
        <v>113.6</v>
      </c>
      <c r="AA55" t="n">
        <v>125.7</v>
      </c>
      <c r="AB55" t="n">
        <v>159.5</v>
      </c>
      <c r="AC55" t="n">
        <v>156.8</v>
      </c>
      <c r="AD55" t="n">
        <v>153.8</v>
      </c>
      <c r="AE55" t="n">
        <v>181.4</v>
      </c>
      <c r="AF55" t="n">
        <v>183.4</v>
      </c>
    </row>
    <row r="56">
      <c r="A56" t="s">
        <v>118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118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9255.9</v>
      </c>
      <c r="H57" t="n">
        <v>9802.6</v>
      </c>
      <c r="I57" t="n">
        <v>11145.5</v>
      </c>
      <c r="J57" t="n">
        <v>11715.6</v>
      </c>
      <c r="K57" t="n">
        <v>13467.6</v>
      </c>
      <c r="L57" t="n">
        <v>15721.2</v>
      </c>
      <c r="M57" t="n">
        <v>16481.4</v>
      </c>
      <c r="N57" t="n">
        <v>17599.8</v>
      </c>
      <c r="O57" t="n">
        <v>17838.7</v>
      </c>
      <c r="P57" t="n">
        <v>18042.9</v>
      </c>
      <c r="Q57" t="n">
        <v>18383.7</v>
      </c>
      <c r="R57" t="n">
        <v>19037.4</v>
      </c>
      <c r="S57" t="n">
        <v>18946</v>
      </c>
      <c r="T57" t="n">
        <v>17142.1</v>
      </c>
      <c r="U57" t="n">
        <v>17809</v>
      </c>
      <c r="V57" t="n">
        <v>17279.2</v>
      </c>
      <c r="W57" t="n">
        <v>16889.7</v>
      </c>
      <c r="X57" t="n">
        <v>17010.4</v>
      </c>
      <c r="Y57" t="n">
        <v>16387.2</v>
      </c>
      <c r="Z57" t="n">
        <v>15913.9</v>
      </c>
      <c r="AA57" t="n">
        <v>16762.9</v>
      </c>
      <c r="AB57" t="n">
        <v>17766.6</v>
      </c>
      <c r="AC57" t="n">
        <v>17600.1</v>
      </c>
      <c r="AD57" t="n">
        <v>17507.2</v>
      </c>
      <c r="AE57" t="n">
        <v>18224.4</v>
      </c>
      <c r="AF57" t="n">
        <v>19108.2</v>
      </c>
    </row>
    <row r="58">
      <c r="A58" t="s">
        <v>118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9255.9</v>
      </c>
      <c r="H58" t="n">
        <v>9802.6</v>
      </c>
      <c r="I58" t="n">
        <v>11145.5</v>
      </c>
      <c r="J58" t="n">
        <v>11715.6</v>
      </c>
      <c r="K58" t="n">
        <v>13467.6</v>
      </c>
      <c r="L58" t="n">
        <v>15721.2</v>
      </c>
      <c r="M58" t="n">
        <v>16481.4</v>
      </c>
      <c r="N58" t="n">
        <v>17599.8</v>
      </c>
      <c r="O58" t="n">
        <v>17838.7</v>
      </c>
      <c r="P58" t="n">
        <v>18042.9</v>
      </c>
      <c r="Q58" t="n">
        <v>18383.7</v>
      </c>
      <c r="R58" t="n">
        <v>19037.4</v>
      </c>
      <c r="S58" t="n">
        <v>18946</v>
      </c>
      <c r="T58" t="n">
        <v>17142.1</v>
      </c>
      <c r="U58" t="n">
        <v>17809</v>
      </c>
      <c r="V58" t="n">
        <v>17279.2</v>
      </c>
      <c r="W58" t="n">
        <v>16889.7</v>
      </c>
      <c r="X58" t="n">
        <v>17010.4</v>
      </c>
      <c r="Y58" t="n">
        <v>16387.2</v>
      </c>
      <c r="Z58" t="n">
        <v>15913.9</v>
      </c>
      <c r="AA58" t="n">
        <v>16762.9</v>
      </c>
      <c r="AB58" t="n">
        <v>17766.6</v>
      </c>
      <c r="AC58" t="n">
        <v>17600.1</v>
      </c>
      <c r="AD58" t="n">
        <v>17507.2</v>
      </c>
      <c r="AE58" t="n">
        <v>18224.4</v>
      </c>
      <c r="AF58" t="n">
        <v>19108.2</v>
      </c>
    </row>
    <row r="59">
      <c r="A59" t="s">
        <v>118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120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7.9</v>
      </c>
      <c r="H2" t="n">
        <v>10.2</v>
      </c>
      <c r="I2" t="n">
        <v>11.1</v>
      </c>
      <c r="J2" t="n">
        <v>11.6</v>
      </c>
      <c r="K2" t="n">
        <v>13.3</v>
      </c>
      <c r="L2" t="n">
        <v>14.8</v>
      </c>
      <c r="M2" t="n">
        <v>15.7</v>
      </c>
      <c r="N2" t="n">
        <v>17.8</v>
      </c>
      <c r="O2" t="n">
        <v>20.3</v>
      </c>
      <c r="P2" t="n">
        <v>21.3</v>
      </c>
      <c r="Q2" t="n">
        <v>21.5</v>
      </c>
      <c r="R2" t="n">
        <v>19.8</v>
      </c>
      <c r="S2" t="n">
        <v>20.8</v>
      </c>
      <c r="T2" t="n">
        <v>20.7</v>
      </c>
      <c r="U2" t="n">
        <v>22.1</v>
      </c>
      <c r="V2" t="n">
        <v>22.2</v>
      </c>
      <c r="W2" t="n">
        <v>21.7</v>
      </c>
      <c r="X2" t="n">
        <v>21.4</v>
      </c>
      <c r="Y2" t="n">
        <v>19.7</v>
      </c>
      <c r="Z2" t="n">
        <v>18.8</v>
      </c>
      <c r="AA2" t="n">
        <v>19</v>
      </c>
      <c r="AB2" t="n">
        <v>18.8</v>
      </c>
      <c r="AC2" t="n">
        <v>18.6</v>
      </c>
      <c r="AD2" t="n">
        <v>18.3</v>
      </c>
      <c r="AE2" t="n">
        <v>17.6</v>
      </c>
      <c r="AF2" t="n">
        <v>17</v>
      </c>
    </row>
    <row r="3">
      <c r="A3" t="s">
        <v>120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41.1</v>
      </c>
      <c r="H3" t="n">
        <v>36.8</v>
      </c>
      <c r="I3" t="n">
        <v>32.5</v>
      </c>
      <c r="J3" t="n">
        <v>32.2</v>
      </c>
      <c r="K3" t="n">
        <v>35.7</v>
      </c>
      <c r="L3" t="n">
        <v>35.9</v>
      </c>
      <c r="M3" t="n">
        <v>32</v>
      </c>
      <c r="N3" t="n">
        <v>29</v>
      </c>
      <c r="O3" t="n">
        <v>36.3</v>
      </c>
      <c r="P3" t="n">
        <v>39</v>
      </c>
      <c r="Q3" t="n">
        <v>37.6</v>
      </c>
      <c r="R3" t="n">
        <v>33.5</v>
      </c>
      <c r="S3" t="n">
        <v>29.1</v>
      </c>
      <c r="T3" t="n">
        <v>25.9</v>
      </c>
      <c r="U3" t="n">
        <v>28.6</v>
      </c>
      <c r="V3" t="n">
        <v>29.5</v>
      </c>
      <c r="W3" t="n">
        <v>43.4</v>
      </c>
      <c r="X3" t="n">
        <v>54.6</v>
      </c>
      <c r="Y3" t="n">
        <v>148.7</v>
      </c>
      <c r="Z3" t="n">
        <v>161.2</v>
      </c>
      <c r="AA3" t="n">
        <v>212.8</v>
      </c>
      <c r="AB3" t="n">
        <v>230.2</v>
      </c>
      <c r="AC3" t="n">
        <v>404.5</v>
      </c>
      <c r="AD3" t="n">
        <v>647.6</v>
      </c>
      <c r="AE3" t="n">
        <v>681.1</v>
      </c>
      <c r="AF3" t="n">
        <v>782.8</v>
      </c>
    </row>
    <row r="4">
      <c r="A4" t="s">
        <v>120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942.1</v>
      </c>
      <c r="H4" t="n">
        <v>1224.4</v>
      </c>
      <c r="I4" t="n">
        <v>1374.5</v>
      </c>
      <c r="J4" t="n">
        <v>1420</v>
      </c>
      <c r="K4" t="n">
        <v>1545.8</v>
      </c>
      <c r="L4" t="n">
        <v>1720.9</v>
      </c>
      <c r="M4" t="n">
        <v>1716.9</v>
      </c>
      <c r="N4" t="n">
        <v>1767.4</v>
      </c>
      <c r="O4" t="n">
        <v>1866.4</v>
      </c>
      <c r="P4" t="n">
        <v>1839.1</v>
      </c>
      <c r="Q4" t="n">
        <v>1903</v>
      </c>
      <c r="R4" t="n">
        <v>1838.1</v>
      </c>
      <c r="S4" t="n">
        <v>1792.3</v>
      </c>
      <c r="T4" t="n">
        <v>1613.7</v>
      </c>
      <c r="U4" t="n">
        <v>1730.3</v>
      </c>
      <c r="V4" t="n">
        <v>1741.5</v>
      </c>
      <c r="W4" t="n">
        <v>1653.5</v>
      </c>
      <c r="X4" t="n">
        <v>1590</v>
      </c>
      <c r="Y4" t="n">
        <v>1473.1</v>
      </c>
      <c r="Z4" t="n">
        <v>1402.9</v>
      </c>
      <c r="AA4" t="n">
        <v>1467.4</v>
      </c>
      <c r="AB4" t="n">
        <v>1439.8</v>
      </c>
      <c r="AC4" t="n">
        <v>1442.5</v>
      </c>
      <c r="AD4" t="n">
        <v>1429.5</v>
      </c>
      <c r="AE4" t="n">
        <v>1364.6</v>
      </c>
      <c r="AF4" t="n">
        <v>1283.9</v>
      </c>
    </row>
    <row r="5">
      <c r="A5" t="s">
        <v>120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103.5</v>
      </c>
      <c r="H5" t="n">
        <v>127.9</v>
      </c>
      <c r="I5" t="n">
        <v>142.3</v>
      </c>
      <c r="J5" t="n">
        <v>162.8</v>
      </c>
      <c r="K5" t="n">
        <v>180.4</v>
      </c>
      <c r="L5" t="n">
        <v>202.8</v>
      </c>
      <c r="M5" t="n">
        <v>199.7</v>
      </c>
      <c r="N5" t="n">
        <v>209.6</v>
      </c>
      <c r="O5" t="n">
        <v>229.2</v>
      </c>
      <c r="P5" t="n">
        <v>230.2</v>
      </c>
      <c r="Q5" t="n">
        <v>244.7</v>
      </c>
      <c r="R5" t="n">
        <v>239</v>
      </c>
      <c r="S5" t="n">
        <v>236.9</v>
      </c>
      <c r="T5" t="n">
        <v>221.2</v>
      </c>
      <c r="U5" t="n">
        <v>231.3</v>
      </c>
      <c r="V5" t="n">
        <v>227.5</v>
      </c>
      <c r="W5" t="n">
        <v>224.5</v>
      </c>
      <c r="X5" t="n">
        <v>221.2</v>
      </c>
      <c r="Y5" t="n">
        <v>209.9</v>
      </c>
      <c r="Z5" t="n">
        <v>215.3</v>
      </c>
      <c r="AA5" t="n">
        <v>241.7</v>
      </c>
      <c r="AB5" t="n">
        <v>238.5</v>
      </c>
      <c r="AC5" t="n">
        <v>230.1</v>
      </c>
      <c r="AD5" t="n">
        <v>250.1</v>
      </c>
      <c r="AE5" t="n">
        <v>257.5</v>
      </c>
      <c r="AF5"/>
    </row>
    <row r="6">
      <c r="A6" t="s">
        <v>120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76</v>
      </c>
      <c r="H6" t="n">
        <v>101.6</v>
      </c>
      <c r="I6" t="n">
        <v>128.9</v>
      </c>
      <c r="J6" t="n">
        <v>134.6</v>
      </c>
      <c r="K6" t="n">
        <v>152.5</v>
      </c>
      <c r="L6" t="n">
        <v>177.6</v>
      </c>
      <c r="M6" t="n">
        <v>176</v>
      </c>
      <c r="N6" t="n">
        <v>180.7</v>
      </c>
      <c r="O6" t="n">
        <v>182.9</v>
      </c>
      <c r="P6" t="n">
        <v>178.3</v>
      </c>
      <c r="Q6" t="n">
        <v>184.9</v>
      </c>
      <c r="R6" t="n">
        <v>197.1</v>
      </c>
      <c r="S6" t="n">
        <v>172.9</v>
      </c>
      <c r="T6" t="n">
        <v>160</v>
      </c>
      <c r="U6" t="n">
        <v>169.2</v>
      </c>
      <c r="V6" t="n">
        <v>168.3</v>
      </c>
      <c r="W6" t="n">
        <v>163.1</v>
      </c>
      <c r="X6" t="n">
        <v>161.5</v>
      </c>
      <c r="Y6" t="n">
        <v>143.9</v>
      </c>
      <c r="Z6" t="n">
        <v>133.1</v>
      </c>
      <c r="AA6" t="n">
        <v>131.4</v>
      </c>
      <c r="AB6" t="n">
        <v>134.5</v>
      </c>
      <c r="AC6" t="n">
        <v>143</v>
      </c>
      <c r="AD6" t="n">
        <v>138.8</v>
      </c>
      <c r="AE6" t="n">
        <v>126</v>
      </c>
      <c r="AF6"/>
    </row>
    <row r="7">
      <c r="A7" t="s">
        <v>120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96.5</v>
      </c>
      <c r="H7" t="n">
        <v>109</v>
      </c>
      <c r="I7" t="n">
        <v>132.1</v>
      </c>
      <c r="J7" t="n">
        <v>133.7</v>
      </c>
      <c r="K7" t="n">
        <v>154.7</v>
      </c>
      <c r="L7" t="n">
        <v>178.1</v>
      </c>
      <c r="M7" t="n">
        <v>191.1</v>
      </c>
      <c r="N7" t="n">
        <v>203.3</v>
      </c>
      <c r="O7" t="n">
        <v>200.7</v>
      </c>
      <c r="P7" t="n">
        <v>209.5</v>
      </c>
      <c r="Q7" t="n">
        <v>205.7</v>
      </c>
      <c r="R7" t="n">
        <v>190.3</v>
      </c>
      <c r="S7" t="n">
        <v>175</v>
      </c>
      <c r="T7" t="n">
        <v>156.7</v>
      </c>
      <c r="U7" t="n">
        <v>171.6</v>
      </c>
      <c r="V7" t="n">
        <v>176.2</v>
      </c>
      <c r="W7" t="n">
        <v>159.7</v>
      </c>
      <c r="X7" t="n">
        <v>145.5</v>
      </c>
      <c r="Y7" t="n">
        <v>123.8</v>
      </c>
      <c r="Z7" t="n">
        <v>107</v>
      </c>
      <c r="AA7" t="n">
        <v>113.8</v>
      </c>
      <c r="AB7" t="n">
        <v>107.6</v>
      </c>
      <c r="AC7" t="n">
        <v>106.4</v>
      </c>
      <c r="AD7" t="n">
        <v>99.5</v>
      </c>
      <c r="AE7" t="n">
        <v>92.4</v>
      </c>
      <c r="AF7"/>
    </row>
    <row r="8">
      <c r="A8" t="s">
        <v>120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27.4</v>
      </c>
      <c r="H8" t="n">
        <v>26.4</v>
      </c>
      <c r="I8" t="n">
        <v>24.7</v>
      </c>
      <c r="J8" t="n">
        <v>20.5</v>
      </c>
      <c r="K8" t="n">
        <v>25.1</v>
      </c>
      <c r="L8" t="n">
        <v>28.8</v>
      </c>
      <c r="M8" t="n">
        <v>27</v>
      </c>
      <c r="N8" t="n">
        <v>27</v>
      </c>
      <c r="O8" t="n">
        <v>24.1</v>
      </c>
      <c r="P8" t="n">
        <v>20.8</v>
      </c>
      <c r="Q8" t="n">
        <v>21.2</v>
      </c>
      <c r="R8" t="n">
        <v>19.9</v>
      </c>
      <c r="S8" t="n">
        <v>20.7</v>
      </c>
      <c r="T8" t="n">
        <v>19</v>
      </c>
      <c r="U8" t="n">
        <v>21.4</v>
      </c>
      <c r="V8" t="n">
        <v>22.4</v>
      </c>
      <c r="W8" t="n">
        <v>21.8</v>
      </c>
      <c r="X8" t="n">
        <v>20.5</v>
      </c>
      <c r="Y8" t="n">
        <v>17.4</v>
      </c>
      <c r="Z8" t="n">
        <v>16</v>
      </c>
      <c r="AA8" t="n">
        <v>15</v>
      </c>
      <c r="AB8" t="n">
        <v>13.6</v>
      </c>
      <c r="AC8" t="n">
        <v>12.8</v>
      </c>
      <c r="AD8" t="n">
        <v>12.8</v>
      </c>
      <c r="AE8" t="n">
        <v>12.3</v>
      </c>
      <c r="AF8"/>
    </row>
    <row r="9">
      <c r="A9" t="s">
        <v>120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30</v>
      </c>
      <c r="H9" t="n">
        <v>57.1</v>
      </c>
      <c r="I9" t="n">
        <v>72.1</v>
      </c>
      <c r="J9" t="n">
        <v>76.1</v>
      </c>
      <c r="K9" t="n">
        <v>82.1</v>
      </c>
      <c r="L9" t="n">
        <v>87.7</v>
      </c>
      <c r="M9" t="n">
        <v>86.9</v>
      </c>
      <c r="N9" t="n">
        <v>89.7</v>
      </c>
      <c r="O9" t="n">
        <v>97</v>
      </c>
      <c r="P9" t="n">
        <v>92.1</v>
      </c>
      <c r="Q9" t="n">
        <v>109</v>
      </c>
      <c r="R9" t="n">
        <v>104.4</v>
      </c>
      <c r="S9" t="n">
        <v>107.6</v>
      </c>
      <c r="T9" t="n">
        <v>91.9</v>
      </c>
      <c r="U9" t="n">
        <v>97.5</v>
      </c>
      <c r="V9" t="n">
        <v>96.9</v>
      </c>
      <c r="W9" t="n">
        <v>85.9</v>
      </c>
      <c r="X9" t="n">
        <v>79.5</v>
      </c>
      <c r="Y9" t="n">
        <v>78</v>
      </c>
      <c r="Z9" t="n">
        <v>70.6</v>
      </c>
      <c r="AA9" t="n">
        <v>68.6</v>
      </c>
      <c r="AB9" t="n">
        <v>59.4</v>
      </c>
      <c r="AC9" t="n">
        <v>53.2</v>
      </c>
      <c r="AD9" t="n">
        <v>47.7</v>
      </c>
      <c r="AE9" t="n">
        <v>43</v>
      </c>
      <c r="AF9"/>
    </row>
    <row r="10">
      <c r="A10" t="s">
        <v>120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67.9</v>
      </c>
      <c r="H10" t="n">
        <v>109.3</v>
      </c>
      <c r="I10" t="n">
        <v>119.3</v>
      </c>
      <c r="J10" t="n">
        <v>121.9</v>
      </c>
      <c r="K10" t="n">
        <v>128.6</v>
      </c>
      <c r="L10" t="n">
        <v>137.3</v>
      </c>
      <c r="M10" t="n">
        <v>135.1</v>
      </c>
      <c r="N10" t="n">
        <v>135.9</v>
      </c>
      <c r="O10" t="n">
        <v>150.7</v>
      </c>
      <c r="P10" t="n">
        <v>139.5</v>
      </c>
      <c r="Q10" t="n">
        <v>160.1</v>
      </c>
      <c r="R10" t="n">
        <v>152.9</v>
      </c>
      <c r="S10" t="n">
        <v>149.2</v>
      </c>
      <c r="T10" t="n">
        <v>127.6</v>
      </c>
      <c r="U10" t="n">
        <v>135.8</v>
      </c>
      <c r="V10" t="n">
        <v>135.7</v>
      </c>
      <c r="W10" t="n">
        <v>124.6</v>
      </c>
      <c r="X10" t="n">
        <v>116.9</v>
      </c>
      <c r="Y10" t="n">
        <v>114.3</v>
      </c>
      <c r="Z10" t="n">
        <v>108.2</v>
      </c>
      <c r="AA10" t="n">
        <v>111</v>
      </c>
      <c r="AB10" t="n">
        <v>104</v>
      </c>
      <c r="AC10" t="n">
        <v>97.7</v>
      </c>
      <c r="AD10" t="n">
        <v>92.2</v>
      </c>
      <c r="AE10" t="n">
        <v>87.3</v>
      </c>
      <c r="AF10"/>
    </row>
    <row r="11">
      <c r="A11" t="s">
        <v>120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37.9</v>
      </c>
      <c r="H11" t="n">
        <v>52.2</v>
      </c>
      <c r="I11" t="n">
        <v>47.2</v>
      </c>
      <c r="J11" t="n">
        <v>45.8</v>
      </c>
      <c r="K11" t="n">
        <v>46.5</v>
      </c>
      <c r="L11" t="n">
        <v>49.6</v>
      </c>
      <c r="M11" t="n">
        <v>48.2</v>
      </c>
      <c r="N11" t="n">
        <v>46.2</v>
      </c>
      <c r="O11" t="n">
        <v>53.7</v>
      </c>
      <c r="P11" t="n">
        <v>47.4</v>
      </c>
      <c r="Q11" t="n">
        <v>51.1</v>
      </c>
      <c r="R11" t="n">
        <v>48.5</v>
      </c>
      <c r="S11" t="n">
        <v>41.6</v>
      </c>
      <c r="T11" t="n">
        <v>35.7</v>
      </c>
      <c r="U11" t="n">
        <v>38.3</v>
      </c>
      <c r="V11" t="n">
        <v>38.8</v>
      </c>
      <c r="W11" t="n">
        <v>38.7</v>
      </c>
      <c r="X11" t="n">
        <v>37.4</v>
      </c>
      <c r="Y11" t="n">
        <v>36.3</v>
      </c>
      <c r="Z11" t="n">
        <v>37.6</v>
      </c>
      <c r="AA11" t="n">
        <v>42.4</v>
      </c>
      <c r="AB11" t="n">
        <v>44.6</v>
      </c>
      <c r="AC11" t="n">
        <v>44.5</v>
      </c>
      <c r="AD11" t="n">
        <v>44.5</v>
      </c>
      <c r="AE11" t="n">
        <v>44.3</v>
      </c>
      <c r="AF11"/>
    </row>
    <row r="12">
      <c r="A12" t="s">
        <v>120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98.7</v>
      </c>
      <c r="H12" t="n">
        <v>116</v>
      </c>
      <c r="I12" t="n">
        <v>127.4</v>
      </c>
      <c r="J12" t="n">
        <v>134.7</v>
      </c>
      <c r="K12" t="n">
        <v>140.7</v>
      </c>
      <c r="L12" t="n">
        <v>153.3</v>
      </c>
      <c r="M12" t="n">
        <v>150.2</v>
      </c>
      <c r="N12" t="n">
        <v>159.9</v>
      </c>
      <c r="O12" t="n">
        <v>176.2</v>
      </c>
      <c r="P12" t="n">
        <v>173</v>
      </c>
      <c r="Q12" t="n">
        <v>173.5</v>
      </c>
      <c r="R12" t="n">
        <v>163.5</v>
      </c>
      <c r="S12" t="n">
        <v>163.2</v>
      </c>
      <c r="T12" t="n">
        <v>140.9</v>
      </c>
      <c r="U12" t="n">
        <v>150.3</v>
      </c>
      <c r="V12" t="n">
        <v>150.9</v>
      </c>
      <c r="W12" t="n">
        <v>146.5</v>
      </c>
      <c r="X12" t="n">
        <v>143.6</v>
      </c>
      <c r="Y12" t="n">
        <v>129.8</v>
      </c>
      <c r="Z12" t="n">
        <v>119.9</v>
      </c>
      <c r="AA12" t="n">
        <v>117</v>
      </c>
      <c r="AB12" t="n">
        <v>112.2</v>
      </c>
      <c r="AC12" t="n">
        <v>103</v>
      </c>
      <c r="AD12" t="n">
        <v>101.4</v>
      </c>
      <c r="AE12" t="n">
        <v>94.3</v>
      </c>
      <c r="AF12"/>
    </row>
    <row r="13">
      <c r="A13" t="s">
        <v>120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105.7</v>
      </c>
      <c r="H13" t="n">
        <v>166.3</v>
      </c>
      <c r="I13" t="n">
        <v>196.6</v>
      </c>
      <c r="J13" t="n">
        <v>214.3</v>
      </c>
      <c r="K13" t="n">
        <v>227.2</v>
      </c>
      <c r="L13" t="n">
        <v>253.9</v>
      </c>
      <c r="M13" t="n">
        <v>254.9</v>
      </c>
      <c r="N13" t="n">
        <v>257.8</v>
      </c>
      <c r="O13" t="n">
        <v>282.9</v>
      </c>
      <c r="P13" t="n">
        <v>273.7</v>
      </c>
      <c r="Q13" t="n">
        <v>268.6</v>
      </c>
      <c r="R13" t="n">
        <v>249.7</v>
      </c>
      <c r="S13" t="n">
        <v>247.6</v>
      </c>
      <c r="T13" t="n">
        <v>217.3</v>
      </c>
      <c r="U13" t="n">
        <v>237.7</v>
      </c>
      <c r="V13" t="n">
        <v>243.6</v>
      </c>
      <c r="W13" t="n">
        <v>224</v>
      </c>
      <c r="X13" t="n">
        <v>214.3</v>
      </c>
      <c r="Y13" t="n">
        <v>211.3</v>
      </c>
      <c r="Z13" t="n">
        <v>214.3</v>
      </c>
      <c r="AA13" t="n">
        <v>210.5</v>
      </c>
      <c r="AB13" t="n">
        <v>196</v>
      </c>
      <c r="AC13" t="n">
        <v>181.2</v>
      </c>
      <c r="AD13" t="n">
        <v>168.3</v>
      </c>
      <c r="AE13" t="n">
        <v>147.3</v>
      </c>
      <c r="AF13"/>
    </row>
    <row r="14">
      <c r="A14" t="s">
        <v>120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50.6</v>
      </c>
      <c r="H14" t="n">
        <v>55.2</v>
      </c>
      <c r="I14" t="n">
        <v>61.1</v>
      </c>
      <c r="J14" t="n">
        <v>63.3</v>
      </c>
      <c r="K14" t="n">
        <v>58.8</v>
      </c>
      <c r="L14" t="n">
        <v>69.9</v>
      </c>
      <c r="M14" t="n">
        <v>68.9</v>
      </c>
      <c r="N14" t="n">
        <v>70.6</v>
      </c>
      <c r="O14" t="n">
        <v>75.3</v>
      </c>
      <c r="P14" t="n">
        <v>74.4</v>
      </c>
      <c r="Q14" t="n">
        <v>83.1</v>
      </c>
      <c r="R14" t="n">
        <v>86.5</v>
      </c>
      <c r="S14" t="n">
        <v>77.2</v>
      </c>
      <c r="T14" t="n">
        <v>69.5</v>
      </c>
      <c r="U14" t="n">
        <v>74.3</v>
      </c>
      <c r="V14" t="n">
        <v>74.6</v>
      </c>
      <c r="W14" t="n">
        <v>66.6</v>
      </c>
      <c r="X14" t="n">
        <v>61.2</v>
      </c>
      <c r="Y14" t="n">
        <v>51.2</v>
      </c>
      <c r="Z14" t="n">
        <v>44</v>
      </c>
      <c r="AA14" t="n">
        <v>42.3</v>
      </c>
      <c r="AB14" t="n">
        <v>43.2</v>
      </c>
      <c r="AC14" t="n">
        <v>49.4</v>
      </c>
      <c r="AD14" t="n">
        <v>51.7</v>
      </c>
      <c r="AE14" t="n">
        <v>55.3</v>
      </c>
      <c r="AF14"/>
    </row>
    <row r="15">
      <c r="A15" t="s">
        <v>120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81.3</v>
      </c>
      <c r="H15" t="n">
        <v>110</v>
      </c>
      <c r="I15" t="n">
        <v>125.6</v>
      </c>
      <c r="J15" t="n">
        <v>125.1</v>
      </c>
      <c r="K15" t="n">
        <v>129.4</v>
      </c>
      <c r="L15" t="n">
        <v>156.4</v>
      </c>
      <c r="M15" t="n">
        <v>151.4</v>
      </c>
      <c r="N15" t="n">
        <v>155.7</v>
      </c>
      <c r="O15" t="n">
        <v>163.5</v>
      </c>
      <c r="P15" t="n">
        <v>165.5</v>
      </c>
      <c r="Q15" t="n">
        <v>172.7</v>
      </c>
      <c r="R15" t="n">
        <v>173.4</v>
      </c>
      <c r="S15" t="n">
        <v>156.2</v>
      </c>
      <c r="T15" t="n">
        <v>145.4</v>
      </c>
      <c r="U15" t="n">
        <v>156.5</v>
      </c>
      <c r="V15" t="n">
        <v>157.9</v>
      </c>
      <c r="W15" t="n">
        <v>141.3</v>
      </c>
      <c r="X15" t="n">
        <v>125.7</v>
      </c>
      <c r="Y15" t="n">
        <v>108.3</v>
      </c>
      <c r="Z15" t="n">
        <v>94</v>
      </c>
      <c r="AA15" t="n">
        <v>87.6</v>
      </c>
      <c r="AB15" t="n">
        <v>84</v>
      </c>
      <c r="AC15" t="n">
        <v>87</v>
      </c>
      <c r="AD15" t="n">
        <v>86.6</v>
      </c>
      <c r="AE15" t="n">
        <v>87.5</v>
      </c>
      <c r="AF15"/>
    </row>
    <row r="16">
      <c r="A16" t="s">
        <v>120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30.7</v>
      </c>
      <c r="H16" t="n">
        <v>54.8</v>
      </c>
      <c r="I16" t="n">
        <v>64.5</v>
      </c>
      <c r="J16" t="n">
        <v>61.8</v>
      </c>
      <c r="K16" t="n">
        <v>70.6</v>
      </c>
      <c r="L16" t="n">
        <v>86.5</v>
      </c>
      <c r="M16" t="n">
        <v>82.5</v>
      </c>
      <c r="N16" t="n">
        <v>85.1</v>
      </c>
      <c r="O16" t="n">
        <v>88.2</v>
      </c>
      <c r="P16" t="n">
        <v>91.1</v>
      </c>
      <c r="Q16" t="n">
        <v>89.6</v>
      </c>
      <c r="R16" t="n">
        <v>86.9</v>
      </c>
      <c r="S16" t="n">
        <v>79</v>
      </c>
      <c r="T16" t="n">
        <v>75.9</v>
      </c>
      <c r="U16" t="n">
        <v>82.2</v>
      </c>
      <c r="V16" t="n">
        <v>83.3</v>
      </c>
      <c r="W16" t="n">
        <v>74.7</v>
      </c>
      <c r="X16" t="n">
        <v>64.5</v>
      </c>
      <c r="Y16" t="n">
        <v>57.1</v>
      </c>
      <c r="Z16" t="n">
        <v>50</v>
      </c>
      <c r="AA16" t="n">
        <v>45.3</v>
      </c>
      <c r="AB16" t="n">
        <v>40.8</v>
      </c>
      <c r="AC16" t="n">
        <v>37.6</v>
      </c>
      <c r="AD16" t="n">
        <v>34.9</v>
      </c>
      <c r="AE16" t="n">
        <v>32.2</v>
      </c>
      <c r="AF16"/>
    </row>
    <row r="17">
      <c r="A17" t="s">
        <v>120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112.8</v>
      </c>
      <c r="H17" t="n">
        <v>137</v>
      </c>
      <c r="I17" t="n">
        <v>135.3</v>
      </c>
      <c r="J17" t="n">
        <v>140.5</v>
      </c>
      <c r="K17" t="n">
        <v>162</v>
      </c>
      <c r="L17" t="n">
        <v>176.8</v>
      </c>
      <c r="M17" t="n">
        <v>179.9</v>
      </c>
      <c r="N17" t="n">
        <v>179.4</v>
      </c>
      <c r="O17" t="n">
        <v>192.7</v>
      </c>
      <c r="P17" t="n">
        <v>191.8</v>
      </c>
      <c r="Q17" t="n">
        <v>199.4</v>
      </c>
      <c r="R17" t="n">
        <v>192</v>
      </c>
      <c r="S17" t="n">
        <v>210</v>
      </c>
      <c r="T17" t="n">
        <v>182.5</v>
      </c>
      <c r="U17" t="n">
        <v>195</v>
      </c>
      <c r="V17" t="n">
        <v>195.3</v>
      </c>
      <c r="W17" t="n">
        <v>189.2</v>
      </c>
      <c r="X17" t="n">
        <v>187.6</v>
      </c>
      <c r="Y17" t="n">
        <v>181.7</v>
      </c>
      <c r="Z17" t="n">
        <v>174.8</v>
      </c>
      <c r="AA17" t="n">
        <v>224.7</v>
      </c>
      <c r="AB17" t="n">
        <v>248.1</v>
      </c>
      <c r="AC17" t="n">
        <v>288.3</v>
      </c>
      <c r="AD17" t="n">
        <v>283.5</v>
      </c>
      <c r="AE17" t="n">
        <v>271.3</v>
      </c>
      <c r="AF17"/>
    </row>
    <row r="18">
      <c r="A18" t="s">
        <v>120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74.5</v>
      </c>
      <c r="H18" t="n">
        <v>96</v>
      </c>
      <c r="I18" t="n">
        <v>92.3</v>
      </c>
      <c r="J18" t="n">
        <v>89.5</v>
      </c>
      <c r="K18" t="n">
        <v>97.6</v>
      </c>
      <c r="L18" t="n">
        <v>103</v>
      </c>
      <c r="M18" t="n">
        <v>100.9</v>
      </c>
      <c r="N18" t="n">
        <v>101.2</v>
      </c>
      <c r="O18" t="n">
        <v>101.1</v>
      </c>
      <c r="P18" t="n">
        <v>99.8</v>
      </c>
      <c r="Q18" t="n">
        <v>110.8</v>
      </c>
      <c r="R18" t="n">
        <v>103.2</v>
      </c>
      <c r="S18" t="n">
        <v>105.8</v>
      </c>
      <c r="T18" t="n">
        <v>105.5</v>
      </c>
      <c r="U18" t="n">
        <v>112.3</v>
      </c>
      <c r="V18" t="n">
        <v>112</v>
      </c>
      <c r="W18" t="n">
        <v>112.9</v>
      </c>
      <c r="X18" t="n">
        <v>117.4</v>
      </c>
      <c r="Y18" t="n">
        <v>109.6</v>
      </c>
      <c r="Z18" t="n">
        <v>103</v>
      </c>
      <c r="AA18" t="n">
        <v>103.1</v>
      </c>
      <c r="AB18" t="n">
        <v>90.9</v>
      </c>
      <c r="AC18" t="n">
        <v>85.8</v>
      </c>
      <c r="AD18" t="n">
        <v>79.2</v>
      </c>
      <c r="AE18" t="n">
        <v>73.3</v>
      </c>
      <c r="AF18"/>
    </row>
    <row r="19">
      <c r="A19" t="s">
        <v>120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97.8</v>
      </c>
      <c r="H19" t="n">
        <v>124.9</v>
      </c>
      <c r="I19" t="n">
        <v>150</v>
      </c>
      <c r="J19" t="n">
        <v>142.4</v>
      </c>
      <c r="K19" t="n">
        <v>147.6</v>
      </c>
      <c r="L19" t="n">
        <v>152.9</v>
      </c>
      <c r="M19" t="n">
        <v>150.7</v>
      </c>
      <c r="N19" t="n">
        <v>156.9</v>
      </c>
      <c r="O19" t="n">
        <v>162.4</v>
      </c>
      <c r="P19" t="n">
        <v>157</v>
      </c>
      <c r="Q19" t="n">
        <v>161.4</v>
      </c>
      <c r="R19" t="n">
        <v>157.1</v>
      </c>
      <c r="S19" t="n">
        <v>154.8</v>
      </c>
      <c r="T19" t="n">
        <v>137.6</v>
      </c>
      <c r="U19" t="n">
        <v>149.2</v>
      </c>
      <c r="V19" t="n">
        <v>151.7</v>
      </c>
      <c r="W19" t="n">
        <v>145.9</v>
      </c>
      <c r="X19" t="n">
        <v>135.8</v>
      </c>
      <c r="Y19" t="n">
        <v>123.1</v>
      </c>
      <c r="Z19" t="n">
        <v>117.3</v>
      </c>
      <c r="AA19" t="n">
        <v>111.6</v>
      </c>
      <c r="AB19" t="n">
        <v>110.4</v>
      </c>
      <c r="AC19" t="n">
        <v>107.2</v>
      </c>
      <c r="AD19" t="n">
        <v>117.1</v>
      </c>
      <c r="AE19" t="n">
        <v>115.4</v>
      </c>
      <c r="AF19"/>
    </row>
    <row r="20">
      <c r="A20" t="s">
        <v>120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144.5</v>
      </c>
      <c r="H20" t="n">
        <v>152.2</v>
      </c>
      <c r="I20" t="n">
        <v>161.1</v>
      </c>
      <c r="J20" t="n">
        <v>157.1</v>
      </c>
      <c r="K20" t="n">
        <v>173.5</v>
      </c>
      <c r="L20" t="n">
        <v>220.2</v>
      </c>
      <c r="M20" t="n">
        <v>209.8</v>
      </c>
      <c r="N20" t="n">
        <v>254.7</v>
      </c>
      <c r="O20" t="n">
        <v>275.6</v>
      </c>
      <c r="P20" t="n">
        <v>265.3</v>
      </c>
      <c r="Q20" t="n">
        <v>242.1</v>
      </c>
      <c r="R20" t="n">
        <v>204.7</v>
      </c>
      <c r="S20" t="n">
        <v>217.7</v>
      </c>
      <c r="T20" t="n">
        <v>193.9</v>
      </c>
      <c r="U20" t="n">
        <v>211.1</v>
      </c>
      <c r="V20" t="n">
        <v>216.7</v>
      </c>
      <c r="W20" t="n">
        <v>205.3</v>
      </c>
      <c r="X20" t="n">
        <v>208.3</v>
      </c>
      <c r="Y20" t="n">
        <v>189.7</v>
      </c>
      <c r="Z20" t="n">
        <v>172</v>
      </c>
      <c r="AA20" t="n">
        <v>183.1</v>
      </c>
      <c r="AB20" t="n">
        <v>176.8</v>
      </c>
      <c r="AC20" t="n">
        <v>172.6</v>
      </c>
      <c r="AD20" t="n">
        <v>179.5</v>
      </c>
      <c r="AE20" t="n">
        <v>183</v>
      </c>
      <c r="AF20" t="n">
        <v>193.6</v>
      </c>
    </row>
    <row r="21">
      <c r="A21" t="s">
        <v>120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205</v>
      </c>
      <c r="H21" t="n">
        <v>222.1</v>
      </c>
      <c r="I21" t="n">
        <v>237.6</v>
      </c>
      <c r="J21" t="n">
        <v>242.2</v>
      </c>
      <c r="K21" t="n">
        <v>265.2</v>
      </c>
      <c r="L21" t="n">
        <v>319</v>
      </c>
      <c r="M21" t="n">
        <v>308.3</v>
      </c>
      <c r="N21" t="n">
        <v>362.9</v>
      </c>
      <c r="O21" t="n">
        <v>396.3</v>
      </c>
      <c r="P21" t="n">
        <v>377.5</v>
      </c>
      <c r="Q21" t="n">
        <v>366.6</v>
      </c>
      <c r="R21" t="n">
        <v>335</v>
      </c>
      <c r="S21" t="n">
        <v>340.1</v>
      </c>
      <c r="T21" t="n">
        <v>306.7</v>
      </c>
      <c r="U21" t="n">
        <v>330.9</v>
      </c>
      <c r="V21" t="n">
        <v>336.2</v>
      </c>
      <c r="W21" t="n">
        <v>335.2</v>
      </c>
      <c r="X21" t="n">
        <v>331.1</v>
      </c>
      <c r="Y21" t="n">
        <v>303.2</v>
      </c>
      <c r="Z21" t="n">
        <v>280.2</v>
      </c>
      <c r="AA21" t="n">
        <v>295.2</v>
      </c>
      <c r="AB21" t="n">
        <v>286.3</v>
      </c>
      <c r="AC21" t="n">
        <v>285</v>
      </c>
      <c r="AD21" t="n">
        <v>300.8</v>
      </c>
      <c r="AE21" t="n">
        <v>310.9</v>
      </c>
      <c r="AF21" t="n">
        <v>324.2</v>
      </c>
    </row>
    <row r="22">
      <c r="A22" t="s">
        <v>120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60.5</v>
      </c>
      <c r="H22" t="n">
        <v>69.9</v>
      </c>
      <c r="I22" t="n">
        <v>76.5</v>
      </c>
      <c r="J22" t="n">
        <v>85.1</v>
      </c>
      <c r="K22" t="n">
        <v>91.7</v>
      </c>
      <c r="L22" t="n">
        <v>98.8</v>
      </c>
      <c r="M22" t="n">
        <v>98.5</v>
      </c>
      <c r="N22" t="n">
        <v>108.2</v>
      </c>
      <c r="O22" t="n">
        <v>120.7</v>
      </c>
      <c r="P22" t="n">
        <v>112.2</v>
      </c>
      <c r="Q22" t="n">
        <v>124.5</v>
      </c>
      <c r="R22" t="n">
        <v>130.3</v>
      </c>
      <c r="S22" t="n">
        <v>122.4</v>
      </c>
      <c r="T22" t="n">
        <v>112.8</v>
      </c>
      <c r="U22" t="n">
        <v>119.8</v>
      </c>
      <c r="V22" t="n">
        <v>119.5</v>
      </c>
      <c r="W22" t="n">
        <v>129.9</v>
      </c>
      <c r="X22" t="n">
        <v>122.8</v>
      </c>
      <c r="Y22" t="n">
        <v>113.5</v>
      </c>
      <c r="Z22" t="n">
        <v>108.2</v>
      </c>
      <c r="AA22" t="n">
        <v>112.1</v>
      </c>
      <c r="AB22" t="n">
        <v>109.5</v>
      </c>
      <c r="AC22" t="n">
        <v>112.4</v>
      </c>
      <c r="AD22" t="n">
        <v>121.3</v>
      </c>
      <c r="AE22" t="n">
        <v>127.9</v>
      </c>
      <c r="AF22" t="n">
        <v>130.6</v>
      </c>
    </row>
    <row r="23">
      <c r="A23" t="s">
        <v>120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170.2</v>
      </c>
      <c r="H23" t="n">
        <v>219.4</v>
      </c>
      <c r="I23" t="n">
        <v>237.4</v>
      </c>
      <c r="J23" t="n">
        <v>207.8</v>
      </c>
      <c r="K23" t="n">
        <v>202.1</v>
      </c>
      <c r="L23" t="n">
        <v>225.4</v>
      </c>
      <c r="M23" t="n">
        <v>214.8</v>
      </c>
      <c r="N23" t="n">
        <v>243.7</v>
      </c>
      <c r="O23" t="n">
        <v>239.6</v>
      </c>
      <c r="P23" t="n">
        <v>225.9</v>
      </c>
      <c r="Q23" t="n">
        <v>230</v>
      </c>
      <c r="R23" t="n">
        <v>226.6</v>
      </c>
      <c r="S23" t="n">
        <v>217.1</v>
      </c>
      <c r="T23" t="n">
        <v>188.9</v>
      </c>
      <c r="U23" t="n">
        <v>214.5</v>
      </c>
      <c r="V23" t="n">
        <v>224.6</v>
      </c>
      <c r="W23" t="n">
        <v>204</v>
      </c>
      <c r="X23" t="n">
        <v>182.9</v>
      </c>
      <c r="Y23" t="n">
        <v>173.3</v>
      </c>
      <c r="Z23" t="n">
        <v>230.8</v>
      </c>
      <c r="AA23" t="n">
        <v>302.2</v>
      </c>
      <c r="AB23" t="n">
        <v>344.2</v>
      </c>
      <c r="AC23" t="n">
        <v>377.8</v>
      </c>
      <c r="AD23" t="n">
        <v>359.5</v>
      </c>
      <c r="AE23" t="n">
        <v>312.7</v>
      </c>
      <c r="AF23" t="n">
        <v>285.5</v>
      </c>
    </row>
    <row r="24">
      <c r="A24" t="s">
        <v>120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560.4</v>
      </c>
      <c r="H24" t="n">
        <v>809.2</v>
      </c>
      <c r="I24" t="n">
        <v>911</v>
      </c>
      <c r="J24" t="n">
        <v>903.7</v>
      </c>
      <c r="K24" t="n">
        <v>937.1</v>
      </c>
      <c r="L24" t="n">
        <v>948</v>
      </c>
      <c r="M24" t="n">
        <v>907.4</v>
      </c>
      <c r="N24" t="n">
        <v>1024.5</v>
      </c>
      <c r="O24" t="n">
        <v>1053.5</v>
      </c>
      <c r="P24" t="n">
        <v>1060.7</v>
      </c>
      <c r="Q24" t="n">
        <v>1095.8</v>
      </c>
      <c r="R24" t="n">
        <v>1078.3</v>
      </c>
      <c r="S24" t="n">
        <v>1044.3</v>
      </c>
      <c r="T24" t="n">
        <v>868.7</v>
      </c>
      <c r="U24" t="n">
        <v>954.5</v>
      </c>
      <c r="V24" t="n">
        <v>981.7</v>
      </c>
      <c r="W24" t="n">
        <v>918.2</v>
      </c>
      <c r="X24" t="n">
        <v>832.2</v>
      </c>
      <c r="Y24" t="n">
        <v>712.8</v>
      </c>
      <c r="Z24" t="n">
        <v>637.3</v>
      </c>
      <c r="AA24" t="n">
        <v>621.2</v>
      </c>
      <c r="AB24" t="n">
        <v>598.7</v>
      </c>
      <c r="AC24" t="n">
        <v>624.9</v>
      </c>
      <c r="AD24" t="n">
        <v>626.7</v>
      </c>
      <c r="AE24" t="n">
        <v>586.9</v>
      </c>
      <c r="AF24" t="n">
        <v>532.2</v>
      </c>
    </row>
    <row r="25">
      <c r="A25" t="s">
        <v>120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120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120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120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571.5</v>
      </c>
      <c r="H28" t="n">
        <v>652</v>
      </c>
      <c r="I28" t="n">
        <v>719.6</v>
      </c>
      <c r="J28" t="n">
        <v>760.3</v>
      </c>
      <c r="K28" t="n">
        <v>753.6</v>
      </c>
      <c r="L28" t="n">
        <v>770</v>
      </c>
      <c r="M28" t="n">
        <v>838.9</v>
      </c>
      <c r="N28" t="n">
        <v>797</v>
      </c>
      <c r="O28" t="n">
        <v>765.4</v>
      </c>
      <c r="P28" t="n">
        <v>822.5</v>
      </c>
      <c r="Q28" t="n">
        <v>962</v>
      </c>
      <c r="R28" t="n">
        <v>1065.9</v>
      </c>
      <c r="S28" t="n">
        <v>1056.2</v>
      </c>
      <c r="T28" t="n">
        <v>903.1</v>
      </c>
      <c r="U28" t="n">
        <v>929.4</v>
      </c>
      <c r="V28" t="n">
        <v>895</v>
      </c>
      <c r="W28" t="n">
        <v>736.9</v>
      </c>
      <c r="X28" t="n">
        <v>630.8</v>
      </c>
      <c r="Y28" t="n">
        <v>592</v>
      </c>
      <c r="Z28" t="n">
        <v>604.7</v>
      </c>
      <c r="AA28" t="n">
        <v>580.4</v>
      </c>
      <c r="AB28" t="n">
        <v>550.4</v>
      </c>
      <c r="AC28" t="n">
        <v>584.1</v>
      </c>
      <c r="AD28" t="n">
        <v>731.2</v>
      </c>
      <c r="AE28" t="n">
        <v>827.6</v>
      </c>
      <c r="AF28" t="n">
        <v>1009.1</v>
      </c>
    </row>
    <row r="29">
      <c r="A29" t="s">
        <v>120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120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120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120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120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120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1609.8</v>
      </c>
      <c r="H34" t="n">
        <v>1403.2</v>
      </c>
      <c r="I34" t="n">
        <v>1478.1</v>
      </c>
      <c r="J34" t="n">
        <v>1482</v>
      </c>
      <c r="K34" t="n">
        <v>1682.2</v>
      </c>
      <c r="L34" t="n">
        <v>2167.1</v>
      </c>
      <c r="M34" t="n">
        <v>1963.4</v>
      </c>
      <c r="N34" t="n">
        <v>1955.3</v>
      </c>
      <c r="O34" t="n">
        <v>2182.1</v>
      </c>
      <c r="P34" t="n">
        <v>2202.8</v>
      </c>
      <c r="Q34" t="n">
        <v>2125.2</v>
      </c>
      <c r="R34" t="n">
        <v>1997.3</v>
      </c>
      <c r="S34" t="n">
        <v>1767.9</v>
      </c>
      <c r="T34" t="n">
        <v>1686.6</v>
      </c>
      <c r="U34" t="n">
        <v>1845.9</v>
      </c>
      <c r="V34" t="n">
        <v>1902.8</v>
      </c>
      <c r="W34" t="n">
        <v>1689.5</v>
      </c>
      <c r="X34" t="n">
        <v>1418.2</v>
      </c>
      <c r="Y34" t="n">
        <v>1103.6</v>
      </c>
      <c r="Z34" t="n">
        <v>889</v>
      </c>
      <c r="AA34" t="n">
        <v>737.9</v>
      </c>
      <c r="AB34" t="n">
        <v>668.7</v>
      </c>
      <c r="AC34" t="n">
        <v>683.5</v>
      </c>
      <c r="AD34" t="n">
        <v>687.6</v>
      </c>
      <c r="AE34" t="n">
        <v>656.9</v>
      </c>
      <c r="AF34" t="n">
        <v>619.8</v>
      </c>
    </row>
    <row r="35">
      <c r="A35" t="s">
        <v>120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4127.8</v>
      </c>
      <c r="H35" t="n">
        <v>4968.8</v>
      </c>
      <c r="I35" t="n">
        <v>5450.9</v>
      </c>
      <c r="J35" t="n">
        <v>5847.4</v>
      </c>
      <c r="K35" t="n">
        <v>6294.1</v>
      </c>
      <c r="L35" t="n">
        <v>6196.6</v>
      </c>
      <c r="M35" t="n">
        <v>6847.4</v>
      </c>
      <c r="N35" t="n">
        <v>6757</v>
      </c>
      <c r="O35" t="n">
        <v>6706.2</v>
      </c>
      <c r="P35" t="n">
        <v>7025.5</v>
      </c>
      <c r="Q35" t="n">
        <v>6709.9</v>
      </c>
      <c r="R35" t="n">
        <v>6251</v>
      </c>
      <c r="S35" t="n">
        <v>6297.5</v>
      </c>
      <c r="T35" t="n">
        <v>5835.3</v>
      </c>
      <c r="U35" t="n">
        <v>6491.4</v>
      </c>
      <c r="V35" t="n">
        <v>6716.8</v>
      </c>
      <c r="W35" t="n">
        <v>7477</v>
      </c>
      <c r="X35" t="n">
        <v>8557.8</v>
      </c>
      <c r="Y35" t="n">
        <v>8830.7</v>
      </c>
      <c r="Z35" t="n">
        <v>9458</v>
      </c>
      <c r="AA35" t="n">
        <v>9295.9</v>
      </c>
      <c r="AB35" t="n">
        <v>10174.5</v>
      </c>
      <c r="AC35" t="n">
        <v>10966.7</v>
      </c>
      <c r="AD35" t="n">
        <v>11141.1</v>
      </c>
      <c r="AE35" t="n">
        <v>10979.9</v>
      </c>
      <c r="AF35" t="n">
        <v>10721.4</v>
      </c>
    </row>
    <row r="36">
      <c r="A36" t="s">
        <v>120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631.7</v>
      </c>
      <c r="H36" t="n">
        <v>878.5</v>
      </c>
      <c r="I36" t="n">
        <v>950.9</v>
      </c>
      <c r="J36" t="n">
        <v>1136.2</v>
      </c>
      <c r="K36" t="n">
        <v>1240.8</v>
      </c>
      <c r="L36" t="n">
        <v>1307.6</v>
      </c>
      <c r="M36" t="n">
        <v>1639.9</v>
      </c>
      <c r="N36" t="n">
        <v>1609.8</v>
      </c>
      <c r="O36" t="n">
        <v>1572.7</v>
      </c>
      <c r="P36" t="n">
        <v>1661.4</v>
      </c>
      <c r="Q36" t="n">
        <v>1506.6</v>
      </c>
      <c r="R36" t="n">
        <v>1303.7</v>
      </c>
      <c r="S36" t="n">
        <v>1343.2</v>
      </c>
      <c r="T36" t="n">
        <v>1130</v>
      </c>
      <c r="U36" t="n">
        <v>1298.8</v>
      </c>
      <c r="V36" t="n">
        <v>1382.9</v>
      </c>
      <c r="W36" t="n">
        <v>1511.5</v>
      </c>
      <c r="X36" t="n">
        <v>1481.7</v>
      </c>
      <c r="Y36" t="n">
        <v>1302.2</v>
      </c>
      <c r="Z36" t="n">
        <v>1118.4</v>
      </c>
      <c r="AA36" t="n">
        <v>922.6</v>
      </c>
      <c r="AB36" t="n">
        <v>741.8</v>
      </c>
      <c r="AC36" t="n">
        <v>685.9</v>
      </c>
      <c r="AD36" t="n">
        <v>721.8</v>
      </c>
      <c r="AE36" t="n">
        <v>721.2</v>
      </c>
      <c r="AF36"/>
    </row>
    <row r="37">
      <c r="A37" t="s">
        <v>120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3061.1</v>
      </c>
      <c r="H37" t="n">
        <v>3513.5</v>
      </c>
      <c r="I37" t="n">
        <v>3895.9</v>
      </c>
      <c r="J37" t="n">
        <v>4110.4</v>
      </c>
      <c r="K37" t="n">
        <v>4466.7</v>
      </c>
      <c r="L37" t="n">
        <v>4314.2</v>
      </c>
      <c r="M37" t="n">
        <v>4698.9</v>
      </c>
      <c r="N37" t="n">
        <v>4267.6</v>
      </c>
      <c r="O37" t="n">
        <v>4215.3</v>
      </c>
      <c r="P37" t="n">
        <v>4377.2</v>
      </c>
      <c r="Q37" t="n">
        <v>4247.8</v>
      </c>
      <c r="R37" t="n">
        <v>4044.4</v>
      </c>
      <c r="S37" t="n">
        <v>4171.5</v>
      </c>
      <c r="T37" t="n">
        <v>3965.9</v>
      </c>
      <c r="U37" t="n">
        <v>4386.5</v>
      </c>
      <c r="V37" t="n">
        <v>4512.1</v>
      </c>
      <c r="W37" t="n">
        <v>5161.7</v>
      </c>
      <c r="X37" t="n">
        <v>6286.8</v>
      </c>
      <c r="Y37" t="n">
        <v>6760.7</v>
      </c>
      <c r="Z37" t="n">
        <v>7377.8</v>
      </c>
      <c r="AA37" t="n">
        <v>7267.7</v>
      </c>
      <c r="AB37" t="n">
        <v>8310.6</v>
      </c>
      <c r="AC37" t="n">
        <v>9203.1</v>
      </c>
      <c r="AD37" t="n">
        <v>9357.3</v>
      </c>
      <c r="AE37" t="n">
        <v>9213.8</v>
      </c>
      <c r="AF37"/>
    </row>
    <row r="38">
      <c r="A38" t="s">
        <v>120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435</v>
      </c>
      <c r="H38" t="n">
        <v>576.8</v>
      </c>
      <c r="I38" t="n">
        <v>604.1</v>
      </c>
      <c r="J38" t="n">
        <v>600.8</v>
      </c>
      <c r="K38" t="n">
        <v>586.6</v>
      </c>
      <c r="L38" t="n">
        <v>574.8</v>
      </c>
      <c r="M38" t="n">
        <v>508.6</v>
      </c>
      <c r="N38" t="n">
        <v>879.6</v>
      </c>
      <c r="O38" t="n">
        <v>918.2</v>
      </c>
      <c r="P38" t="n">
        <v>986.9</v>
      </c>
      <c r="Q38" t="n">
        <v>955.5</v>
      </c>
      <c r="R38" t="n">
        <v>902.9</v>
      </c>
      <c r="S38" t="n">
        <v>782.8</v>
      </c>
      <c r="T38" t="n">
        <v>739.4</v>
      </c>
      <c r="U38" t="n">
        <v>806.1</v>
      </c>
      <c r="V38" t="n">
        <v>821.8</v>
      </c>
      <c r="W38" t="n">
        <v>803.8</v>
      </c>
      <c r="X38" t="n">
        <v>789.3</v>
      </c>
      <c r="Y38" t="n">
        <v>767.8</v>
      </c>
      <c r="Z38" t="n">
        <v>961.8</v>
      </c>
      <c r="AA38" t="n">
        <v>1105.6</v>
      </c>
      <c r="AB38" t="n">
        <v>1122.1</v>
      </c>
      <c r="AC38" t="n">
        <v>1077.7</v>
      </c>
      <c r="AD38" t="n">
        <v>1062</v>
      </c>
      <c r="AE38" t="n">
        <v>1044.9</v>
      </c>
      <c r="AF38"/>
    </row>
    <row r="39">
      <c r="A39" t="s">
        <v>120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719.3</v>
      </c>
      <c r="H39" t="n">
        <v>801.8</v>
      </c>
      <c r="I39" t="n">
        <v>823.2</v>
      </c>
      <c r="J39" t="n">
        <v>830.8</v>
      </c>
      <c r="K39" t="n">
        <v>768.5</v>
      </c>
      <c r="L39" t="n">
        <v>729.4</v>
      </c>
      <c r="M39" t="n">
        <v>778</v>
      </c>
      <c r="N39" t="n">
        <v>770.1</v>
      </c>
      <c r="O39" t="n">
        <v>840.8</v>
      </c>
      <c r="P39" t="n">
        <v>817.1</v>
      </c>
      <c r="Q39" t="n">
        <v>772</v>
      </c>
      <c r="R39" t="n">
        <v>760.7</v>
      </c>
      <c r="S39" t="n">
        <v>820.7</v>
      </c>
      <c r="T39" t="n">
        <v>1158.7</v>
      </c>
      <c r="U39" t="n">
        <v>1026.5</v>
      </c>
      <c r="V39" t="n">
        <v>1015</v>
      </c>
      <c r="W39" t="n">
        <v>988.4</v>
      </c>
      <c r="X39" t="n">
        <v>1006</v>
      </c>
      <c r="Y39" t="n">
        <v>950.9</v>
      </c>
      <c r="Z39" t="n">
        <v>942.5</v>
      </c>
      <c r="AA39" t="n">
        <v>1052.8</v>
      </c>
      <c r="AB39" t="n">
        <v>1164</v>
      </c>
      <c r="AC39" t="n">
        <v>1219.8</v>
      </c>
      <c r="AD39" t="n">
        <v>1418.8</v>
      </c>
      <c r="AE39" t="n">
        <v>1521.6</v>
      </c>
      <c r="AF39" t="n">
        <v>1657.6</v>
      </c>
    </row>
    <row r="40">
      <c r="A40" t="s">
        <v>120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64.1</v>
      </c>
      <c r="H40" t="n">
        <v>66.3</v>
      </c>
      <c r="I40" t="n">
        <v>66.5</v>
      </c>
      <c r="J40" t="n">
        <v>67.2</v>
      </c>
      <c r="K40" t="n">
        <v>65.9</v>
      </c>
      <c r="L40" t="n">
        <v>69.7</v>
      </c>
      <c r="M40" t="n">
        <v>67.3</v>
      </c>
      <c r="N40" t="n">
        <v>77.5</v>
      </c>
      <c r="O40" t="n">
        <v>80.9</v>
      </c>
      <c r="P40" t="n">
        <v>186.1</v>
      </c>
      <c r="Q40" t="n">
        <v>158.1</v>
      </c>
      <c r="R40" t="n">
        <v>117.3</v>
      </c>
      <c r="S40" t="n">
        <v>97.7</v>
      </c>
      <c r="T40" t="n">
        <v>77.4</v>
      </c>
      <c r="U40" t="n">
        <v>81.6</v>
      </c>
      <c r="V40" t="n">
        <v>79</v>
      </c>
      <c r="W40" t="n">
        <v>100.4</v>
      </c>
      <c r="X40" t="n">
        <v>99.5</v>
      </c>
      <c r="Y40" t="n">
        <v>96.3</v>
      </c>
      <c r="Z40" t="n">
        <v>82.1</v>
      </c>
      <c r="AA40" t="n">
        <v>112.6</v>
      </c>
      <c r="AB40" t="n">
        <v>105.3</v>
      </c>
      <c r="AC40" t="n">
        <v>110.8</v>
      </c>
      <c r="AD40" t="n">
        <v>139.8</v>
      </c>
      <c r="AE40" t="n">
        <v>142.4</v>
      </c>
      <c r="AF40" t="n">
        <v>163.7</v>
      </c>
    </row>
    <row r="41">
      <c r="A41" t="s">
        <v>120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120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555.7</v>
      </c>
      <c r="H42" t="n">
        <v>639</v>
      </c>
      <c r="I42" t="n">
        <v>657.7</v>
      </c>
      <c r="J42" t="n">
        <v>662.1</v>
      </c>
      <c r="K42" t="n">
        <v>748</v>
      </c>
      <c r="L42" t="n">
        <v>795.8</v>
      </c>
      <c r="M42" t="n">
        <v>783.4</v>
      </c>
      <c r="N42" t="n">
        <v>838.5</v>
      </c>
      <c r="O42" t="n">
        <v>866.4</v>
      </c>
      <c r="P42" t="n">
        <v>852.8</v>
      </c>
      <c r="Q42" t="n">
        <v>922.9</v>
      </c>
      <c r="R42" t="n">
        <v>895.9</v>
      </c>
      <c r="S42" t="n">
        <v>817.3</v>
      </c>
      <c r="T42" t="n">
        <v>728.2</v>
      </c>
      <c r="U42" t="n">
        <v>796.6</v>
      </c>
      <c r="V42" t="n">
        <v>797.6</v>
      </c>
      <c r="W42" t="n">
        <v>902.5</v>
      </c>
      <c r="X42" t="n">
        <v>956.1</v>
      </c>
      <c r="Y42" t="n">
        <v>972.8</v>
      </c>
      <c r="Z42" t="n">
        <v>1198.3</v>
      </c>
      <c r="AA42" t="n">
        <v>1337.4</v>
      </c>
      <c r="AB42" t="n">
        <v>1424.8</v>
      </c>
      <c r="AC42" t="n">
        <v>1383.8</v>
      </c>
      <c r="AD42" t="n">
        <v>1305.8</v>
      </c>
      <c r="AE42" t="n">
        <v>1252.6</v>
      </c>
      <c r="AF42" t="n">
        <v>1195.5</v>
      </c>
    </row>
    <row r="43">
      <c r="A43" t="s">
        <v>120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658.4</v>
      </c>
      <c r="H43" t="n">
        <v>766.9</v>
      </c>
      <c r="I43" t="n">
        <v>794.4</v>
      </c>
      <c r="J43" t="n">
        <v>801.7</v>
      </c>
      <c r="K43" t="n">
        <v>894</v>
      </c>
      <c r="L43" t="n">
        <v>957.1</v>
      </c>
      <c r="M43" t="n">
        <v>944.8</v>
      </c>
      <c r="N43" t="n">
        <v>1010.1</v>
      </c>
      <c r="O43" t="n">
        <v>1048.6</v>
      </c>
      <c r="P43" t="n">
        <v>1028.9</v>
      </c>
      <c r="Q43" t="n">
        <v>1103.8</v>
      </c>
      <c r="R43" t="n">
        <v>1070.7</v>
      </c>
      <c r="S43" t="n">
        <v>1002.5</v>
      </c>
      <c r="T43" t="n">
        <v>891.3</v>
      </c>
      <c r="U43" t="n">
        <v>975.6</v>
      </c>
      <c r="V43" t="n">
        <v>978.8</v>
      </c>
      <c r="W43" t="n">
        <v>1108.3</v>
      </c>
      <c r="X43" t="n">
        <v>1162</v>
      </c>
      <c r="Y43" t="n">
        <v>1175.6</v>
      </c>
      <c r="Z43" t="n">
        <v>1418.8</v>
      </c>
      <c r="AA43" t="n">
        <v>1575.4</v>
      </c>
      <c r="AB43" t="n">
        <v>1644.7</v>
      </c>
      <c r="AC43" t="n">
        <v>1606.1</v>
      </c>
      <c r="AD43" t="n">
        <v>1532.2</v>
      </c>
      <c r="AE43" t="n">
        <v>1492.4</v>
      </c>
      <c r="AF43" t="n">
        <v>1428.5</v>
      </c>
    </row>
    <row r="44">
      <c r="A44" t="s">
        <v>120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9699.2</v>
      </c>
      <c r="H44" t="n">
        <v>11223.2</v>
      </c>
      <c r="I44" t="n">
        <v>12196.3</v>
      </c>
      <c r="J44" t="n">
        <v>12679.2</v>
      </c>
      <c r="K44" t="n">
        <v>13536.2</v>
      </c>
      <c r="L44" t="n">
        <v>14235.7</v>
      </c>
      <c r="M44" t="n">
        <v>14709</v>
      </c>
      <c r="N44" t="n">
        <v>14891.2</v>
      </c>
      <c r="O44" t="n">
        <v>15313.5</v>
      </c>
      <c r="P44" t="n">
        <v>15669.4</v>
      </c>
      <c r="Q44" t="n">
        <v>15521.6</v>
      </c>
      <c r="R44" t="n">
        <v>14848.9</v>
      </c>
      <c r="S44" t="n">
        <v>14547.5</v>
      </c>
      <c r="T44" t="n">
        <v>13650.5</v>
      </c>
      <c r="U44" t="n">
        <v>14705.1</v>
      </c>
      <c r="V44" t="n">
        <v>14994.7</v>
      </c>
      <c r="W44" t="n">
        <v>15327.2</v>
      </c>
      <c r="X44" t="n">
        <v>15964.7</v>
      </c>
      <c r="Y44" t="n">
        <v>15648.7</v>
      </c>
      <c r="Z44" t="n">
        <v>16264.1</v>
      </c>
      <c r="AA44" t="n">
        <v>16410.8</v>
      </c>
      <c r="AB44" t="n">
        <v>17378.1</v>
      </c>
      <c r="AC44" t="n">
        <v>18460</v>
      </c>
      <c r="AD44" t="n">
        <v>19131.1</v>
      </c>
      <c r="AE44" t="n">
        <v>18978.9</v>
      </c>
      <c r="AF44" t="n">
        <v>18876.1</v>
      </c>
    </row>
    <row r="45">
      <c r="A45" t="s">
        <v>120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9691.3</v>
      </c>
      <c r="H45" t="n">
        <v>11213</v>
      </c>
      <c r="I45" t="n">
        <v>12185.2</v>
      </c>
      <c r="J45" t="n">
        <v>12667.6</v>
      </c>
      <c r="K45" t="n">
        <v>13522.9</v>
      </c>
      <c r="L45" t="n">
        <v>14220.9</v>
      </c>
      <c r="M45" t="n">
        <v>14693.3</v>
      </c>
      <c r="N45" t="n">
        <v>14873.4</v>
      </c>
      <c r="O45" t="n">
        <v>15293.2</v>
      </c>
      <c r="P45" t="n">
        <v>15648.1</v>
      </c>
      <c r="Q45" t="n">
        <v>15500.1</v>
      </c>
      <c r="R45" t="n">
        <v>14829.1</v>
      </c>
      <c r="S45" t="n">
        <v>14526.7</v>
      </c>
      <c r="T45" t="n">
        <v>13629.8</v>
      </c>
      <c r="U45" t="n">
        <v>14683</v>
      </c>
      <c r="V45" t="n">
        <v>14972.5</v>
      </c>
      <c r="W45" t="n">
        <v>15305.5</v>
      </c>
      <c r="X45" t="n">
        <v>15943.3</v>
      </c>
      <c r="Y45" t="n">
        <v>15629</v>
      </c>
      <c r="Z45" t="n">
        <v>16245.3</v>
      </c>
      <c r="AA45" t="n">
        <v>16391.8</v>
      </c>
      <c r="AB45" t="n">
        <v>17359.3</v>
      </c>
      <c r="AC45" t="n">
        <v>18441.4</v>
      </c>
      <c r="AD45" t="n">
        <v>19112.8</v>
      </c>
      <c r="AE45" t="n">
        <v>18961.3</v>
      </c>
      <c r="AF45" t="n">
        <v>18859.1</v>
      </c>
    </row>
    <row r="46">
      <c r="A46" t="s">
        <v>120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102.7</v>
      </c>
      <c r="H46" t="n">
        <v>127.9</v>
      </c>
      <c r="I46" t="n">
        <v>136.7</v>
      </c>
      <c r="J46" t="n">
        <v>139.6</v>
      </c>
      <c r="K46" t="n">
        <v>146</v>
      </c>
      <c r="L46" t="n">
        <v>161.3</v>
      </c>
      <c r="M46" t="n">
        <v>161.4</v>
      </c>
      <c r="N46" t="n">
        <v>171.6</v>
      </c>
      <c r="O46" t="n">
        <v>182.2</v>
      </c>
      <c r="P46" t="n">
        <v>176.1</v>
      </c>
      <c r="Q46" t="n">
        <v>180.9</v>
      </c>
      <c r="R46" t="n">
        <v>174.8</v>
      </c>
      <c r="S46" t="n">
        <v>185.2</v>
      </c>
      <c r="T46" t="n">
        <v>163.1</v>
      </c>
      <c r="U46" t="n">
        <v>179</v>
      </c>
      <c r="V46" t="n">
        <v>181.2</v>
      </c>
      <c r="W46" t="n">
        <v>205.8</v>
      </c>
      <c r="X46" t="n">
        <v>205.9</v>
      </c>
      <c r="Y46" t="n">
        <v>202.8</v>
      </c>
      <c r="Z46" t="n">
        <v>220.5</v>
      </c>
      <c r="AA46" t="n">
        <v>238</v>
      </c>
      <c r="AB46" t="n">
        <v>219.9</v>
      </c>
      <c r="AC46" t="n">
        <v>222.3</v>
      </c>
      <c r="AD46" t="n">
        <v>226.4</v>
      </c>
      <c r="AE46" t="n">
        <v>239.8</v>
      </c>
      <c r="AF46" t="n">
        <v>233</v>
      </c>
    </row>
    <row r="47">
      <c r="A47" t="s">
        <v>120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597.6</v>
      </c>
      <c r="H47" t="n">
        <v>633</v>
      </c>
      <c r="I47" t="n">
        <v>709.3</v>
      </c>
      <c r="J47" t="n">
        <v>823.4</v>
      </c>
      <c r="K47" t="n">
        <v>858.7</v>
      </c>
      <c r="L47" t="n">
        <v>910.6</v>
      </c>
      <c r="M47" t="n">
        <v>984.9</v>
      </c>
      <c r="N47" t="n">
        <v>1161.8</v>
      </c>
      <c r="O47" t="n">
        <v>1203.4</v>
      </c>
      <c r="P47" t="n">
        <v>1242.2</v>
      </c>
      <c r="Q47" t="n">
        <v>1341.5</v>
      </c>
      <c r="R47" t="n">
        <v>1406.4</v>
      </c>
      <c r="S47" t="n">
        <v>1553.4</v>
      </c>
      <c r="T47" t="n">
        <v>1685.4</v>
      </c>
      <c r="U47" t="n">
        <v>1633.6</v>
      </c>
      <c r="V47" t="n">
        <v>1677.7</v>
      </c>
      <c r="W47" t="n">
        <v>1516.1</v>
      </c>
      <c r="X47" t="n">
        <v>1467.8</v>
      </c>
      <c r="Y47" t="n">
        <v>1243.4</v>
      </c>
      <c r="Z47" t="n">
        <v>1144.8</v>
      </c>
      <c r="AA47" t="n">
        <v>1293.6</v>
      </c>
      <c r="AB47" t="n">
        <v>1273.5</v>
      </c>
      <c r="AC47" t="n">
        <v>1116.3</v>
      </c>
      <c r="AD47" t="n">
        <v>977.9</v>
      </c>
      <c r="AE47" t="n">
        <v>880.9</v>
      </c>
      <c r="AF47" t="n">
        <v>956.2</v>
      </c>
    </row>
    <row r="48">
      <c r="A48" t="s">
        <v>120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814.2</v>
      </c>
      <c r="H48" t="n">
        <v>876.1</v>
      </c>
      <c r="I48" t="n">
        <v>975.7</v>
      </c>
      <c r="J48" t="n">
        <v>1107.7</v>
      </c>
      <c r="K48" t="n">
        <v>1151.7</v>
      </c>
      <c r="L48" t="n">
        <v>1228.8</v>
      </c>
      <c r="M48" t="n">
        <v>1325.5</v>
      </c>
      <c r="N48" t="n">
        <v>1514.6</v>
      </c>
      <c r="O48" t="n">
        <v>1583.2</v>
      </c>
      <c r="P48" t="n">
        <v>1633</v>
      </c>
      <c r="Q48" t="n">
        <v>1744.4</v>
      </c>
      <c r="R48" t="n">
        <v>1775.9</v>
      </c>
      <c r="S48" t="n">
        <v>1917.9</v>
      </c>
      <c r="T48" t="n">
        <v>2036.4</v>
      </c>
      <c r="U48" t="n">
        <v>2030.1</v>
      </c>
      <c r="V48" t="n">
        <v>2092.1</v>
      </c>
      <c r="W48" t="n">
        <v>1935.6</v>
      </c>
      <c r="X48" t="n">
        <v>1867.7</v>
      </c>
      <c r="Y48" t="n">
        <v>1640.6</v>
      </c>
      <c r="Z48" t="n">
        <v>1552.6</v>
      </c>
      <c r="AA48" t="n">
        <v>1772.2</v>
      </c>
      <c r="AB48" t="n">
        <v>1830.1</v>
      </c>
      <c r="AC48" t="n">
        <v>1713.4</v>
      </c>
      <c r="AD48" t="n">
        <v>1661.4</v>
      </c>
      <c r="AE48" t="n">
        <v>1755.2</v>
      </c>
      <c r="AF48" t="n">
        <v>1834.5</v>
      </c>
    </row>
    <row r="49">
      <c r="A49" t="s">
        <v>120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68.5</v>
      </c>
      <c r="H49" t="n">
        <v>80.2</v>
      </c>
      <c r="I49" t="n">
        <v>81.6</v>
      </c>
      <c r="J49" t="n">
        <v>84.5</v>
      </c>
      <c r="K49" t="n">
        <v>83.2</v>
      </c>
      <c r="L49" t="n">
        <v>90.4</v>
      </c>
      <c r="M49" t="n">
        <v>108.6</v>
      </c>
      <c r="N49" t="n">
        <v>116</v>
      </c>
      <c r="O49" t="n">
        <v>130.5</v>
      </c>
      <c r="P49" t="n">
        <v>129.7</v>
      </c>
      <c r="Q49" t="n">
        <v>138.1</v>
      </c>
      <c r="R49" t="n">
        <v>119.3</v>
      </c>
      <c r="S49" t="n">
        <v>122.6</v>
      </c>
      <c r="T49" t="n">
        <v>115</v>
      </c>
      <c r="U49" t="n">
        <v>125.8</v>
      </c>
      <c r="V49" t="n">
        <v>127.1</v>
      </c>
      <c r="W49" t="n">
        <v>160.3</v>
      </c>
      <c r="X49" t="n">
        <v>154.8</v>
      </c>
      <c r="Y49" t="n">
        <v>156.8</v>
      </c>
      <c r="Z49" t="n">
        <v>183.3</v>
      </c>
      <c r="AA49" t="n">
        <v>203.9</v>
      </c>
      <c r="AB49" t="n">
        <v>230.4</v>
      </c>
      <c r="AC49" t="n">
        <v>246</v>
      </c>
      <c r="AD49" t="n">
        <v>253.7</v>
      </c>
      <c r="AE49" t="n">
        <v>413.3</v>
      </c>
      <c r="AF49" t="n">
        <v>406.8</v>
      </c>
    </row>
    <row r="50">
      <c r="A50" t="s">
        <v>120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148.1</v>
      </c>
      <c r="H50" t="n">
        <v>162.9</v>
      </c>
      <c r="I50" t="n">
        <v>184.8</v>
      </c>
      <c r="J50" t="n">
        <v>199.8</v>
      </c>
      <c r="K50" t="n">
        <v>209.9</v>
      </c>
      <c r="L50" t="n">
        <v>227.9</v>
      </c>
      <c r="M50" t="n">
        <v>232.1</v>
      </c>
      <c r="N50" t="n">
        <v>236.8</v>
      </c>
      <c r="O50" t="n">
        <v>249.3</v>
      </c>
      <c r="P50" t="n">
        <v>261.1</v>
      </c>
      <c r="Q50" t="n">
        <v>264.8</v>
      </c>
      <c r="R50" t="n">
        <v>250.2</v>
      </c>
      <c r="S50" t="n">
        <v>241.9</v>
      </c>
      <c r="T50" t="n">
        <v>235.9</v>
      </c>
      <c r="U50" t="n">
        <v>270.6</v>
      </c>
      <c r="V50" t="n">
        <v>287.2</v>
      </c>
      <c r="W50" t="n">
        <v>259.2</v>
      </c>
      <c r="X50" t="n">
        <v>245.1</v>
      </c>
      <c r="Y50" t="n">
        <v>240.4</v>
      </c>
      <c r="Z50" t="n">
        <v>224.5</v>
      </c>
      <c r="AA50" t="n">
        <v>274.7</v>
      </c>
      <c r="AB50" t="n">
        <v>326.2</v>
      </c>
      <c r="AC50" t="n">
        <v>351</v>
      </c>
      <c r="AD50" t="n">
        <v>429.8</v>
      </c>
      <c r="AE50" t="n">
        <v>461</v>
      </c>
      <c r="AF50" t="n">
        <v>471.5</v>
      </c>
    </row>
    <row r="51">
      <c r="A51" t="s">
        <v>120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139.2</v>
      </c>
      <c r="H51" t="n">
        <v>151.5</v>
      </c>
      <c r="I51" t="n">
        <v>170.5</v>
      </c>
      <c r="J51" t="n">
        <v>184.4</v>
      </c>
      <c r="K51" t="n">
        <v>195</v>
      </c>
      <c r="L51" t="n">
        <v>209.7</v>
      </c>
      <c r="M51" t="n">
        <v>213.4</v>
      </c>
      <c r="N51" t="n">
        <v>219.2</v>
      </c>
      <c r="O51" t="n">
        <v>219.4</v>
      </c>
      <c r="P51" t="n">
        <v>231.7</v>
      </c>
      <c r="Q51" t="n">
        <v>234.8</v>
      </c>
      <c r="R51" t="n">
        <v>223.3</v>
      </c>
      <c r="S51" t="n">
        <v>219.3</v>
      </c>
      <c r="T51" t="n">
        <v>216.9</v>
      </c>
      <c r="U51" t="n">
        <v>251.3</v>
      </c>
      <c r="V51" t="n">
        <v>267.8</v>
      </c>
      <c r="W51" t="n">
        <v>237.3</v>
      </c>
      <c r="X51" t="n">
        <v>223.1</v>
      </c>
      <c r="Y51" t="n">
        <v>219.7</v>
      </c>
      <c r="Z51" t="n">
        <v>206.8</v>
      </c>
      <c r="AA51" t="n">
        <v>257.6</v>
      </c>
      <c r="AB51" t="n">
        <v>310.6</v>
      </c>
      <c r="AC51" t="n">
        <v>336.5</v>
      </c>
      <c r="AD51" t="n">
        <v>412.3</v>
      </c>
      <c r="AE51" t="n">
        <v>442.2</v>
      </c>
      <c r="AF51"/>
    </row>
    <row r="52">
      <c r="A52" t="s">
        <v>120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8.9</v>
      </c>
      <c r="H52" t="n">
        <v>11.4</v>
      </c>
      <c r="I52" t="n">
        <v>14.3</v>
      </c>
      <c r="J52" t="n">
        <v>15.4</v>
      </c>
      <c r="K52" t="n">
        <v>14.9</v>
      </c>
      <c r="L52" t="n">
        <v>18.2</v>
      </c>
      <c r="M52" t="n">
        <v>18.7</v>
      </c>
      <c r="N52" t="n">
        <v>17.6</v>
      </c>
      <c r="O52" t="n">
        <v>29.9</v>
      </c>
      <c r="P52" t="n">
        <v>29.4</v>
      </c>
      <c r="Q52" t="n">
        <v>30</v>
      </c>
      <c r="R52" t="n">
        <v>26.9</v>
      </c>
      <c r="S52" t="n">
        <v>22.6</v>
      </c>
      <c r="T52" t="n">
        <v>19</v>
      </c>
      <c r="U52" t="n">
        <v>19.3</v>
      </c>
      <c r="V52" t="n">
        <v>19.4</v>
      </c>
      <c r="W52" t="n">
        <v>21.9</v>
      </c>
      <c r="X52" t="n">
        <v>22</v>
      </c>
      <c r="Y52" t="n">
        <v>20.7</v>
      </c>
      <c r="Z52" t="n">
        <v>17.7</v>
      </c>
      <c r="AA52" t="n">
        <v>17.1</v>
      </c>
      <c r="AB52" t="n">
        <v>15.6</v>
      </c>
      <c r="AC52" t="n">
        <v>14.5</v>
      </c>
      <c r="AD52" t="n">
        <v>17.5</v>
      </c>
      <c r="AE52" t="n">
        <v>18.8</v>
      </c>
      <c r="AF52"/>
    </row>
    <row r="53">
      <c r="A53" t="s">
        <v>120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58.3</v>
      </c>
      <c r="H53" t="n">
        <v>72.9</v>
      </c>
      <c r="I53" t="n">
        <v>85.9</v>
      </c>
      <c r="J53" t="n">
        <v>99.8</v>
      </c>
      <c r="K53" t="n">
        <v>100.6</v>
      </c>
      <c r="L53" t="n">
        <v>104.2</v>
      </c>
      <c r="M53" t="n">
        <v>99.9</v>
      </c>
      <c r="N53" t="n">
        <v>104.1</v>
      </c>
      <c r="O53" t="n">
        <v>107.7</v>
      </c>
      <c r="P53" t="n">
        <v>156.9</v>
      </c>
      <c r="Q53" t="n">
        <v>140.1</v>
      </c>
      <c r="R53" t="n">
        <v>119.5</v>
      </c>
      <c r="S53" t="n">
        <v>110.1</v>
      </c>
      <c r="T53" t="n">
        <v>112.1</v>
      </c>
      <c r="U53" t="n">
        <v>112.6</v>
      </c>
      <c r="V53" t="n">
        <v>106.3</v>
      </c>
      <c r="W53" t="n">
        <v>107.2</v>
      </c>
      <c r="X53" t="n">
        <v>127.1</v>
      </c>
      <c r="Y53" t="n">
        <v>117.7</v>
      </c>
      <c r="Z53" t="n">
        <v>160</v>
      </c>
      <c r="AA53" t="n">
        <v>172.5</v>
      </c>
      <c r="AB53" t="n">
        <v>171.1</v>
      </c>
      <c r="AC53" t="n">
        <v>163</v>
      </c>
      <c r="AD53" t="n">
        <v>152.4</v>
      </c>
      <c r="AE53" t="n">
        <v>148.5</v>
      </c>
      <c r="AF53" t="n">
        <v>137</v>
      </c>
    </row>
    <row r="54">
      <c r="A54" t="s">
        <v>120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85.7</v>
      </c>
      <c r="H54" t="n">
        <v>108.4</v>
      </c>
      <c r="I54" t="n">
        <v>126</v>
      </c>
      <c r="J54" t="n">
        <v>139.5</v>
      </c>
      <c r="K54" t="n">
        <v>144.6</v>
      </c>
      <c r="L54" t="n">
        <v>151.5</v>
      </c>
      <c r="M54" t="n">
        <v>141.4</v>
      </c>
      <c r="N54" t="n">
        <v>156.4</v>
      </c>
      <c r="O54" t="n">
        <v>158</v>
      </c>
      <c r="P54" t="n">
        <v>209.1</v>
      </c>
      <c r="Q54" t="n">
        <v>194.2</v>
      </c>
      <c r="R54" t="n">
        <v>172</v>
      </c>
      <c r="S54" t="n">
        <v>159</v>
      </c>
      <c r="T54" t="n">
        <v>150.9</v>
      </c>
      <c r="U54" t="n">
        <v>155.4</v>
      </c>
      <c r="V54" t="n">
        <v>150.6</v>
      </c>
      <c r="W54" t="n">
        <v>151.1</v>
      </c>
      <c r="X54" t="n">
        <v>177.7</v>
      </c>
      <c r="Y54" t="n">
        <v>165.1</v>
      </c>
      <c r="Z54" t="n">
        <v>219.9</v>
      </c>
      <c r="AA54" t="n">
        <v>250.6</v>
      </c>
      <c r="AB54" t="n">
        <v>257.8</v>
      </c>
      <c r="AC54" t="n">
        <v>246.5</v>
      </c>
      <c r="AD54" t="n">
        <v>237.8</v>
      </c>
      <c r="AE54" t="n">
        <v>226.7</v>
      </c>
      <c r="AF54" t="n">
        <v>214.1</v>
      </c>
    </row>
    <row r="55">
      <c r="A55" t="s">
        <v>120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27.4</v>
      </c>
      <c r="H55" t="n">
        <v>35.5</v>
      </c>
      <c r="I55" t="n">
        <v>40.1</v>
      </c>
      <c r="J55" t="n">
        <v>39.7</v>
      </c>
      <c r="K55" t="n">
        <v>44</v>
      </c>
      <c r="L55" t="n">
        <v>47.3</v>
      </c>
      <c r="M55" t="n">
        <v>41.5</v>
      </c>
      <c r="N55" t="n">
        <v>52.3</v>
      </c>
      <c r="O55" t="n">
        <v>50.3</v>
      </c>
      <c r="P55" t="n">
        <v>52.2</v>
      </c>
      <c r="Q55" t="n">
        <v>54.1</v>
      </c>
      <c r="R55" t="n">
        <v>52.5</v>
      </c>
      <c r="S55" t="n">
        <v>48.9</v>
      </c>
      <c r="T55" t="n">
        <v>38.8</v>
      </c>
      <c r="U55" t="n">
        <v>42.8</v>
      </c>
      <c r="V55" t="n">
        <v>44.3</v>
      </c>
      <c r="W55" t="n">
        <v>43.9</v>
      </c>
      <c r="X55" t="n">
        <v>50.6</v>
      </c>
      <c r="Y55" t="n">
        <v>47.4</v>
      </c>
      <c r="Z55" t="n">
        <v>59.9</v>
      </c>
      <c r="AA55" t="n">
        <v>78.1</v>
      </c>
      <c r="AB55" t="n">
        <v>86.7</v>
      </c>
      <c r="AC55" t="n">
        <v>83.5</v>
      </c>
      <c r="AD55" t="n">
        <v>85.4</v>
      </c>
      <c r="AE55" t="n">
        <v>78.2</v>
      </c>
      <c r="AF55" t="n">
        <v>77.1</v>
      </c>
    </row>
    <row r="56">
      <c r="A56" t="s">
        <v>120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120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10577.5</v>
      </c>
      <c r="H57" t="n">
        <v>12165.6</v>
      </c>
      <c r="I57" t="n">
        <v>13238.5</v>
      </c>
      <c r="J57" t="n">
        <v>13854.1</v>
      </c>
      <c r="K57" t="n">
        <v>14753.9</v>
      </c>
      <c r="L57" t="n">
        <v>15534.3</v>
      </c>
      <c r="M57" t="n">
        <v>16101.9</v>
      </c>
      <c r="N57" t="n">
        <v>16483.3</v>
      </c>
      <c r="O57" t="n">
        <v>16977.6</v>
      </c>
      <c r="P57" t="n">
        <v>17488.5</v>
      </c>
      <c r="Q57" t="n">
        <v>17424.1</v>
      </c>
      <c r="R57" t="n">
        <v>16742.1</v>
      </c>
      <c r="S57" t="n">
        <v>16563.1</v>
      </c>
      <c r="T57" t="n">
        <v>15764.2</v>
      </c>
      <c r="U57" t="n">
        <v>16816.7</v>
      </c>
      <c r="V57" t="n">
        <v>17165.7</v>
      </c>
      <c r="W57" t="n">
        <v>17363.2</v>
      </c>
      <c r="X57" t="n">
        <v>17931.9</v>
      </c>
      <c r="Y57" t="n">
        <v>17385.6</v>
      </c>
      <c r="Z57" t="n">
        <v>17898.8</v>
      </c>
      <c r="AA57" t="n">
        <v>18295.6</v>
      </c>
      <c r="AB57" t="n">
        <v>19313.5</v>
      </c>
      <c r="AC57" t="n">
        <v>20284.1</v>
      </c>
      <c r="AD57" t="n">
        <v>20932.3</v>
      </c>
      <c r="AE57" t="n">
        <v>20876.5</v>
      </c>
      <c r="AF57" t="n">
        <v>20874.3</v>
      </c>
    </row>
    <row r="58">
      <c r="A58" t="s">
        <v>120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10577.5</v>
      </c>
      <c r="H58" t="n">
        <v>12165.6</v>
      </c>
      <c r="I58" t="n">
        <v>13238.5</v>
      </c>
      <c r="J58" t="n">
        <v>13854.1</v>
      </c>
      <c r="K58" t="n">
        <v>14753.9</v>
      </c>
      <c r="L58" t="n">
        <v>15534.3</v>
      </c>
      <c r="M58" t="n">
        <v>16101.9</v>
      </c>
      <c r="N58" t="n">
        <v>16483.3</v>
      </c>
      <c r="O58" t="n">
        <v>16977.6</v>
      </c>
      <c r="P58" t="n">
        <v>17488.5</v>
      </c>
      <c r="Q58" t="n">
        <v>17424.1</v>
      </c>
      <c r="R58" t="n">
        <v>16742.1</v>
      </c>
      <c r="S58" t="n">
        <v>16563.1</v>
      </c>
      <c r="T58" t="n">
        <v>15764.2</v>
      </c>
      <c r="U58" t="n">
        <v>16816.7</v>
      </c>
      <c r="V58" t="n">
        <v>17165.7</v>
      </c>
      <c r="W58" t="n">
        <v>17363.2</v>
      </c>
      <c r="X58" t="n">
        <v>17931.9</v>
      </c>
      <c r="Y58" t="n">
        <v>17385.6</v>
      </c>
      <c r="Z58" t="n">
        <v>17898.8</v>
      </c>
      <c r="AA58" t="n">
        <v>18295.6</v>
      </c>
      <c r="AB58" t="n">
        <v>19313.5</v>
      </c>
      <c r="AC58" t="n">
        <v>20284.1</v>
      </c>
      <c r="AD58" t="n">
        <v>20932.3</v>
      </c>
      <c r="AE58" t="n">
        <v>20876.5</v>
      </c>
      <c r="AF58" t="n">
        <v>20874.3</v>
      </c>
    </row>
    <row r="59">
      <c r="A59" t="s">
        <v>120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122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33.8</v>
      </c>
      <c r="H2" t="n">
        <v>36.7</v>
      </c>
      <c r="I2" t="n">
        <v>40.6</v>
      </c>
      <c r="J2" t="n">
        <v>44.5</v>
      </c>
      <c r="K2" t="n">
        <v>48.8</v>
      </c>
      <c r="L2" t="n">
        <v>52.5</v>
      </c>
      <c r="M2" t="n">
        <v>54.7</v>
      </c>
      <c r="N2" t="n">
        <v>55</v>
      </c>
      <c r="O2" t="n">
        <v>54.4</v>
      </c>
      <c r="P2" t="n">
        <v>54.1</v>
      </c>
      <c r="Q2" t="n">
        <v>54.6</v>
      </c>
      <c r="R2" t="n">
        <v>56.1</v>
      </c>
      <c r="S2" t="n">
        <v>58.4</v>
      </c>
      <c r="T2" t="n">
        <v>59.2</v>
      </c>
      <c r="U2" t="n">
        <v>58.9</v>
      </c>
      <c r="V2" t="n">
        <v>59.8</v>
      </c>
      <c r="W2" t="n">
        <v>59.2</v>
      </c>
      <c r="X2" t="n">
        <v>73.8</v>
      </c>
      <c r="Y2" t="n">
        <v>109.9</v>
      </c>
      <c r="Z2" t="n">
        <v>142.8</v>
      </c>
      <c r="AA2" t="n">
        <v>151.8</v>
      </c>
      <c r="AB2" t="n">
        <v>138.1</v>
      </c>
      <c r="AC2" t="n">
        <v>133.1</v>
      </c>
      <c r="AD2" t="n">
        <v>127.6</v>
      </c>
      <c r="AE2" t="n">
        <v>109.3</v>
      </c>
      <c r="AF2" t="n">
        <v>112</v>
      </c>
    </row>
    <row r="3">
      <c r="A3" t="s">
        <v>122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58.3</v>
      </c>
      <c r="H3" t="n">
        <v>66.2</v>
      </c>
      <c r="I3" t="n">
        <v>72.8</v>
      </c>
      <c r="J3" t="n">
        <v>78.2</v>
      </c>
      <c r="K3" t="n">
        <v>78.7</v>
      </c>
      <c r="L3" t="n">
        <v>97.2</v>
      </c>
      <c r="M3" t="n">
        <v>101.1</v>
      </c>
      <c r="N3" t="n">
        <v>100</v>
      </c>
      <c r="O3" t="n">
        <v>97.8</v>
      </c>
      <c r="P3" t="n">
        <v>95.6</v>
      </c>
      <c r="Q3" t="n">
        <v>91.2</v>
      </c>
      <c r="R3" t="n">
        <v>93.5</v>
      </c>
      <c r="S3" t="n">
        <v>147.8</v>
      </c>
      <c r="T3" t="n">
        <v>123.3</v>
      </c>
      <c r="U3" t="n">
        <v>116</v>
      </c>
      <c r="V3" t="n">
        <v>109.8</v>
      </c>
      <c r="W3" t="n">
        <v>111.5</v>
      </c>
      <c r="X3" t="n">
        <v>111.8</v>
      </c>
      <c r="Y3" t="n">
        <v>124.7</v>
      </c>
      <c r="Z3" t="n">
        <v>142.2</v>
      </c>
      <c r="AA3" t="n">
        <v>179.3</v>
      </c>
      <c r="AB3" t="n">
        <v>198.8</v>
      </c>
      <c r="AC3" t="n">
        <v>197</v>
      </c>
      <c r="AD3" t="n">
        <v>396.1</v>
      </c>
      <c r="AE3" t="n">
        <v>426</v>
      </c>
      <c r="AF3" t="n">
        <v>636.3</v>
      </c>
    </row>
    <row r="4">
      <c r="A4" t="s">
        <v>122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6100.5</v>
      </c>
      <c r="H4" t="n">
        <v>6556.9</v>
      </c>
      <c r="I4" t="n">
        <v>7253.5</v>
      </c>
      <c r="J4" t="n">
        <v>7881.3</v>
      </c>
      <c r="K4" t="n">
        <v>8557.3</v>
      </c>
      <c r="L4" t="n">
        <v>9265</v>
      </c>
      <c r="M4" t="n">
        <v>9789.4</v>
      </c>
      <c r="N4" t="n">
        <v>9882.2</v>
      </c>
      <c r="O4" t="n">
        <v>9722.9</v>
      </c>
      <c r="P4" t="n">
        <v>9579.8</v>
      </c>
      <c r="Q4" t="n">
        <v>9537.6</v>
      </c>
      <c r="R4" t="n">
        <v>9728.4</v>
      </c>
      <c r="S4" t="n">
        <v>10022.2</v>
      </c>
      <c r="T4" t="n">
        <v>10073</v>
      </c>
      <c r="U4" t="n">
        <v>10024.3</v>
      </c>
      <c r="V4" t="n">
        <v>10032.3</v>
      </c>
      <c r="W4" t="n">
        <v>10237</v>
      </c>
      <c r="X4" t="n">
        <v>10520.7</v>
      </c>
      <c r="Y4" t="n">
        <v>11112.7</v>
      </c>
      <c r="Z4" t="n">
        <v>11337</v>
      </c>
      <c r="AA4" t="n">
        <v>11892.1</v>
      </c>
      <c r="AB4" t="n">
        <v>12462.9</v>
      </c>
      <c r="AC4" t="n">
        <v>13353.1</v>
      </c>
      <c r="AD4" t="n">
        <v>14109.9</v>
      </c>
      <c r="AE4" t="n">
        <v>13818</v>
      </c>
      <c r="AF4" t="n">
        <v>14326.8</v>
      </c>
    </row>
    <row r="5">
      <c r="A5" t="s">
        <v>122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545.8</v>
      </c>
      <c r="H5" t="n">
        <v>575.2</v>
      </c>
      <c r="I5" t="n">
        <v>636.6</v>
      </c>
      <c r="J5" t="n">
        <v>678.4</v>
      </c>
      <c r="K5" t="n">
        <v>709.3</v>
      </c>
      <c r="L5" t="n">
        <v>749.3</v>
      </c>
      <c r="M5" t="n">
        <v>799.2</v>
      </c>
      <c r="N5" t="n">
        <v>813</v>
      </c>
      <c r="O5" t="n">
        <v>811.6</v>
      </c>
      <c r="P5" t="n">
        <v>782.1</v>
      </c>
      <c r="Q5" t="n">
        <v>820.5</v>
      </c>
      <c r="R5" t="n">
        <v>842.2</v>
      </c>
      <c r="S5" t="n">
        <v>817.1</v>
      </c>
      <c r="T5" t="n">
        <v>791.2</v>
      </c>
      <c r="U5" t="n">
        <v>798.3</v>
      </c>
      <c r="V5" t="n">
        <v>810</v>
      </c>
      <c r="W5" t="n">
        <v>817.6</v>
      </c>
      <c r="X5" t="n">
        <v>799.2</v>
      </c>
      <c r="Y5" t="n">
        <v>940.8</v>
      </c>
      <c r="Z5" t="n">
        <v>942.9</v>
      </c>
      <c r="AA5" t="n">
        <v>1110.5</v>
      </c>
      <c r="AB5" t="n">
        <v>1081.7</v>
      </c>
      <c r="AC5" t="n">
        <v>1167</v>
      </c>
      <c r="AD5" t="n">
        <v>1215.8</v>
      </c>
      <c r="AE5" t="n">
        <v>1202.2</v>
      </c>
      <c r="AF5"/>
    </row>
    <row r="6">
      <c r="A6" t="s">
        <v>122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605.8</v>
      </c>
      <c r="H6" t="n">
        <v>645.5</v>
      </c>
      <c r="I6" t="n">
        <v>717.9</v>
      </c>
      <c r="J6" t="n">
        <v>764.8</v>
      </c>
      <c r="K6" t="n">
        <v>819</v>
      </c>
      <c r="L6" t="n">
        <v>918.1</v>
      </c>
      <c r="M6" t="n">
        <v>931.8</v>
      </c>
      <c r="N6" t="n">
        <v>937.4</v>
      </c>
      <c r="O6" t="n">
        <v>925.3</v>
      </c>
      <c r="P6" t="n">
        <v>935</v>
      </c>
      <c r="Q6" t="n">
        <v>933.2</v>
      </c>
      <c r="R6" t="n">
        <v>941.8</v>
      </c>
      <c r="S6" t="n">
        <v>980.9</v>
      </c>
      <c r="T6" t="n">
        <v>948.6</v>
      </c>
      <c r="U6" t="n">
        <v>938.9</v>
      </c>
      <c r="V6" t="n">
        <v>939.2</v>
      </c>
      <c r="W6" t="n">
        <v>933.9</v>
      </c>
      <c r="X6" t="n">
        <v>890.6</v>
      </c>
      <c r="Y6" t="n">
        <v>897.3</v>
      </c>
      <c r="Z6" t="n">
        <v>906.2</v>
      </c>
      <c r="AA6" t="n">
        <v>981.4</v>
      </c>
      <c r="AB6" t="n">
        <v>1029.6</v>
      </c>
      <c r="AC6" t="n">
        <v>1085.8</v>
      </c>
      <c r="AD6" t="n">
        <v>1169.9</v>
      </c>
      <c r="AE6" t="n">
        <v>1139.7</v>
      </c>
      <c r="AF6"/>
    </row>
    <row r="7">
      <c r="A7" t="s">
        <v>122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357.5</v>
      </c>
      <c r="H7" t="n">
        <v>383.1</v>
      </c>
      <c r="I7" t="n">
        <v>415.1</v>
      </c>
      <c r="J7" t="n">
        <v>445.9</v>
      </c>
      <c r="K7" t="n">
        <v>483.6</v>
      </c>
      <c r="L7" t="n">
        <v>510.3</v>
      </c>
      <c r="M7" t="n">
        <v>553.9</v>
      </c>
      <c r="N7" t="n">
        <v>549.9</v>
      </c>
      <c r="O7" t="n">
        <v>544.9</v>
      </c>
      <c r="P7" t="n">
        <v>526.6</v>
      </c>
      <c r="Q7" t="n">
        <v>545.1</v>
      </c>
      <c r="R7" t="n">
        <v>554.5</v>
      </c>
      <c r="S7" t="n">
        <v>570.1</v>
      </c>
      <c r="T7" t="n">
        <v>565.4</v>
      </c>
      <c r="U7" t="n">
        <v>563.8</v>
      </c>
      <c r="V7" t="n">
        <v>563.6</v>
      </c>
      <c r="W7" t="n">
        <v>532.9</v>
      </c>
      <c r="X7" t="n">
        <v>574.5</v>
      </c>
      <c r="Y7" t="n">
        <v>539.5</v>
      </c>
      <c r="Z7" t="n">
        <v>515.8</v>
      </c>
      <c r="AA7" t="n">
        <v>528.4</v>
      </c>
      <c r="AB7" t="n">
        <v>602.7</v>
      </c>
      <c r="AC7" t="n">
        <v>621.1</v>
      </c>
      <c r="AD7" t="n">
        <v>700.5</v>
      </c>
      <c r="AE7" t="n">
        <v>672.2</v>
      </c>
      <c r="AF7"/>
    </row>
    <row r="8">
      <c r="A8" t="s">
        <v>122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56.1</v>
      </c>
      <c r="H8" t="n">
        <v>62.8</v>
      </c>
      <c r="I8" t="n">
        <v>66.8</v>
      </c>
      <c r="J8" t="n">
        <v>68.5</v>
      </c>
      <c r="K8" t="n">
        <v>76.1</v>
      </c>
      <c r="L8" t="n">
        <v>75.5</v>
      </c>
      <c r="M8" t="n">
        <v>90.8</v>
      </c>
      <c r="N8" t="n">
        <v>89.5</v>
      </c>
      <c r="O8" t="n">
        <v>95.7</v>
      </c>
      <c r="P8" t="n">
        <v>94.8</v>
      </c>
      <c r="Q8" t="n">
        <v>93.4</v>
      </c>
      <c r="R8" t="n">
        <v>90.4</v>
      </c>
      <c r="S8" t="n">
        <v>106.4</v>
      </c>
      <c r="T8" t="n">
        <v>98.1</v>
      </c>
      <c r="U8" t="n">
        <v>96.2</v>
      </c>
      <c r="V8" t="n">
        <v>95.5</v>
      </c>
      <c r="W8" t="n">
        <v>104.6</v>
      </c>
      <c r="X8" t="n">
        <v>116.9</v>
      </c>
      <c r="Y8" t="n">
        <v>126.1</v>
      </c>
      <c r="Z8" t="n">
        <v>122.9</v>
      </c>
      <c r="AA8" t="n">
        <v>123.3</v>
      </c>
      <c r="AB8" t="n">
        <v>109.3</v>
      </c>
      <c r="AC8" t="n">
        <v>96.3</v>
      </c>
      <c r="AD8" t="n">
        <v>96.1</v>
      </c>
      <c r="AE8" t="n">
        <v>88.7</v>
      </c>
      <c r="AF8"/>
    </row>
    <row r="9">
      <c r="A9" t="s">
        <v>122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382.8</v>
      </c>
      <c r="H9" t="n">
        <v>406.2</v>
      </c>
      <c r="I9" t="n">
        <v>442.6</v>
      </c>
      <c r="J9" t="n">
        <v>485.9</v>
      </c>
      <c r="K9" t="n">
        <v>540.2</v>
      </c>
      <c r="L9" t="n">
        <v>574</v>
      </c>
      <c r="M9" t="n">
        <v>618.7</v>
      </c>
      <c r="N9" t="n">
        <v>645.3</v>
      </c>
      <c r="O9" t="n">
        <v>631.7</v>
      </c>
      <c r="P9" t="n">
        <v>613.4</v>
      </c>
      <c r="Q9" t="n">
        <v>602.7</v>
      </c>
      <c r="R9" t="n">
        <v>613.2</v>
      </c>
      <c r="S9" t="n">
        <v>618.6</v>
      </c>
      <c r="T9" t="n">
        <v>641.1</v>
      </c>
      <c r="U9" t="n">
        <v>635.4</v>
      </c>
      <c r="V9" t="n">
        <v>632.7</v>
      </c>
      <c r="W9" t="n">
        <v>607.8</v>
      </c>
      <c r="X9" t="n">
        <v>630</v>
      </c>
      <c r="Y9" t="n">
        <v>633.9</v>
      </c>
      <c r="Z9" t="n">
        <v>656.5</v>
      </c>
      <c r="AA9" t="n">
        <v>674.9</v>
      </c>
      <c r="AB9" t="n">
        <v>625.3</v>
      </c>
      <c r="AC9" t="n">
        <v>557.7</v>
      </c>
      <c r="AD9" t="n">
        <v>515.7</v>
      </c>
      <c r="AE9" t="n">
        <v>463.2</v>
      </c>
      <c r="AF9"/>
    </row>
    <row r="10">
      <c r="A10" t="s">
        <v>122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544.3</v>
      </c>
      <c r="H10" t="n">
        <v>577.5</v>
      </c>
      <c r="I10" t="n">
        <v>629.3</v>
      </c>
      <c r="J10" t="n">
        <v>690.8</v>
      </c>
      <c r="K10" t="n">
        <v>768.9</v>
      </c>
      <c r="L10" t="n">
        <v>825.3</v>
      </c>
      <c r="M10" t="n">
        <v>869.8</v>
      </c>
      <c r="N10" t="n">
        <v>924.6</v>
      </c>
      <c r="O10" t="n">
        <v>898.5</v>
      </c>
      <c r="P10" t="n">
        <v>867.3</v>
      </c>
      <c r="Q10" t="n">
        <v>845.5</v>
      </c>
      <c r="R10" t="n">
        <v>864</v>
      </c>
      <c r="S10" t="n">
        <v>886.5</v>
      </c>
      <c r="T10" t="n">
        <v>915.1</v>
      </c>
      <c r="U10" t="n">
        <v>907.2</v>
      </c>
      <c r="V10" t="n">
        <v>903.3</v>
      </c>
      <c r="W10" t="n">
        <v>914.5</v>
      </c>
      <c r="X10" t="n">
        <v>939.4</v>
      </c>
      <c r="Y10" t="n">
        <v>992.2</v>
      </c>
      <c r="Z10" t="n">
        <v>1038.1</v>
      </c>
      <c r="AA10" t="n">
        <v>1068.7</v>
      </c>
      <c r="AB10" t="n">
        <v>982.1</v>
      </c>
      <c r="AC10" t="n">
        <v>894</v>
      </c>
      <c r="AD10" t="n">
        <v>802.4</v>
      </c>
      <c r="AE10" t="n">
        <v>714.8</v>
      </c>
      <c r="AF10"/>
    </row>
    <row r="11">
      <c r="A11" t="s">
        <v>122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161.5</v>
      </c>
      <c r="H11" t="n">
        <v>171.3</v>
      </c>
      <c r="I11" t="n">
        <v>186.7</v>
      </c>
      <c r="J11" t="n">
        <v>204.9</v>
      </c>
      <c r="K11" t="n">
        <v>228.7</v>
      </c>
      <c r="L11" t="n">
        <v>251.3</v>
      </c>
      <c r="M11" t="n">
        <v>251.1</v>
      </c>
      <c r="N11" t="n">
        <v>279.3</v>
      </c>
      <c r="O11" t="n">
        <v>266.8</v>
      </c>
      <c r="P11" t="n">
        <v>253.9</v>
      </c>
      <c r="Q11" t="n">
        <v>242.8</v>
      </c>
      <c r="R11" t="n">
        <v>250.8</v>
      </c>
      <c r="S11" t="n">
        <v>267.9</v>
      </c>
      <c r="T11" t="n">
        <v>274</v>
      </c>
      <c r="U11" t="n">
        <v>271.8</v>
      </c>
      <c r="V11" t="n">
        <v>270.6</v>
      </c>
      <c r="W11" t="n">
        <v>306.7</v>
      </c>
      <c r="X11" t="n">
        <v>309.4</v>
      </c>
      <c r="Y11" t="n">
        <v>358.3</v>
      </c>
      <c r="Z11" t="n">
        <v>381.6</v>
      </c>
      <c r="AA11" t="n">
        <v>393.8</v>
      </c>
      <c r="AB11" t="n">
        <v>356.8</v>
      </c>
      <c r="AC11" t="n">
        <v>336.3</v>
      </c>
      <c r="AD11" t="n">
        <v>286.7</v>
      </c>
      <c r="AE11" t="n">
        <v>251.6</v>
      </c>
      <c r="AF11"/>
    </row>
    <row r="12">
      <c r="A12" t="s">
        <v>122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351.3</v>
      </c>
      <c r="H12" t="n">
        <v>379.6</v>
      </c>
      <c r="I12" t="n">
        <v>418</v>
      </c>
      <c r="J12" t="n">
        <v>454.9</v>
      </c>
      <c r="K12" t="n">
        <v>494.8</v>
      </c>
      <c r="L12" t="n">
        <v>532.6</v>
      </c>
      <c r="M12" t="n">
        <v>576.9</v>
      </c>
      <c r="N12" t="n">
        <v>579.8</v>
      </c>
      <c r="O12" t="n">
        <v>581.1</v>
      </c>
      <c r="P12" t="n">
        <v>569.8</v>
      </c>
      <c r="Q12" t="n">
        <v>560.1</v>
      </c>
      <c r="R12" t="n">
        <v>568.2</v>
      </c>
      <c r="S12" t="n">
        <v>557.5</v>
      </c>
      <c r="T12" t="n">
        <v>587.7</v>
      </c>
      <c r="U12" t="n">
        <v>583.8</v>
      </c>
      <c r="V12" t="n">
        <v>585.4</v>
      </c>
      <c r="W12" t="n">
        <v>602.9</v>
      </c>
      <c r="X12" t="n">
        <v>598.6</v>
      </c>
      <c r="Y12" t="n">
        <v>588.1</v>
      </c>
      <c r="Z12" t="n">
        <v>614.9</v>
      </c>
      <c r="AA12" t="n">
        <v>618.5</v>
      </c>
      <c r="AB12" t="n">
        <v>599.1</v>
      </c>
      <c r="AC12" t="n">
        <v>611.7</v>
      </c>
      <c r="AD12" t="n">
        <v>675.6</v>
      </c>
      <c r="AE12" t="n">
        <v>673.2</v>
      </c>
      <c r="AF12"/>
    </row>
    <row r="13">
      <c r="A13" t="s">
        <v>122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511.9</v>
      </c>
      <c r="H13" t="n">
        <v>556.5</v>
      </c>
      <c r="I13" t="n">
        <v>617.5</v>
      </c>
      <c r="J13" t="n">
        <v>678.2</v>
      </c>
      <c r="K13" t="n">
        <v>718.2</v>
      </c>
      <c r="L13" t="n">
        <v>794.6</v>
      </c>
      <c r="M13" t="n">
        <v>849.6</v>
      </c>
      <c r="N13" t="n">
        <v>838.6</v>
      </c>
      <c r="O13" t="n">
        <v>823.1</v>
      </c>
      <c r="P13" t="n">
        <v>802.7</v>
      </c>
      <c r="Q13" t="n">
        <v>789.9</v>
      </c>
      <c r="R13" t="n">
        <v>822.3</v>
      </c>
      <c r="S13" t="n">
        <v>866.9</v>
      </c>
      <c r="T13" t="n">
        <v>869.3</v>
      </c>
      <c r="U13" t="n">
        <v>866.3</v>
      </c>
      <c r="V13" t="n">
        <v>867.5</v>
      </c>
      <c r="W13" t="n">
        <v>920.5</v>
      </c>
      <c r="X13" t="n">
        <v>905.8</v>
      </c>
      <c r="Y13" t="n">
        <v>955</v>
      </c>
      <c r="Z13" t="n">
        <v>1004.8</v>
      </c>
      <c r="AA13" t="n">
        <v>1081.1</v>
      </c>
      <c r="AB13" t="n">
        <v>1082.2</v>
      </c>
      <c r="AC13" t="n">
        <v>1186.7</v>
      </c>
      <c r="AD13" t="n">
        <v>1310.1</v>
      </c>
      <c r="AE13" t="n">
        <v>1287.5</v>
      </c>
      <c r="AF13"/>
    </row>
    <row r="14">
      <c r="A14" t="s">
        <v>122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641.6</v>
      </c>
      <c r="H14" t="n">
        <v>696.8</v>
      </c>
      <c r="I14" t="n">
        <v>771</v>
      </c>
      <c r="J14" t="n">
        <v>854</v>
      </c>
      <c r="K14" t="n">
        <v>944.2</v>
      </c>
      <c r="L14" t="n">
        <v>1023.7</v>
      </c>
      <c r="M14" t="n">
        <v>1082.4</v>
      </c>
      <c r="N14" t="n">
        <v>1078.6</v>
      </c>
      <c r="O14" t="n">
        <v>1082.6</v>
      </c>
      <c r="P14" t="n">
        <v>1067.9</v>
      </c>
      <c r="Q14" t="n">
        <v>1052.6</v>
      </c>
      <c r="R14" t="n">
        <v>1093.3</v>
      </c>
      <c r="S14" t="n">
        <v>1131</v>
      </c>
      <c r="T14" t="n">
        <v>1102.8</v>
      </c>
      <c r="U14" t="n">
        <v>1099.6</v>
      </c>
      <c r="V14" t="n">
        <v>1099.4</v>
      </c>
      <c r="W14" t="n">
        <v>1222.1</v>
      </c>
      <c r="X14" t="n">
        <v>1299.6</v>
      </c>
      <c r="Y14" t="n">
        <v>1270.8</v>
      </c>
      <c r="Z14" t="n">
        <v>1178.9</v>
      </c>
      <c r="AA14" t="n">
        <v>1071</v>
      </c>
      <c r="AB14" t="n">
        <v>1533</v>
      </c>
      <c r="AC14" t="n">
        <v>1807.6</v>
      </c>
      <c r="AD14" t="n">
        <v>1951.8</v>
      </c>
      <c r="AE14" t="n">
        <v>2022.1</v>
      </c>
      <c r="AF14"/>
    </row>
    <row r="15">
      <c r="A15" t="s">
        <v>122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1030.4</v>
      </c>
      <c r="H15" t="n">
        <v>1118.3</v>
      </c>
      <c r="I15" t="n">
        <v>1237.7</v>
      </c>
      <c r="J15" t="n">
        <v>1369.2</v>
      </c>
      <c r="K15" t="n">
        <v>1484.1</v>
      </c>
      <c r="L15" t="n">
        <v>1653.1</v>
      </c>
      <c r="M15" t="n">
        <v>1739.7</v>
      </c>
      <c r="N15" t="n">
        <v>1750</v>
      </c>
      <c r="O15" t="n">
        <v>1741.3</v>
      </c>
      <c r="P15" t="n">
        <v>1694.3</v>
      </c>
      <c r="Q15" t="n">
        <v>1670.8</v>
      </c>
      <c r="R15" t="n">
        <v>1722.6</v>
      </c>
      <c r="S15" t="n">
        <v>1793.8</v>
      </c>
      <c r="T15" t="n">
        <v>1779.3</v>
      </c>
      <c r="U15" t="n">
        <v>1774.2</v>
      </c>
      <c r="V15" t="n">
        <v>1774.6</v>
      </c>
      <c r="W15" t="n">
        <v>1863.2</v>
      </c>
      <c r="X15" t="n">
        <v>1917.9</v>
      </c>
      <c r="Y15" t="n">
        <v>1891</v>
      </c>
      <c r="Z15" t="n">
        <v>1752.4</v>
      </c>
      <c r="AA15" t="n">
        <v>1630.4</v>
      </c>
      <c r="AB15" t="n">
        <v>2112.6</v>
      </c>
      <c r="AC15" t="n">
        <v>2407.7</v>
      </c>
      <c r="AD15" t="n">
        <v>2566</v>
      </c>
      <c r="AE15" t="n">
        <v>2586.7</v>
      </c>
      <c r="AF15"/>
    </row>
    <row r="16">
      <c r="A16" t="s">
        <v>122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388.8</v>
      </c>
      <c r="H16" t="n">
        <v>421.5</v>
      </c>
      <c r="I16" t="n">
        <v>466.7</v>
      </c>
      <c r="J16" t="n">
        <v>515.2</v>
      </c>
      <c r="K16" t="n">
        <v>539.9</v>
      </c>
      <c r="L16" t="n">
        <v>629.4</v>
      </c>
      <c r="M16" t="n">
        <v>657.3</v>
      </c>
      <c r="N16" t="n">
        <v>671.4</v>
      </c>
      <c r="O16" t="n">
        <v>658.7</v>
      </c>
      <c r="P16" t="n">
        <v>626.4</v>
      </c>
      <c r="Q16" t="n">
        <v>618.2</v>
      </c>
      <c r="R16" t="n">
        <v>629.3</v>
      </c>
      <c r="S16" t="n">
        <v>662.8</v>
      </c>
      <c r="T16" t="n">
        <v>676.5</v>
      </c>
      <c r="U16" t="n">
        <v>674.6</v>
      </c>
      <c r="V16" t="n">
        <v>675.2</v>
      </c>
      <c r="W16" t="n">
        <v>641.1</v>
      </c>
      <c r="X16" t="n">
        <v>618.3</v>
      </c>
      <c r="Y16" t="n">
        <v>620.2</v>
      </c>
      <c r="Z16" t="n">
        <v>573.5</v>
      </c>
      <c r="AA16" t="n">
        <v>559.4</v>
      </c>
      <c r="AB16" t="n">
        <v>579.6</v>
      </c>
      <c r="AC16" t="n">
        <v>600.1</v>
      </c>
      <c r="AD16" t="n">
        <v>614.2</v>
      </c>
      <c r="AE16" t="n">
        <v>564.6</v>
      </c>
      <c r="AF16"/>
    </row>
    <row r="17">
      <c r="A17" t="s">
        <v>122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857.7</v>
      </c>
      <c r="H17" t="n">
        <v>923.1</v>
      </c>
      <c r="I17" t="n">
        <v>1024.2</v>
      </c>
      <c r="J17" t="n">
        <v>1116.1</v>
      </c>
      <c r="K17" t="n">
        <v>1225.8</v>
      </c>
      <c r="L17" t="n">
        <v>1328.1</v>
      </c>
      <c r="M17" t="n">
        <v>1391.6</v>
      </c>
      <c r="N17" t="n">
        <v>1405.6</v>
      </c>
      <c r="O17" t="n">
        <v>1372.3</v>
      </c>
      <c r="P17" t="n">
        <v>1389.9</v>
      </c>
      <c r="Q17" t="n">
        <v>1371.4</v>
      </c>
      <c r="R17" t="n">
        <v>1392.4</v>
      </c>
      <c r="S17" t="n">
        <v>1445.2</v>
      </c>
      <c r="T17" t="n">
        <v>1446.6</v>
      </c>
      <c r="U17" t="n">
        <v>1436.1</v>
      </c>
      <c r="V17" t="n">
        <v>1435.4</v>
      </c>
      <c r="W17" t="n">
        <v>1635</v>
      </c>
      <c r="X17" t="n">
        <v>1790.1</v>
      </c>
      <c r="Y17" t="n">
        <v>2085.7</v>
      </c>
      <c r="Z17" t="n">
        <v>2239.6</v>
      </c>
      <c r="AA17" t="n">
        <v>2391.2</v>
      </c>
      <c r="AB17" t="n">
        <v>2434.2</v>
      </c>
      <c r="AC17" t="n">
        <v>2645.3</v>
      </c>
      <c r="AD17" t="n">
        <v>2626.2</v>
      </c>
      <c r="AE17" t="n">
        <v>2524.1</v>
      </c>
      <c r="AF17"/>
    </row>
    <row r="18">
      <c r="A18" t="s">
        <v>122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679.3</v>
      </c>
      <c r="H18" t="n">
        <v>730.7</v>
      </c>
      <c r="I18" t="n">
        <v>828.3</v>
      </c>
      <c r="J18" t="n">
        <v>894.4</v>
      </c>
      <c r="K18" t="n">
        <v>965.9</v>
      </c>
      <c r="L18" t="n">
        <v>1010.3</v>
      </c>
      <c r="M18" t="n">
        <v>1077.1</v>
      </c>
      <c r="N18" t="n">
        <v>1077.2</v>
      </c>
      <c r="O18" t="n">
        <v>1015.1</v>
      </c>
      <c r="P18" t="n">
        <v>1028.8</v>
      </c>
      <c r="Q18" t="n">
        <v>1031.4</v>
      </c>
      <c r="R18" t="n">
        <v>1027.4</v>
      </c>
      <c r="S18" t="n">
        <v>1069.5</v>
      </c>
      <c r="T18" t="n">
        <v>1163</v>
      </c>
      <c r="U18" t="n">
        <v>1151.3</v>
      </c>
      <c r="V18" t="n">
        <v>1145.6</v>
      </c>
      <c r="W18" t="n">
        <v>1075.3</v>
      </c>
      <c r="X18" t="n">
        <v>1185.8</v>
      </c>
      <c r="Y18" t="n">
        <v>1236</v>
      </c>
      <c r="Z18" t="n">
        <v>1348.8</v>
      </c>
      <c r="AA18" t="n">
        <v>1389.6</v>
      </c>
      <c r="AB18" t="n">
        <v>1466</v>
      </c>
      <c r="AC18" t="n">
        <v>1629.4</v>
      </c>
      <c r="AD18" t="n">
        <v>1893.9</v>
      </c>
      <c r="AE18" t="n">
        <v>1931.9</v>
      </c>
      <c r="AF18"/>
    </row>
    <row r="19">
      <c r="A19" t="s">
        <v>122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560.4</v>
      </c>
      <c r="H19" t="n">
        <v>604.6</v>
      </c>
      <c r="I19" t="n">
        <v>662.1</v>
      </c>
      <c r="J19" t="n">
        <v>720.1</v>
      </c>
      <c r="K19" t="n">
        <v>811.6</v>
      </c>
      <c r="L19" t="n">
        <v>867.8</v>
      </c>
      <c r="M19" t="n">
        <v>909</v>
      </c>
      <c r="N19" t="n">
        <v>916.6</v>
      </c>
      <c r="O19" t="n">
        <v>914</v>
      </c>
      <c r="P19" t="n">
        <v>888.5</v>
      </c>
      <c r="Q19" t="n">
        <v>876.3</v>
      </c>
      <c r="R19" t="n">
        <v>902.6</v>
      </c>
      <c r="S19" t="n">
        <v>928.3</v>
      </c>
      <c r="T19" t="n">
        <v>908.7</v>
      </c>
      <c r="U19" t="n">
        <v>908.2</v>
      </c>
      <c r="V19" t="n">
        <v>912.2</v>
      </c>
      <c r="W19" t="n">
        <v>836.6</v>
      </c>
      <c r="X19" t="n">
        <v>801.9</v>
      </c>
      <c r="Y19" t="n">
        <v>861</v>
      </c>
      <c r="Z19" t="n">
        <v>850.6</v>
      </c>
      <c r="AA19" t="n">
        <v>969</v>
      </c>
      <c r="AB19" t="n">
        <v>963.4</v>
      </c>
      <c r="AC19" t="n">
        <v>1008.1</v>
      </c>
      <c r="AD19" t="n">
        <v>1053.4</v>
      </c>
      <c r="AE19" t="n">
        <v>997</v>
      </c>
      <c r="AF19"/>
    </row>
    <row r="20">
      <c r="A20" t="s">
        <v>122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813</v>
      </c>
      <c r="H20" t="n">
        <v>894.7</v>
      </c>
      <c r="I20" t="n">
        <v>947.6</v>
      </c>
      <c r="J20" t="n">
        <v>1012.7</v>
      </c>
      <c r="K20" t="n">
        <v>1016.7</v>
      </c>
      <c r="L20" t="n">
        <v>1163.7</v>
      </c>
      <c r="M20" t="n">
        <v>1300.9</v>
      </c>
      <c r="N20" t="n">
        <v>1404.6</v>
      </c>
      <c r="O20" t="n">
        <v>1416.1</v>
      </c>
      <c r="P20" t="n">
        <v>1341.7</v>
      </c>
      <c r="Q20" t="n">
        <v>1267.2</v>
      </c>
      <c r="R20" t="n">
        <v>1266.3</v>
      </c>
      <c r="S20" t="n">
        <v>1235.2</v>
      </c>
      <c r="T20" t="n">
        <v>1507</v>
      </c>
      <c r="U20" t="n">
        <v>1487.9</v>
      </c>
      <c r="V20" t="n">
        <v>1481.6</v>
      </c>
      <c r="W20" t="n">
        <v>1411.3</v>
      </c>
      <c r="X20" t="n">
        <v>1538.7</v>
      </c>
      <c r="Y20" t="n">
        <v>1569.1</v>
      </c>
      <c r="Z20" t="n">
        <v>1618.8</v>
      </c>
      <c r="AA20" t="n">
        <v>1879.4</v>
      </c>
      <c r="AB20" t="n">
        <v>2001.3</v>
      </c>
      <c r="AC20" t="n">
        <v>2179.1</v>
      </c>
      <c r="AD20" t="n">
        <v>2320.6</v>
      </c>
      <c r="AE20" t="n">
        <v>2323</v>
      </c>
      <c r="AF20" t="n">
        <v>2303.9</v>
      </c>
    </row>
    <row r="21">
      <c r="A21" t="s">
        <v>122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1031.5</v>
      </c>
      <c r="H21" t="n">
        <v>1125.7</v>
      </c>
      <c r="I21" t="n">
        <v>1192</v>
      </c>
      <c r="J21" t="n">
        <v>1279.5</v>
      </c>
      <c r="K21" t="n">
        <v>1307.8</v>
      </c>
      <c r="L21" t="n">
        <v>1474.6</v>
      </c>
      <c r="M21" t="n">
        <v>1630.8</v>
      </c>
      <c r="N21" t="n">
        <v>1746</v>
      </c>
      <c r="O21" t="n">
        <v>1774.1</v>
      </c>
      <c r="P21" t="n">
        <v>1689.9</v>
      </c>
      <c r="Q21" t="n">
        <v>1623.8</v>
      </c>
      <c r="R21" t="n">
        <v>1628.2</v>
      </c>
      <c r="S21" t="n">
        <v>1588.7</v>
      </c>
      <c r="T21" t="n">
        <v>1869.9</v>
      </c>
      <c r="U21" t="n">
        <v>1849</v>
      </c>
      <c r="V21" t="n">
        <v>1843.9</v>
      </c>
      <c r="W21" t="n">
        <v>1799.4</v>
      </c>
      <c r="X21" t="n">
        <v>1954.6</v>
      </c>
      <c r="Y21" t="n">
        <v>2082.2</v>
      </c>
      <c r="Z21" t="n">
        <v>2243.3</v>
      </c>
      <c r="AA21" t="n">
        <v>2743.5</v>
      </c>
      <c r="AB21" t="n">
        <v>3188.2</v>
      </c>
      <c r="AC21" t="n">
        <v>3701.1</v>
      </c>
      <c r="AD21" t="n">
        <v>4058.2</v>
      </c>
      <c r="AE21" t="n">
        <v>3974.4</v>
      </c>
      <c r="AF21" t="n">
        <v>3874.2</v>
      </c>
    </row>
    <row r="22">
      <c r="A22" t="s">
        <v>122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218.5</v>
      </c>
      <c r="H22" t="n">
        <v>231</v>
      </c>
      <c r="I22" t="n">
        <v>244.4</v>
      </c>
      <c r="J22" t="n">
        <v>266.8</v>
      </c>
      <c r="K22" t="n">
        <v>291.1</v>
      </c>
      <c r="L22" t="n">
        <v>310.9</v>
      </c>
      <c r="M22" t="n">
        <v>329.9</v>
      </c>
      <c r="N22" t="n">
        <v>341.4</v>
      </c>
      <c r="O22" t="n">
        <v>358</v>
      </c>
      <c r="P22" t="n">
        <v>348.2</v>
      </c>
      <c r="Q22" t="n">
        <v>356.6</v>
      </c>
      <c r="R22" t="n">
        <v>361.9</v>
      </c>
      <c r="S22" t="n">
        <v>353.5</v>
      </c>
      <c r="T22" t="n">
        <v>362.9</v>
      </c>
      <c r="U22" t="n">
        <v>361.1</v>
      </c>
      <c r="V22" t="n">
        <v>362.3</v>
      </c>
      <c r="W22" t="n">
        <v>388.1</v>
      </c>
      <c r="X22" t="n">
        <v>415.9</v>
      </c>
      <c r="Y22" t="n">
        <v>513.1</v>
      </c>
      <c r="Z22" t="n">
        <v>624.5</v>
      </c>
      <c r="AA22" t="n">
        <v>864.1</v>
      </c>
      <c r="AB22" t="n">
        <v>1186.9</v>
      </c>
      <c r="AC22" t="n">
        <v>1522</v>
      </c>
      <c r="AD22" t="n">
        <v>1737.6</v>
      </c>
      <c r="AE22" t="n">
        <v>1651.4</v>
      </c>
      <c r="AF22" t="n">
        <v>1570.3</v>
      </c>
    </row>
    <row r="23">
      <c r="A23" t="s">
        <v>122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419.3</v>
      </c>
      <c r="H23" t="n">
        <v>444.7</v>
      </c>
      <c r="I23" t="n">
        <v>478</v>
      </c>
      <c r="J23" t="n">
        <v>511.5</v>
      </c>
      <c r="K23" t="n">
        <v>543.6</v>
      </c>
      <c r="L23" t="n">
        <v>607</v>
      </c>
      <c r="M23" t="n">
        <v>654.6</v>
      </c>
      <c r="N23" t="n">
        <v>661.2</v>
      </c>
      <c r="O23" t="n">
        <v>635</v>
      </c>
      <c r="P23" t="n">
        <v>625.9</v>
      </c>
      <c r="Q23" t="n">
        <v>602.2</v>
      </c>
      <c r="R23" t="n">
        <v>628.4</v>
      </c>
      <c r="S23" t="n">
        <v>618.9</v>
      </c>
      <c r="T23" t="n">
        <v>639.5</v>
      </c>
      <c r="U23" t="n">
        <v>641</v>
      </c>
      <c r="V23" t="n">
        <v>646</v>
      </c>
      <c r="W23" t="n">
        <v>626.1</v>
      </c>
      <c r="X23" t="n">
        <v>608.6</v>
      </c>
      <c r="Y23" t="n">
        <v>612.5</v>
      </c>
      <c r="Z23" t="n">
        <v>596.3</v>
      </c>
      <c r="AA23" t="n">
        <v>652.2</v>
      </c>
      <c r="AB23" t="n">
        <v>816</v>
      </c>
      <c r="AC23" t="n">
        <v>866.1</v>
      </c>
      <c r="AD23" t="n">
        <v>849.4</v>
      </c>
      <c r="AE23" t="n">
        <v>957.4</v>
      </c>
      <c r="AF23" t="n">
        <v>1036.9</v>
      </c>
    </row>
    <row r="24">
      <c r="A24" t="s">
        <v>122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2676.9</v>
      </c>
      <c r="H24" t="n">
        <v>2861.3</v>
      </c>
      <c r="I24" t="n">
        <v>3104.3</v>
      </c>
      <c r="J24" t="n">
        <v>3372.1</v>
      </c>
      <c r="K24" t="n">
        <v>3595.1</v>
      </c>
      <c r="L24" t="n">
        <v>3902</v>
      </c>
      <c r="M24" t="n">
        <v>4322.4</v>
      </c>
      <c r="N24" t="n">
        <v>4201.6</v>
      </c>
      <c r="O24" t="n">
        <v>4089.5</v>
      </c>
      <c r="P24" t="n">
        <v>3979.6</v>
      </c>
      <c r="Q24" t="n">
        <v>4104</v>
      </c>
      <c r="R24" t="n">
        <v>4177.8</v>
      </c>
      <c r="S24" t="n">
        <v>4189.9</v>
      </c>
      <c r="T24" t="n">
        <v>4308.1</v>
      </c>
      <c r="U24" t="n">
        <v>4306</v>
      </c>
      <c r="V24" t="n">
        <v>4323.3</v>
      </c>
      <c r="W24" t="n">
        <v>4399.4</v>
      </c>
      <c r="X24" t="n">
        <v>4257.2</v>
      </c>
      <c r="Y24" t="n">
        <v>4409.6</v>
      </c>
      <c r="Z24" t="n">
        <v>4391.1</v>
      </c>
      <c r="AA24" t="n">
        <v>4898.4</v>
      </c>
      <c r="AB24" t="n">
        <v>5302.8</v>
      </c>
      <c r="AC24" t="n">
        <v>5839.9</v>
      </c>
      <c r="AD24" t="n">
        <v>6196.4</v>
      </c>
      <c r="AE24" t="n">
        <v>6063</v>
      </c>
      <c r="AF24" t="n">
        <v>5990.4</v>
      </c>
    </row>
    <row r="25">
      <c r="A25" t="s">
        <v>122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122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1320.4</v>
      </c>
      <c r="H28" t="n">
        <v>1408.6</v>
      </c>
      <c r="I28" t="n">
        <v>1507.3</v>
      </c>
      <c r="J28" t="n">
        <v>1579.8</v>
      </c>
      <c r="K28" t="n">
        <v>1708.2</v>
      </c>
      <c r="L28" t="n">
        <v>1777.1</v>
      </c>
      <c r="M28" t="n">
        <v>1898.3</v>
      </c>
      <c r="N28" t="n">
        <v>1907.3</v>
      </c>
      <c r="O28" t="n">
        <v>2003.6</v>
      </c>
      <c r="P28" t="n">
        <v>2151.4</v>
      </c>
      <c r="Q28" t="n">
        <v>2260.7</v>
      </c>
      <c r="R28" t="n">
        <v>2426.2</v>
      </c>
      <c r="S28" t="n">
        <v>2401.5</v>
      </c>
      <c r="T28" t="n">
        <v>2544.9</v>
      </c>
      <c r="U28" t="n">
        <v>2441.2</v>
      </c>
      <c r="V28" t="n">
        <v>2373.2</v>
      </c>
      <c r="W28" t="n">
        <v>2324</v>
      </c>
      <c r="X28" t="n">
        <v>2266.3</v>
      </c>
      <c r="Y28" t="n">
        <v>2260.8</v>
      </c>
      <c r="Z28" t="n">
        <v>2473.7</v>
      </c>
      <c r="AA28" t="n">
        <v>2632.5</v>
      </c>
      <c r="AB28" t="n">
        <v>2700</v>
      </c>
      <c r="AC28" t="n">
        <v>2770</v>
      </c>
      <c r="AD28" t="n">
        <v>2736.6</v>
      </c>
      <c r="AE28" t="n">
        <v>2820.9</v>
      </c>
      <c r="AF28" t="n">
        <v>2776</v>
      </c>
    </row>
    <row r="29">
      <c r="A29" t="s">
        <v>122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122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152.8</v>
      </c>
      <c r="H34" t="n">
        <v>164.1</v>
      </c>
      <c r="I34" t="n">
        <v>176.2</v>
      </c>
      <c r="J34" t="n">
        <v>185.9</v>
      </c>
      <c r="K34" t="n">
        <v>189.7</v>
      </c>
      <c r="L34" t="n">
        <v>239.4</v>
      </c>
      <c r="M34" t="n">
        <v>271.8</v>
      </c>
      <c r="N34" t="n">
        <v>259.4</v>
      </c>
      <c r="O34" t="n">
        <v>245.9</v>
      </c>
      <c r="P34" t="n">
        <v>237.5</v>
      </c>
      <c r="Q34" t="n">
        <v>230.1</v>
      </c>
      <c r="R34" t="n">
        <v>239.5</v>
      </c>
      <c r="S34" t="n">
        <v>246.5</v>
      </c>
      <c r="T34" t="n">
        <v>254</v>
      </c>
      <c r="U34" t="n">
        <v>252.6</v>
      </c>
      <c r="V34" t="n">
        <v>252.2</v>
      </c>
      <c r="W34" t="n">
        <v>258.4</v>
      </c>
      <c r="X34" t="n">
        <v>273.6</v>
      </c>
      <c r="Y34" t="n">
        <v>353</v>
      </c>
      <c r="Z34" t="n">
        <v>344.9</v>
      </c>
      <c r="AA34" t="n">
        <v>353.8</v>
      </c>
      <c r="AB34" t="n">
        <v>354.9</v>
      </c>
      <c r="AC34" t="n">
        <v>357.5</v>
      </c>
      <c r="AD34" t="n">
        <v>403.8</v>
      </c>
      <c r="AE34" t="n">
        <v>426.9</v>
      </c>
      <c r="AF34" t="n">
        <v>415.8</v>
      </c>
    </row>
    <row r="35">
      <c r="A35" t="s">
        <v>122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8820.2</v>
      </c>
      <c r="H35" t="n">
        <v>9683.1</v>
      </c>
      <c r="I35" t="n">
        <v>10517.1</v>
      </c>
      <c r="J35" t="n">
        <v>11522.6</v>
      </c>
      <c r="K35" t="n">
        <v>12461.3</v>
      </c>
      <c r="L35" t="n">
        <v>13474.5</v>
      </c>
      <c r="M35" t="n">
        <v>14344.2</v>
      </c>
      <c r="N35" t="n">
        <v>15584.7</v>
      </c>
      <c r="O35" t="n">
        <v>15444.5</v>
      </c>
      <c r="P35" t="n">
        <v>15669.9</v>
      </c>
      <c r="Q35" t="n">
        <v>15693.3</v>
      </c>
      <c r="R35" t="n">
        <v>16159.8</v>
      </c>
      <c r="S35" t="n">
        <v>16126.2</v>
      </c>
      <c r="T35" t="n">
        <v>15954.8</v>
      </c>
      <c r="U35" t="n">
        <v>15932.8</v>
      </c>
      <c r="V35" t="n">
        <v>15976.5</v>
      </c>
      <c r="W35" t="n">
        <v>16557.7</v>
      </c>
      <c r="X35" t="n">
        <v>17325.6</v>
      </c>
      <c r="Y35" t="n">
        <v>18081.1</v>
      </c>
      <c r="Z35" t="n">
        <v>20150.5</v>
      </c>
      <c r="AA35" t="n">
        <v>21553.2</v>
      </c>
      <c r="AB35" t="n">
        <v>21866.2</v>
      </c>
      <c r="AC35" t="n">
        <v>21318.8</v>
      </c>
      <c r="AD35" t="n">
        <v>20184.6</v>
      </c>
      <c r="AE35" t="n">
        <v>20781.9</v>
      </c>
      <c r="AF35" t="n">
        <v>21491.2</v>
      </c>
    </row>
    <row r="36">
      <c r="A36" t="s">
        <v>122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1061</v>
      </c>
      <c r="H36" t="n">
        <v>1136.1</v>
      </c>
      <c r="I36" t="n">
        <v>1208.1</v>
      </c>
      <c r="J36" t="n">
        <v>1306.8</v>
      </c>
      <c r="K36" t="n">
        <v>1407.5</v>
      </c>
      <c r="L36" t="n">
        <v>1445.2</v>
      </c>
      <c r="M36" t="n">
        <v>1576.2</v>
      </c>
      <c r="N36" t="n">
        <v>1604.6</v>
      </c>
      <c r="O36" t="n">
        <v>1605.8</v>
      </c>
      <c r="P36" t="n">
        <v>1631.7</v>
      </c>
      <c r="Q36" t="n">
        <v>1633.8</v>
      </c>
      <c r="R36" t="n">
        <v>1684.1</v>
      </c>
      <c r="S36" t="n">
        <v>1715.8</v>
      </c>
      <c r="T36" t="n">
        <v>1716.3</v>
      </c>
      <c r="U36" t="n">
        <v>1693.5</v>
      </c>
      <c r="V36" t="n">
        <v>1686.4</v>
      </c>
      <c r="W36" t="n">
        <v>1945.1</v>
      </c>
      <c r="X36" t="n">
        <v>1886.4</v>
      </c>
      <c r="Y36" t="n">
        <v>1774</v>
      </c>
      <c r="Z36" t="n">
        <v>1708.8</v>
      </c>
      <c r="AA36" t="n">
        <v>1849.7</v>
      </c>
      <c r="AB36" t="n">
        <v>1962.4</v>
      </c>
      <c r="AC36" t="n">
        <v>1895.4</v>
      </c>
      <c r="AD36" t="n">
        <v>1763</v>
      </c>
      <c r="AE36" t="n">
        <v>1708.7</v>
      </c>
      <c r="AF36"/>
    </row>
    <row r="37">
      <c r="A37" t="s">
        <v>122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1718.8</v>
      </c>
      <c r="H37" t="n">
        <v>1842</v>
      </c>
      <c r="I37" t="n">
        <v>1977.1</v>
      </c>
      <c r="J37" t="n">
        <v>2068.5</v>
      </c>
      <c r="K37" t="n">
        <v>2589.3</v>
      </c>
      <c r="L37" t="n">
        <v>2771.1</v>
      </c>
      <c r="M37" t="n">
        <v>2990.4</v>
      </c>
      <c r="N37" t="n">
        <v>3160.7</v>
      </c>
      <c r="O37" t="n">
        <v>2993.5</v>
      </c>
      <c r="P37" t="n">
        <v>2887.6</v>
      </c>
      <c r="Q37" t="n">
        <v>2761.7</v>
      </c>
      <c r="R37" t="n">
        <v>2783.3</v>
      </c>
      <c r="S37" t="n">
        <v>2996.1</v>
      </c>
      <c r="T37" t="n">
        <v>2823.4</v>
      </c>
      <c r="U37" t="n">
        <v>2816.2</v>
      </c>
      <c r="V37" t="n">
        <v>2817.4</v>
      </c>
      <c r="W37" t="n">
        <v>3248.6</v>
      </c>
      <c r="X37" t="n">
        <v>3659.7</v>
      </c>
      <c r="Y37" t="n">
        <v>4322.7</v>
      </c>
      <c r="Z37" t="n">
        <v>5229.1</v>
      </c>
      <c r="AA37" t="n">
        <v>5786.3</v>
      </c>
      <c r="AB37" t="n">
        <v>5496.7</v>
      </c>
      <c r="AC37" t="n">
        <v>4905.1</v>
      </c>
      <c r="AD37" t="n">
        <v>4280.4</v>
      </c>
      <c r="AE37" t="n">
        <v>4438.6</v>
      </c>
      <c r="AF37"/>
    </row>
    <row r="38">
      <c r="A38" t="s">
        <v>122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6040.4</v>
      </c>
      <c r="H38" t="n">
        <v>6705</v>
      </c>
      <c r="I38" t="n">
        <v>7331.9</v>
      </c>
      <c r="J38" t="n">
        <v>8147.3</v>
      </c>
      <c r="K38" t="n">
        <v>8464.5</v>
      </c>
      <c r="L38" t="n">
        <v>9258.2</v>
      </c>
      <c r="M38" t="n">
        <v>9777.6</v>
      </c>
      <c r="N38" t="n">
        <v>10819.4</v>
      </c>
      <c r="O38" t="n">
        <v>10845.2</v>
      </c>
      <c r="P38" t="n">
        <v>11150.6</v>
      </c>
      <c r="Q38" t="n">
        <v>11297.8</v>
      </c>
      <c r="R38" t="n">
        <v>11692.4</v>
      </c>
      <c r="S38" t="n">
        <v>11414.3</v>
      </c>
      <c r="T38" t="n">
        <v>11415.1</v>
      </c>
      <c r="U38" t="n">
        <v>11423.1</v>
      </c>
      <c r="V38" t="n">
        <v>11472.7</v>
      </c>
      <c r="W38" t="n">
        <v>11364</v>
      </c>
      <c r="X38" t="n">
        <v>11779.5</v>
      </c>
      <c r="Y38" t="n">
        <v>11984.4</v>
      </c>
      <c r="Z38" t="n">
        <v>13212.6</v>
      </c>
      <c r="AA38" t="n">
        <v>13917.2</v>
      </c>
      <c r="AB38" t="n">
        <v>14407.1</v>
      </c>
      <c r="AC38" t="n">
        <v>14518.3</v>
      </c>
      <c r="AD38" t="n">
        <v>14141.2</v>
      </c>
      <c r="AE38" t="n">
        <v>14634.6</v>
      </c>
      <c r="AF38"/>
    </row>
    <row r="39">
      <c r="A39" t="s">
        <v>122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1872.9</v>
      </c>
      <c r="H39" t="n">
        <v>1992.4</v>
      </c>
      <c r="I39" t="n">
        <v>2369.2</v>
      </c>
      <c r="J39" t="n">
        <v>2521</v>
      </c>
      <c r="K39" t="n">
        <v>2698.2</v>
      </c>
      <c r="L39" t="n">
        <v>2751.5</v>
      </c>
      <c r="M39" t="n">
        <v>2923.3</v>
      </c>
      <c r="N39" t="n">
        <v>3135.4</v>
      </c>
      <c r="O39" t="n">
        <v>3213.7</v>
      </c>
      <c r="P39" t="n">
        <v>3311.9</v>
      </c>
      <c r="Q39" t="n">
        <v>3509.3</v>
      </c>
      <c r="R39" t="n">
        <v>3275.8</v>
      </c>
      <c r="S39" t="n">
        <v>3626.3</v>
      </c>
      <c r="T39" t="n">
        <v>3514.5</v>
      </c>
      <c r="U39" t="n">
        <v>3483.8</v>
      </c>
      <c r="V39" t="n">
        <v>3406.9</v>
      </c>
      <c r="W39" t="n">
        <v>3324.4</v>
      </c>
      <c r="X39" t="n">
        <v>3212.1</v>
      </c>
      <c r="Y39" t="n">
        <v>3261.1</v>
      </c>
      <c r="Z39" t="n">
        <v>3550.1</v>
      </c>
      <c r="AA39" t="n">
        <v>3992.2</v>
      </c>
      <c r="AB39" t="n">
        <v>4164.6</v>
      </c>
      <c r="AC39" t="n">
        <v>4407.1</v>
      </c>
      <c r="AD39" t="n">
        <v>4799.2</v>
      </c>
      <c r="AE39" t="n">
        <v>5144.9</v>
      </c>
      <c r="AF39" t="n">
        <v>5300</v>
      </c>
    </row>
    <row r="40">
      <c r="A40" t="s">
        <v>122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282.8</v>
      </c>
      <c r="H40" t="n">
        <v>311</v>
      </c>
      <c r="I40" t="n">
        <v>341.3</v>
      </c>
      <c r="J40" t="n">
        <v>377.7</v>
      </c>
      <c r="K40" t="n">
        <v>444.8</v>
      </c>
      <c r="L40" t="n">
        <v>442.5</v>
      </c>
      <c r="M40" t="n">
        <v>495</v>
      </c>
      <c r="N40" t="n">
        <v>487.4</v>
      </c>
      <c r="O40" t="n">
        <v>478.2</v>
      </c>
      <c r="P40" t="n">
        <v>452.6</v>
      </c>
      <c r="Q40" t="n">
        <v>487.4</v>
      </c>
      <c r="R40" t="n">
        <v>485</v>
      </c>
      <c r="S40" t="n">
        <v>502.5</v>
      </c>
      <c r="T40" t="n">
        <v>592.2</v>
      </c>
      <c r="U40" t="n">
        <v>599.3</v>
      </c>
      <c r="V40" t="n">
        <v>578.9</v>
      </c>
      <c r="W40" t="n">
        <v>475.9</v>
      </c>
      <c r="X40" t="n">
        <v>400.2</v>
      </c>
      <c r="Y40" t="n">
        <v>459.4</v>
      </c>
      <c r="Z40" t="n">
        <v>428.1</v>
      </c>
      <c r="AA40" t="n">
        <v>357.8</v>
      </c>
      <c r="AB40" t="n">
        <v>250.7</v>
      </c>
      <c r="AC40" t="n">
        <v>171.1</v>
      </c>
      <c r="AD40" t="n">
        <v>124.4</v>
      </c>
      <c r="AE40" t="n">
        <v>100.5</v>
      </c>
      <c r="AF40" t="n">
        <v>94</v>
      </c>
    </row>
    <row r="41">
      <c r="A41" t="s">
        <v>122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122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3302.1</v>
      </c>
      <c r="H42" t="n">
        <v>3649.2</v>
      </c>
      <c r="I42" t="n">
        <v>3999.8</v>
      </c>
      <c r="J42" t="n">
        <v>4404.8</v>
      </c>
      <c r="K42" t="n">
        <v>4939.2</v>
      </c>
      <c r="L42" t="n">
        <v>5298.9</v>
      </c>
      <c r="M42" t="n">
        <v>5637.8</v>
      </c>
      <c r="N42" t="n">
        <v>5703.8</v>
      </c>
      <c r="O42" t="n">
        <v>5721.8</v>
      </c>
      <c r="P42" t="n">
        <v>5739</v>
      </c>
      <c r="Q42" t="n">
        <v>5840.6</v>
      </c>
      <c r="R42" t="n">
        <v>5981.3</v>
      </c>
      <c r="S42" t="n">
        <v>6207.7</v>
      </c>
      <c r="T42" t="n">
        <v>6139.1</v>
      </c>
      <c r="U42" t="n">
        <v>6115</v>
      </c>
      <c r="V42" t="n">
        <v>6107.6</v>
      </c>
      <c r="W42" t="n">
        <v>6337.5</v>
      </c>
      <c r="X42" t="n">
        <v>6016.4</v>
      </c>
      <c r="Y42" t="n">
        <v>6308.3</v>
      </c>
      <c r="Z42" t="n">
        <v>6522.3</v>
      </c>
      <c r="AA42" t="n">
        <v>6859</v>
      </c>
      <c r="AB42" t="n">
        <v>7411.4</v>
      </c>
      <c r="AC42" t="n">
        <v>7784.2</v>
      </c>
      <c r="AD42" t="n">
        <v>7790.4</v>
      </c>
      <c r="AE42" t="n">
        <v>7728.6</v>
      </c>
      <c r="AF42" t="n">
        <v>8173.6</v>
      </c>
    </row>
    <row r="43">
      <c r="A43" t="s">
        <v>122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4166.7</v>
      </c>
      <c r="H43" t="n">
        <v>4604.2</v>
      </c>
      <c r="I43" t="n">
        <v>5042.7</v>
      </c>
      <c r="J43" t="n">
        <v>5556.6</v>
      </c>
      <c r="K43" t="n">
        <v>6214.6</v>
      </c>
      <c r="L43" t="n">
        <v>6657.3</v>
      </c>
      <c r="M43" t="n">
        <v>7101.2</v>
      </c>
      <c r="N43" t="n">
        <v>7186.2</v>
      </c>
      <c r="O43" t="n">
        <v>7206.4</v>
      </c>
      <c r="P43" t="n">
        <v>7200.7</v>
      </c>
      <c r="Q43" t="n">
        <v>7330.9</v>
      </c>
      <c r="R43" t="n">
        <v>7513.4</v>
      </c>
      <c r="S43" t="n">
        <v>7842.4</v>
      </c>
      <c r="T43" t="n">
        <v>7737.1</v>
      </c>
      <c r="U43" t="n">
        <v>7714.3</v>
      </c>
      <c r="V43" t="n">
        <v>7716.9</v>
      </c>
      <c r="W43" t="n">
        <v>8074.5</v>
      </c>
      <c r="X43" t="n">
        <v>7846.2</v>
      </c>
      <c r="Y43" t="n">
        <v>8318.7</v>
      </c>
      <c r="Z43" t="n">
        <v>8694</v>
      </c>
      <c r="AA43" t="n">
        <v>9454.3</v>
      </c>
      <c r="AB43" t="n">
        <v>10094.5</v>
      </c>
      <c r="AC43" t="n">
        <v>10741.5</v>
      </c>
      <c r="AD43" t="n">
        <v>11122.5</v>
      </c>
      <c r="AE43" t="n">
        <v>11043.9</v>
      </c>
      <c r="AF43" t="n">
        <v>11502.3</v>
      </c>
    </row>
    <row r="44">
      <c r="A44" t="s">
        <v>122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27418.5</v>
      </c>
      <c r="H44" t="n">
        <v>29797.6</v>
      </c>
      <c r="I44" t="n">
        <v>32684.6</v>
      </c>
      <c r="J44" t="n">
        <v>35539.3</v>
      </c>
      <c r="K44" t="n">
        <v>38501.4</v>
      </c>
      <c r="L44" t="n">
        <v>41446.4</v>
      </c>
      <c r="M44" t="n">
        <v>44349.7</v>
      </c>
      <c r="N44" t="n">
        <v>45997.9</v>
      </c>
      <c r="O44" t="n">
        <v>45706.1</v>
      </c>
      <c r="P44" t="n">
        <v>45975.3</v>
      </c>
      <c r="Q44" t="n">
        <v>46383.1</v>
      </c>
      <c r="R44" t="n">
        <v>47291.2</v>
      </c>
      <c r="S44" t="n">
        <v>48272.7</v>
      </c>
      <c r="T44" t="n">
        <v>48496.5</v>
      </c>
      <c r="U44" t="n">
        <v>48198.5</v>
      </c>
      <c r="V44" t="n">
        <v>48096.2</v>
      </c>
      <c r="W44" t="n">
        <v>49019.1</v>
      </c>
      <c r="X44" t="n">
        <v>49790.6</v>
      </c>
      <c r="Y44" t="n">
        <v>52090.2</v>
      </c>
      <c r="Z44" t="n">
        <v>55429.1</v>
      </c>
      <c r="AA44" t="n">
        <v>59895.3</v>
      </c>
      <c r="AB44" t="n">
        <v>62694.2</v>
      </c>
      <c r="AC44" t="n">
        <v>65152.8</v>
      </c>
      <c r="AD44" t="n">
        <v>66687.2</v>
      </c>
      <c r="AE44" t="n">
        <v>67321.1</v>
      </c>
      <c r="AF44" t="n">
        <v>69313.8</v>
      </c>
    </row>
    <row r="45">
      <c r="A45" t="s">
        <v>122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27384.7</v>
      </c>
      <c r="H45" t="n">
        <v>29760.9</v>
      </c>
      <c r="I45" t="n">
        <v>32644</v>
      </c>
      <c r="J45" t="n">
        <v>35494.8</v>
      </c>
      <c r="K45" t="n">
        <v>38452.6</v>
      </c>
      <c r="L45" t="n">
        <v>41393.9</v>
      </c>
      <c r="M45" t="n">
        <v>44295</v>
      </c>
      <c r="N45" t="n">
        <v>45942.9</v>
      </c>
      <c r="O45" t="n">
        <v>45651.7</v>
      </c>
      <c r="P45" t="n">
        <v>45921.2</v>
      </c>
      <c r="Q45" t="n">
        <v>46328.5</v>
      </c>
      <c r="R45" t="n">
        <v>47235.1</v>
      </c>
      <c r="S45" t="n">
        <v>48214.3</v>
      </c>
      <c r="T45" t="n">
        <v>48437.3</v>
      </c>
      <c r="U45" t="n">
        <v>48139.6</v>
      </c>
      <c r="V45" t="n">
        <v>48036.4</v>
      </c>
      <c r="W45" t="n">
        <v>48959.9</v>
      </c>
      <c r="X45" t="n">
        <v>49716.8</v>
      </c>
      <c r="Y45" t="n">
        <v>51980.3</v>
      </c>
      <c r="Z45" t="n">
        <v>55286.3</v>
      </c>
      <c r="AA45" t="n">
        <v>59743.5</v>
      </c>
      <c r="AB45" t="n">
        <v>62556.1</v>
      </c>
      <c r="AC45" t="n">
        <v>65019.7</v>
      </c>
      <c r="AD45" t="n">
        <v>66559.6</v>
      </c>
      <c r="AE45" t="n">
        <v>67211.8</v>
      </c>
      <c r="AF45" t="n">
        <v>69201.8</v>
      </c>
    </row>
    <row r="46">
      <c r="A46" t="s">
        <v>122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864.6</v>
      </c>
      <c r="H46" t="n">
        <v>955</v>
      </c>
      <c r="I46" t="n">
        <v>1042.9</v>
      </c>
      <c r="J46" t="n">
        <v>1151.8</v>
      </c>
      <c r="K46" t="n">
        <v>1275.4</v>
      </c>
      <c r="L46" t="n">
        <v>1358.4</v>
      </c>
      <c r="M46" t="n">
        <v>1463.4</v>
      </c>
      <c r="N46" t="n">
        <v>1482.4</v>
      </c>
      <c r="O46" t="n">
        <v>1484.6</v>
      </c>
      <c r="P46" t="n">
        <v>1461.7</v>
      </c>
      <c r="Q46" t="n">
        <v>1490.3</v>
      </c>
      <c r="R46" t="n">
        <v>1532.1</v>
      </c>
      <c r="S46" t="n">
        <v>1634.7</v>
      </c>
      <c r="T46" t="n">
        <v>1598</v>
      </c>
      <c r="U46" t="n">
        <v>1599.3</v>
      </c>
      <c r="V46" t="n">
        <v>1609.3</v>
      </c>
      <c r="W46" t="n">
        <v>1737</v>
      </c>
      <c r="X46" t="n">
        <v>1829.8</v>
      </c>
      <c r="Y46" t="n">
        <v>2010.4</v>
      </c>
      <c r="Z46" t="n">
        <v>2171.7</v>
      </c>
      <c r="AA46" t="n">
        <v>2595.3</v>
      </c>
      <c r="AB46" t="n">
        <v>2683.1</v>
      </c>
      <c r="AC46" t="n">
        <v>2957.3</v>
      </c>
      <c r="AD46" t="n">
        <v>3332.1</v>
      </c>
      <c r="AE46" t="n">
        <v>3315.3</v>
      </c>
      <c r="AF46" t="n">
        <v>3328.7</v>
      </c>
    </row>
    <row r="47">
      <c r="A47" t="s">
        <v>122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3071.1</v>
      </c>
      <c r="H47" t="n">
        <v>3329.9</v>
      </c>
      <c r="I47" t="n">
        <v>3545.1</v>
      </c>
      <c r="J47" t="n">
        <v>3748.8</v>
      </c>
      <c r="K47" t="n">
        <v>3949.2</v>
      </c>
      <c r="L47" t="n">
        <v>4239.4</v>
      </c>
      <c r="M47" t="n">
        <v>4507.1</v>
      </c>
      <c r="N47" t="n">
        <v>4774.5</v>
      </c>
      <c r="O47" t="n">
        <v>5005.1</v>
      </c>
      <c r="P47" t="n">
        <v>5269.3</v>
      </c>
      <c r="Q47" t="n">
        <v>5211.4</v>
      </c>
      <c r="R47" t="n">
        <v>5164.6</v>
      </c>
      <c r="S47" t="n">
        <v>5096</v>
      </c>
      <c r="T47" t="n">
        <v>5180.3</v>
      </c>
      <c r="U47" t="n">
        <v>5290.1</v>
      </c>
      <c r="V47" t="n">
        <v>5514.6</v>
      </c>
      <c r="W47" t="n">
        <v>5547.2</v>
      </c>
      <c r="X47" t="n">
        <v>5546.5</v>
      </c>
      <c r="Y47" t="n">
        <v>5496.6</v>
      </c>
      <c r="Z47" t="n">
        <v>5473.5</v>
      </c>
      <c r="AA47" t="n">
        <v>5626</v>
      </c>
      <c r="AB47" t="n">
        <v>5510.9</v>
      </c>
      <c r="AC47" t="n">
        <v>5464.5</v>
      </c>
      <c r="AD47" t="n">
        <v>5493.3</v>
      </c>
      <c r="AE47" t="n">
        <v>5549.5</v>
      </c>
      <c r="AF47" t="n">
        <v>5922.4</v>
      </c>
    </row>
    <row r="48">
      <c r="A48" t="s">
        <v>122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4379.9</v>
      </c>
      <c r="H48" t="n">
        <v>4757.4</v>
      </c>
      <c r="I48" t="n">
        <v>5073.7</v>
      </c>
      <c r="J48" t="n">
        <v>5383</v>
      </c>
      <c r="K48" t="n">
        <v>5707.5</v>
      </c>
      <c r="L48" t="n">
        <v>6095.5</v>
      </c>
      <c r="M48" t="n">
        <v>6474.3</v>
      </c>
      <c r="N48" t="n">
        <v>6796.7</v>
      </c>
      <c r="O48" t="n">
        <v>7064.2</v>
      </c>
      <c r="P48" t="n">
        <v>7373.2</v>
      </c>
      <c r="Q48" t="n">
        <v>7362.8</v>
      </c>
      <c r="R48" t="n">
        <v>7379.3</v>
      </c>
      <c r="S48" t="n">
        <v>7335.9</v>
      </c>
      <c r="T48" t="n">
        <v>7486.2</v>
      </c>
      <c r="U48" t="n">
        <v>7584.8</v>
      </c>
      <c r="V48" t="n">
        <v>7780.8</v>
      </c>
      <c r="W48" t="n">
        <v>7835.8</v>
      </c>
      <c r="X48" t="n">
        <v>7712.2</v>
      </c>
      <c r="Y48" t="n">
        <v>7534.3</v>
      </c>
      <c r="Z48" t="n">
        <v>7419.8</v>
      </c>
      <c r="AA48" t="n">
        <v>7474</v>
      </c>
      <c r="AB48" t="n">
        <v>7263.3</v>
      </c>
      <c r="AC48" t="n">
        <v>7274.8</v>
      </c>
      <c r="AD48" t="n">
        <v>7463.5</v>
      </c>
      <c r="AE48" t="n">
        <v>7979.6</v>
      </c>
      <c r="AF48" t="n">
        <v>8421.4</v>
      </c>
    </row>
    <row r="49">
      <c r="A49" t="s">
        <v>122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292.8</v>
      </c>
      <c r="H49" t="n">
        <v>331</v>
      </c>
      <c r="I49" t="n">
        <v>361.7</v>
      </c>
      <c r="J49" t="n">
        <v>391.2</v>
      </c>
      <c r="K49" t="n">
        <v>420.4</v>
      </c>
      <c r="L49" t="n">
        <v>441.6</v>
      </c>
      <c r="M49" t="n">
        <v>484.6</v>
      </c>
      <c r="N49" t="n">
        <v>512.5</v>
      </c>
      <c r="O49" t="n">
        <v>545</v>
      </c>
      <c r="P49" t="n">
        <v>565.7</v>
      </c>
      <c r="Q49" t="n">
        <v>610.3</v>
      </c>
      <c r="R49" t="n">
        <v>643.5</v>
      </c>
      <c r="S49" t="n">
        <v>675.2</v>
      </c>
      <c r="T49" t="n">
        <v>704.5</v>
      </c>
      <c r="U49" t="n">
        <v>703.9</v>
      </c>
      <c r="V49" t="n">
        <v>703.4</v>
      </c>
      <c r="W49" t="n">
        <v>692</v>
      </c>
      <c r="X49" t="n">
        <v>652.4</v>
      </c>
      <c r="Y49" t="n">
        <v>686.7</v>
      </c>
      <c r="Z49" t="n">
        <v>695.8</v>
      </c>
      <c r="AA49" t="n">
        <v>709.8</v>
      </c>
      <c r="AB49" t="n">
        <v>677.9</v>
      </c>
      <c r="AC49" t="n">
        <v>751.5</v>
      </c>
      <c r="AD49" t="n">
        <v>707.8</v>
      </c>
      <c r="AE49" t="n">
        <v>738.6</v>
      </c>
      <c r="AF49" t="n">
        <v>753.9</v>
      </c>
    </row>
    <row r="50">
      <c r="A50" t="s">
        <v>122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1016</v>
      </c>
      <c r="H50" t="n">
        <v>1096.5</v>
      </c>
      <c r="I50" t="n">
        <v>1167</v>
      </c>
      <c r="J50" t="n">
        <v>1243</v>
      </c>
      <c r="K50" t="n">
        <v>1337.9</v>
      </c>
      <c r="L50" t="n">
        <v>1414.5</v>
      </c>
      <c r="M50" t="n">
        <v>1482.5</v>
      </c>
      <c r="N50" t="n">
        <v>1509.7</v>
      </c>
      <c r="O50" t="n">
        <v>1514</v>
      </c>
      <c r="P50" t="n">
        <v>1538.2</v>
      </c>
      <c r="Q50" t="n">
        <v>1541.1</v>
      </c>
      <c r="R50" t="n">
        <v>1571.2</v>
      </c>
      <c r="S50" t="n">
        <v>1564.7</v>
      </c>
      <c r="T50" t="n">
        <v>1601.4</v>
      </c>
      <c r="U50" t="n">
        <v>1590.9</v>
      </c>
      <c r="V50" t="n">
        <v>1562.8</v>
      </c>
      <c r="W50" t="n">
        <v>1596.5</v>
      </c>
      <c r="X50" t="n">
        <v>1513.3</v>
      </c>
      <c r="Y50" t="n">
        <v>1351.2</v>
      </c>
      <c r="Z50" t="n">
        <v>1250.5</v>
      </c>
      <c r="AA50" t="n">
        <v>1138.2</v>
      </c>
      <c r="AB50" t="n">
        <v>1074.6</v>
      </c>
      <c r="AC50" t="n">
        <v>1058.8</v>
      </c>
      <c r="AD50" t="n">
        <v>1262.4</v>
      </c>
      <c r="AE50" t="n">
        <v>1691.5</v>
      </c>
      <c r="AF50" t="n">
        <v>1745.1</v>
      </c>
    </row>
    <row r="51">
      <c r="A51" t="s">
        <v>122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983.3</v>
      </c>
      <c r="H51" t="n">
        <v>1062.9</v>
      </c>
      <c r="I51" t="n">
        <v>1133.2</v>
      </c>
      <c r="J51" t="n">
        <v>1207.3</v>
      </c>
      <c r="K51" t="n">
        <v>1301</v>
      </c>
      <c r="L51" t="n">
        <v>1369.7</v>
      </c>
      <c r="M51" t="n">
        <v>1431.2</v>
      </c>
      <c r="N51" t="n">
        <v>1461.6</v>
      </c>
      <c r="O51" t="n">
        <v>1462.9</v>
      </c>
      <c r="P51" t="n">
        <v>1486.5</v>
      </c>
      <c r="Q51" t="n">
        <v>1490.5</v>
      </c>
      <c r="R51" t="n">
        <v>1519.2</v>
      </c>
      <c r="S51" t="n">
        <v>1509.2</v>
      </c>
      <c r="T51" t="n">
        <v>1549.6</v>
      </c>
      <c r="U51" t="n">
        <v>1542.5</v>
      </c>
      <c r="V51" t="n">
        <v>1513.6</v>
      </c>
      <c r="W51" t="n">
        <v>1494.4</v>
      </c>
      <c r="X51" t="n">
        <v>1318.5</v>
      </c>
      <c r="Y51" t="n">
        <v>1107.9</v>
      </c>
      <c r="Z51" t="n">
        <v>996.4</v>
      </c>
      <c r="AA51" t="n">
        <v>863.8</v>
      </c>
      <c r="AB51" t="n">
        <v>804.3</v>
      </c>
      <c r="AC51" t="n">
        <v>789.1</v>
      </c>
      <c r="AD51" t="n">
        <v>809.7</v>
      </c>
      <c r="AE51" t="n">
        <v>826.2</v>
      </c>
      <c r="AF51"/>
    </row>
    <row r="52">
      <c r="A52" t="s">
        <v>122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32.7</v>
      </c>
      <c r="H52" t="n">
        <v>33.6</v>
      </c>
      <c r="I52" t="n">
        <v>33.8</v>
      </c>
      <c r="J52" t="n">
        <v>35.7</v>
      </c>
      <c r="K52" t="n">
        <v>36.9</v>
      </c>
      <c r="L52" t="n">
        <v>44.8</v>
      </c>
      <c r="M52" t="n">
        <v>51.3</v>
      </c>
      <c r="N52" t="n">
        <v>48.1</v>
      </c>
      <c r="O52" t="n">
        <v>51.1</v>
      </c>
      <c r="P52" t="n">
        <v>51.7</v>
      </c>
      <c r="Q52" t="n">
        <v>50.6</v>
      </c>
      <c r="R52" t="n">
        <v>52</v>
      </c>
      <c r="S52" t="n">
        <v>55.5</v>
      </c>
      <c r="T52" t="n">
        <v>51.8</v>
      </c>
      <c r="U52" t="n">
        <v>48.4</v>
      </c>
      <c r="V52" t="n">
        <v>49.2</v>
      </c>
      <c r="W52" t="n">
        <v>102.1</v>
      </c>
      <c r="X52" t="n">
        <v>194.8</v>
      </c>
      <c r="Y52" t="n">
        <v>243.3</v>
      </c>
      <c r="Z52" t="n">
        <v>254.1</v>
      </c>
      <c r="AA52" t="n">
        <v>274.4</v>
      </c>
      <c r="AB52" t="n">
        <v>270.3</v>
      </c>
      <c r="AC52" t="n">
        <v>269.7</v>
      </c>
      <c r="AD52" t="n">
        <v>452.7</v>
      </c>
      <c r="AE52" t="n">
        <v>865.3</v>
      </c>
      <c r="AF52"/>
    </row>
    <row r="53">
      <c r="A53" t="s">
        <v>122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564</v>
      </c>
      <c r="H53" t="n">
        <v>638.7</v>
      </c>
      <c r="I53" t="n">
        <v>702.8</v>
      </c>
      <c r="J53" t="n">
        <v>757.6</v>
      </c>
      <c r="K53" t="n">
        <v>831.8</v>
      </c>
      <c r="L53" t="n">
        <v>858.7</v>
      </c>
      <c r="M53" t="n">
        <v>943.8</v>
      </c>
      <c r="N53" t="n">
        <v>961.4</v>
      </c>
      <c r="O53" t="n">
        <v>909.5</v>
      </c>
      <c r="P53" t="n">
        <v>1068.7</v>
      </c>
      <c r="Q53" t="n">
        <v>1037.8</v>
      </c>
      <c r="R53" t="n">
        <v>1050.9</v>
      </c>
      <c r="S53" t="n">
        <v>995.3</v>
      </c>
      <c r="T53" t="n">
        <v>1028.6</v>
      </c>
      <c r="U53" t="n">
        <v>1005.7</v>
      </c>
      <c r="V53" t="n">
        <v>996.9</v>
      </c>
      <c r="W53" t="n">
        <v>903.1</v>
      </c>
      <c r="X53" t="n">
        <v>980.6</v>
      </c>
      <c r="Y53" t="n">
        <v>938.7</v>
      </c>
      <c r="Z53" t="n">
        <v>925.5</v>
      </c>
      <c r="AA53" t="n">
        <v>867.8</v>
      </c>
      <c r="AB53" t="n">
        <v>884.4</v>
      </c>
      <c r="AC53" t="n">
        <v>886.8</v>
      </c>
      <c r="AD53" t="n">
        <v>992.1</v>
      </c>
      <c r="AE53" t="n">
        <v>1083.6</v>
      </c>
      <c r="AF53" t="n">
        <v>1165.8</v>
      </c>
    </row>
    <row r="54">
      <c r="A54" t="s">
        <v>122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765.2</v>
      </c>
      <c r="H54" t="n">
        <v>853.7</v>
      </c>
      <c r="I54" t="n">
        <v>930.9</v>
      </c>
      <c r="J54" t="n">
        <v>1006.3</v>
      </c>
      <c r="K54" t="n">
        <v>1098.1</v>
      </c>
      <c r="L54" t="n">
        <v>1148.3</v>
      </c>
      <c r="M54" t="n">
        <v>1257.9</v>
      </c>
      <c r="N54" t="n">
        <v>1278.9</v>
      </c>
      <c r="O54" t="n">
        <v>1218.3</v>
      </c>
      <c r="P54" t="n">
        <v>1379</v>
      </c>
      <c r="Q54" t="n">
        <v>1345.4</v>
      </c>
      <c r="R54" t="n">
        <v>1364.1</v>
      </c>
      <c r="S54" t="n">
        <v>1403.9</v>
      </c>
      <c r="T54" t="n">
        <v>1418.2</v>
      </c>
      <c r="U54" t="n">
        <v>1378.6</v>
      </c>
      <c r="V54" t="n">
        <v>1355.4</v>
      </c>
      <c r="W54" t="n">
        <v>1247.5</v>
      </c>
      <c r="X54" t="n">
        <v>1340.1</v>
      </c>
      <c r="Y54" t="n">
        <v>1363.9</v>
      </c>
      <c r="Z54" t="n">
        <v>1363.2</v>
      </c>
      <c r="AA54" t="n">
        <v>1392</v>
      </c>
      <c r="AB54" t="n">
        <v>1407.2</v>
      </c>
      <c r="AC54" t="n">
        <v>1467.6</v>
      </c>
      <c r="AD54" t="n">
        <v>1702.9</v>
      </c>
      <c r="AE54" t="n">
        <v>1754.5</v>
      </c>
      <c r="AF54" t="n">
        <v>1851.9</v>
      </c>
    </row>
    <row r="55">
      <c r="A55" t="s">
        <v>122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201.2</v>
      </c>
      <c r="H55" t="n">
        <v>215</v>
      </c>
      <c r="I55" t="n">
        <v>228.1</v>
      </c>
      <c r="J55" t="n">
        <v>248.7</v>
      </c>
      <c r="K55" t="n">
        <v>266.3</v>
      </c>
      <c r="L55" t="n">
        <v>289.6</v>
      </c>
      <c r="M55" t="n">
        <v>314.1</v>
      </c>
      <c r="N55" t="n">
        <v>317.5</v>
      </c>
      <c r="O55" t="n">
        <v>308.8</v>
      </c>
      <c r="P55" t="n">
        <v>310.3</v>
      </c>
      <c r="Q55" t="n">
        <v>307.6</v>
      </c>
      <c r="R55" t="n">
        <v>313.2</v>
      </c>
      <c r="S55" t="n">
        <v>408.6</v>
      </c>
      <c r="T55" t="n">
        <v>389.6</v>
      </c>
      <c r="U55" t="n">
        <v>372.9</v>
      </c>
      <c r="V55" t="n">
        <v>358.5</v>
      </c>
      <c r="W55" t="n">
        <v>344.4</v>
      </c>
      <c r="X55" t="n">
        <v>359.5</v>
      </c>
      <c r="Y55" t="n">
        <v>425.2</v>
      </c>
      <c r="Z55" t="n">
        <v>437.7</v>
      </c>
      <c r="AA55" t="n">
        <v>524.2</v>
      </c>
      <c r="AB55" t="n">
        <v>522.8</v>
      </c>
      <c r="AC55" t="n">
        <v>580.8</v>
      </c>
      <c r="AD55" t="n">
        <v>710.8</v>
      </c>
      <c r="AE55" t="n">
        <v>670.9</v>
      </c>
      <c r="AF55" t="n">
        <v>686.1</v>
      </c>
    </row>
    <row r="56">
      <c r="A56" t="s">
        <v>122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122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32081.2</v>
      </c>
      <c r="H57" t="n">
        <v>34866</v>
      </c>
      <c r="I57" t="n">
        <v>38099.7</v>
      </c>
      <c r="J57" t="n">
        <v>41300</v>
      </c>
      <c r="K57" t="n">
        <v>44653.7</v>
      </c>
      <c r="L57" t="n">
        <v>47984.4</v>
      </c>
      <c r="M57" t="n">
        <v>51318.9</v>
      </c>
      <c r="N57" t="n">
        <v>53282</v>
      </c>
      <c r="O57" t="n">
        <v>53248.4</v>
      </c>
      <c r="P57" t="n">
        <v>53801.1</v>
      </c>
      <c r="Q57" t="n">
        <v>54233.3</v>
      </c>
      <c r="R57" t="n">
        <v>55155.5</v>
      </c>
      <c r="S57" t="n">
        <v>56111.1</v>
      </c>
      <c r="T57" t="n">
        <v>56574.9</v>
      </c>
      <c r="U57" t="n">
        <v>56382.7</v>
      </c>
      <c r="V57" t="n">
        <v>56455.9</v>
      </c>
      <c r="W57" t="n">
        <v>57330.7</v>
      </c>
      <c r="X57" t="n">
        <v>57903</v>
      </c>
      <c r="Y57" t="n">
        <v>60084.1</v>
      </c>
      <c r="Z57" t="n">
        <v>63277</v>
      </c>
      <c r="AA57" t="n">
        <v>67727.1</v>
      </c>
      <c r="AB57" t="n">
        <v>70208.3</v>
      </c>
      <c r="AC57" t="n">
        <v>72598.7</v>
      </c>
      <c r="AD57" t="n">
        <v>74275.1</v>
      </c>
      <c r="AE57" t="n">
        <v>75401.2</v>
      </c>
      <c r="AF57" t="n">
        <v>77829.2</v>
      </c>
    </row>
    <row r="58">
      <c r="A58" t="s">
        <v>122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32081.2</v>
      </c>
      <c r="H58" t="n">
        <v>34866</v>
      </c>
      <c r="I58" t="n">
        <v>38099.7</v>
      </c>
      <c r="J58" t="n">
        <v>41300</v>
      </c>
      <c r="K58" t="n">
        <v>44653.7</v>
      </c>
      <c r="L58" t="n">
        <v>47984.4</v>
      </c>
      <c r="M58" t="n">
        <v>51318.9</v>
      </c>
      <c r="N58" t="n">
        <v>53282</v>
      </c>
      <c r="O58" t="n">
        <v>53248.4</v>
      </c>
      <c r="P58" t="n">
        <v>53801.1</v>
      </c>
      <c r="Q58" t="n">
        <v>54233.3</v>
      </c>
      <c r="R58" t="n">
        <v>55155.5</v>
      </c>
      <c r="S58" t="n">
        <v>56111.1</v>
      </c>
      <c r="T58" t="n">
        <v>56574.9</v>
      </c>
      <c r="U58" t="n">
        <v>56382.7</v>
      </c>
      <c r="V58" t="n">
        <v>56455.9</v>
      </c>
      <c r="W58" t="n">
        <v>57330.7</v>
      </c>
      <c r="X58" t="n">
        <v>57903</v>
      </c>
      <c r="Y58" t="n">
        <v>60084.1</v>
      </c>
      <c r="Z58" t="n">
        <v>63277</v>
      </c>
      <c r="AA58" t="n">
        <v>67727.1</v>
      </c>
      <c r="AB58" t="n">
        <v>70208.3</v>
      </c>
      <c r="AC58" t="n">
        <v>72598.7</v>
      </c>
      <c r="AD58" t="n">
        <v>74275.1</v>
      </c>
      <c r="AE58" t="n">
        <v>75401.2</v>
      </c>
      <c r="AF58" t="n">
        <v>77829.2</v>
      </c>
    </row>
    <row r="59">
      <c r="A59" t="s">
        <v>122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124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1353.9</v>
      </c>
      <c r="H2" t="n">
        <v>1517.3</v>
      </c>
      <c r="I2" t="n">
        <v>1585.5</v>
      </c>
      <c r="J2" t="n">
        <v>1815.6</v>
      </c>
      <c r="K2" t="n">
        <v>1948</v>
      </c>
      <c r="L2" t="n">
        <v>2067.2</v>
      </c>
      <c r="M2" t="n">
        <v>2246</v>
      </c>
      <c r="N2" t="n">
        <v>2300.7</v>
      </c>
      <c r="O2" t="n">
        <v>2413.6</v>
      </c>
      <c r="P2" t="n">
        <v>2484.2</v>
      </c>
      <c r="Q2" t="n">
        <v>2559.6</v>
      </c>
      <c r="R2" t="n">
        <v>2629.6</v>
      </c>
      <c r="S2" t="n">
        <v>2648.1</v>
      </c>
      <c r="T2" t="n">
        <v>2579.7</v>
      </c>
      <c r="U2" t="n">
        <v>2466.6</v>
      </c>
      <c r="V2" t="n">
        <v>2520.3</v>
      </c>
      <c r="W2" t="n">
        <v>2200.5</v>
      </c>
      <c r="X2" t="n">
        <v>1967.8</v>
      </c>
      <c r="Y2" t="n">
        <v>1734.6</v>
      </c>
      <c r="Z2" t="n">
        <v>1527.8</v>
      </c>
      <c r="AA2" t="n">
        <v>1465.9</v>
      </c>
      <c r="AB2" t="n">
        <v>1433.3</v>
      </c>
      <c r="AC2" t="n">
        <v>1429.7</v>
      </c>
      <c r="AD2" t="n">
        <v>1438.5</v>
      </c>
      <c r="AE2" t="n">
        <v>1475.9</v>
      </c>
      <c r="AF2" t="n">
        <v>1485.6</v>
      </c>
    </row>
    <row r="3">
      <c r="A3" t="s">
        <v>124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103.7</v>
      </c>
      <c r="H3" t="n">
        <v>109.2</v>
      </c>
      <c r="I3" t="n">
        <v>103.8</v>
      </c>
      <c r="J3" t="n">
        <v>117.9</v>
      </c>
      <c r="K3" t="n">
        <v>124.6</v>
      </c>
      <c r="L3" t="n">
        <v>132.2</v>
      </c>
      <c r="M3" t="n">
        <v>142.9</v>
      </c>
      <c r="N3" t="n">
        <v>145.1</v>
      </c>
      <c r="O3" t="n">
        <v>150.7</v>
      </c>
      <c r="P3" t="n">
        <v>157.2</v>
      </c>
      <c r="Q3" t="n">
        <v>161.9</v>
      </c>
      <c r="R3" t="n">
        <v>166.8</v>
      </c>
      <c r="S3" t="n">
        <v>170.1</v>
      </c>
      <c r="T3" t="n">
        <v>165.8</v>
      </c>
      <c r="U3" t="n">
        <v>160.7</v>
      </c>
      <c r="V3" t="n">
        <v>162.1</v>
      </c>
      <c r="W3" t="n">
        <v>140.3</v>
      </c>
      <c r="X3" t="n">
        <v>132.5</v>
      </c>
      <c r="Y3" t="n">
        <v>116.3</v>
      </c>
      <c r="Z3" t="n">
        <v>101.8</v>
      </c>
      <c r="AA3" t="n">
        <v>101</v>
      </c>
      <c r="AB3" t="n">
        <v>96.1</v>
      </c>
      <c r="AC3" t="n">
        <v>96.6</v>
      </c>
      <c r="AD3" t="n">
        <v>98.9</v>
      </c>
      <c r="AE3" t="n">
        <v>102.1</v>
      </c>
      <c r="AF3" t="n">
        <v>115</v>
      </c>
    </row>
    <row r="4">
      <c r="A4" t="s">
        <v>124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5550.9</v>
      </c>
      <c r="H4" t="n">
        <v>5846.7</v>
      </c>
      <c r="I4" t="n">
        <v>6121</v>
      </c>
      <c r="J4" t="n">
        <v>6811.5</v>
      </c>
      <c r="K4" t="n">
        <v>7434.1</v>
      </c>
      <c r="L4" t="n">
        <v>8039.8</v>
      </c>
      <c r="M4" t="n">
        <v>8633.4</v>
      </c>
      <c r="N4" t="n">
        <v>8875.8</v>
      </c>
      <c r="O4" t="n">
        <v>9263.8</v>
      </c>
      <c r="P4" t="n">
        <v>9443.8</v>
      </c>
      <c r="Q4" t="n">
        <v>9784</v>
      </c>
      <c r="R4" t="n">
        <v>9976.9</v>
      </c>
      <c r="S4" t="n">
        <v>10188.3</v>
      </c>
      <c r="T4" t="n">
        <v>9799.6</v>
      </c>
      <c r="U4" t="n">
        <v>9411.1</v>
      </c>
      <c r="V4" t="n">
        <v>9565.8</v>
      </c>
      <c r="W4" t="n">
        <v>8861.8</v>
      </c>
      <c r="X4" t="n">
        <v>7844.3</v>
      </c>
      <c r="Y4" t="n">
        <v>7003.7</v>
      </c>
      <c r="Z4" t="n">
        <v>6328.4</v>
      </c>
      <c r="AA4" t="n">
        <v>6546.7</v>
      </c>
      <c r="AB4" t="n">
        <v>6584.5</v>
      </c>
      <c r="AC4" t="n">
        <v>6454.5</v>
      </c>
      <c r="AD4" t="n">
        <v>5914.4</v>
      </c>
      <c r="AE4" t="n">
        <v>5186.3</v>
      </c>
      <c r="AF4" t="n">
        <v>4853.6</v>
      </c>
    </row>
    <row r="5">
      <c r="A5" t="s">
        <v>124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694.2</v>
      </c>
      <c r="H5" t="n">
        <v>702.7</v>
      </c>
      <c r="I5" t="n">
        <v>761.6</v>
      </c>
      <c r="J5" t="n">
        <v>834.9</v>
      </c>
      <c r="K5" t="n">
        <v>919</v>
      </c>
      <c r="L5" t="n">
        <v>977.9</v>
      </c>
      <c r="M5" t="n">
        <v>1042.6</v>
      </c>
      <c r="N5" t="n">
        <v>1068.9</v>
      </c>
      <c r="O5" t="n">
        <v>1107.8</v>
      </c>
      <c r="P5" t="n">
        <v>1144</v>
      </c>
      <c r="Q5" t="n">
        <v>1167.3</v>
      </c>
      <c r="R5" t="n">
        <v>1194.2</v>
      </c>
      <c r="S5" t="n">
        <v>1207.9</v>
      </c>
      <c r="T5" t="n">
        <v>1158.1</v>
      </c>
      <c r="U5" t="n">
        <v>1115.4</v>
      </c>
      <c r="V5" t="n">
        <v>1130.9</v>
      </c>
      <c r="W5" t="n">
        <v>1030.8</v>
      </c>
      <c r="X5" t="n">
        <v>932.6</v>
      </c>
      <c r="Y5" t="n">
        <v>862.6</v>
      </c>
      <c r="Z5" t="n">
        <v>803.9</v>
      </c>
      <c r="AA5" t="n">
        <v>832.2</v>
      </c>
      <c r="AB5" t="n">
        <v>841.2</v>
      </c>
      <c r="AC5" t="n">
        <v>842.8</v>
      </c>
      <c r="AD5" t="n">
        <v>846.1</v>
      </c>
      <c r="AE5" t="n">
        <v>841.1</v>
      </c>
      <c r="AF5"/>
    </row>
    <row r="6">
      <c r="A6" t="s">
        <v>124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485.4</v>
      </c>
      <c r="H6" t="n">
        <v>511.7</v>
      </c>
      <c r="I6" t="n">
        <v>579.7</v>
      </c>
      <c r="J6" t="n">
        <v>649.9</v>
      </c>
      <c r="K6" t="n">
        <v>706.6</v>
      </c>
      <c r="L6" t="n">
        <v>773.5</v>
      </c>
      <c r="M6" t="n">
        <v>824.3</v>
      </c>
      <c r="N6" t="n">
        <v>861.5</v>
      </c>
      <c r="O6" t="n">
        <v>890.8</v>
      </c>
      <c r="P6" t="n">
        <v>922.6</v>
      </c>
      <c r="Q6" t="n">
        <v>942.4</v>
      </c>
      <c r="R6" t="n">
        <v>963.1</v>
      </c>
      <c r="S6" t="n">
        <v>977.8</v>
      </c>
      <c r="T6" t="n">
        <v>935.5</v>
      </c>
      <c r="U6" t="n">
        <v>893.5</v>
      </c>
      <c r="V6" t="n">
        <v>910.6</v>
      </c>
      <c r="W6" t="n">
        <v>786.6</v>
      </c>
      <c r="X6" t="n">
        <v>686.8</v>
      </c>
      <c r="Y6" t="n">
        <v>617</v>
      </c>
      <c r="Z6" t="n">
        <v>566.1</v>
      </c>
      <c r="AA6" t="n">
        <v>573.4</v>
      </c>
      <c r="AB6" t="n">
        <v>587.3</v>
      </c>
      <c r="AC6" t="n">
        <v>583.7</v>
      </c>
      <c r="AD6" t="n">
        <v>577.7</v>
      </c>
      <c r="AE6" t="n">
        <v>551.4</v>
      </c>
      <c r="AF6"/>
    </row>
    <row r="7">
      <c r="A7" t="s">
        <v>124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768.3</v>
      </c>
      <c r="H7" t="n">
        <v>718</v>
      </c>
      <c r="I7" t="n">
        <v>667.6</v>
      </c>
      <c r="J7" t="n">
        <v>708.5</v>
      </c>
      <c r="K7" t="n">
        <v>716.6</v>
      </c>
      <c r="L7" t="n">
        <v>727.6</v>
      </c>
      <c r="M7" t="n">
        <v>739.2</v>
      </c>
      <c r="N7" t="n">
        <v>748.5</v>
      </c>
      <c r="O7" t="n">
        <v>771.6</v>
      </c>
      <c r="P7" t="n">
        <v>774</v>
      </c>
      <c r="Q7" t="n">
        <v>783</v>
      </c>
      <c r="R7" t="n">
        <v>800.9</v>
      </c>
      <c r="S7" t="n">
        <v>813.5</v>
      </c>
      <c r="T7" t="n">
        <v>779.9</v>
      </c>
      <c r="U7" t="n">
        <v>746.2</v>
      </c>
      <c r="V7" t="n">
        <v>756.5</v>
      </c>
      <c r="W7" t="n">
        <v>660.2</v>
      </c>
      <c r="X7" t="n">
        <v>574.5</v>
      </c>
      <c r="Y7" t="n">
        <v>510.5</v>
      </c>
      <c r="Z7" t="n">
        <v>465.6</v>
      </c>
      <c r="AA7" t="n">
        <v>480.6</v>
      </c>
      <c r="AB7" t="n">
        <v>485.4</v>
      </c>
      <c r="AC7" t="n">
        <v>488.8</v>
      </c>
      <c r="AD7" t="n">
        <v>498.8</v>
      </c>
      <c r="AE7" t="n">
        <v>498.2</v>
      </c>
      <c r="AF7"/>
    </row>
    <row r="8">
      <c r="A8" t="s">
        <v>124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40.9</v>
      </c>
      <c r="H8" t="n">
        <v>40</v>
      </c>
      <c r="I8" t="n">
        <v>37</v>
      </c>
      <c r="J8" t="n">
        <v>36.9</v>
      </c>
      <c r="K8" t="n">
        <v>38.9</v>
      </c>
      <c r="L8" t="n">
        <v>39.2</v>
      </c>
      <c r="M8" t="n">
        <v>41.4</v>
      </c>
      <c r="N8" t="n">
        <v>42.4</v>
      </c>
      <c r="O8" t="n">
        <v>44.3</v>
      </c>
      <c r="P8" t="n">
        <v>45.7</v>
      </c>
      <c r="Q8" t="n">
        <v>47.9</v>
      </c>
      <c r="R8" t="n">
        <v>48.7</v>
      </c>
      <c r="S8" t="n">
        <v>49.4</v>
      </c>
      <c r="T8" t="n">
        <v>48.2</v>
      </c>
      <c r="U8" t="n">
        <v>47</v>
      </c>
      <c r="V8" t="n">
        <v>47.8</v>
      </c>
      <c r="W8" t="n">
        <v>43.5</v>
      </c>
      <c r="X8" t="n">
        <v>38.4</v>
      </c>
      <c r="Y8" t="n">
        <v>33.7</v>
      </c>
      <c r="Z8" t="n">
        <v>29.7</v>
      </c>
      <c r="AA8" t="n">
        <v>29.3</v>
      </c>
      <c r="AB8" t="n">
        <v>29.7</v>
      </c>
      <c r="AC8" t="n">
        <v>29.6</v>
      </c>
      <c r="AD8" t="n">
        <v>28.1</v>
      </c>
      <c r="AE8" t="n">
        <v>29.3</v>
      </c>
      <c r="AF8"/>
    </row>
    <row r="9">
      <c r="A9" t="s">
        <v>124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113.2</v>
      </c>
      <c r="H9" t="n">
        <v>134.5</v>
      </c>
      <c r="I9" t="n">
        <v>145.8</v>
      </c>
      <c r="J9" t="n">
        <v>166.4</v>
      </c>
      <c r="K9" t="n">
        <v>190.5</v>
      </c>
      <c r="L9" t="n">
        <v>203.1</v>
      </c>
      <c r="M9" t="n">
        <v>219.8</v>
      </c>
      <c r="N9" t="n">
        <v>230.5</v>
      </c>
      <c r="O9" t="n">
        <v>245.1</v>
      </c>
      <c r="P9" t="n">
        <v>242</v>
      </c>
      <c r="Q9" t="n">
        <v>249.5</v>
      </c>
      <c r="R9" t="n">
        <v>252.9</v>
      </c>
      <c r="S9" t="n">
        <v>257.3</v>
      </c>
      <c r="T9" t="n">
        <v>246</v>
      </c>
      <c r="U9" t="n">
        <v>235.5</v>
      </c>
      <c r="V9" t="n">
        <v>239.6</v>
      </c>
      <c r="W9" t="n">
        <v>209.8</v>
      </c>
      <c r="X9" t="n">
        <v>188.6</v>
      </c>
      <c r="Y9" t="n">
        <v>168</v>
      </c>
      <c r="Z9" t="n">
        <v>157.6</v>
      </c>
      <c r="AA9" t="n">
        <v>159</v>
      </c>
      <c r="AB9" t="n">
        <v>164</v>
      </c>
      <c r="AC9" t="n">
        <v>160.2</v>
      </c>
      <c r="AD9" t="n">
        <v>160.7</v>
      </c>
      <c r="AE9" t="n">
        <v>159.9</v>
      </c>
      <c r="AF9"/>
    </row>
    <row r="10">
      <c r="A10" t="s">
        <v>124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146</v>
      </c>
      <c r="H10" t="n">
        <v>169.7</v>
      </c>
      <c r="I10" t="n">
        <v>181.8</v>
      </c>
      <c r="J10" t="n">
        <v>206</v>
      </c>
      <c r="K10" t="n">
        <v>233.4</v>
      </c>
      <c r="L10" t="n">
        <v>249.8</v>
      </c>
      <c r="M10" t="n">
        <v>270.3</v>
      </c>
      <c r="N10" t="n">
        <v>281.8</v>
      </c>
      <c r="O10" t="n">
        <v>300.4</v>
      </c>
      <c r="P10" t="n">
        <v>296.3</v>
      </c>
      <c r="Q10" t="n">
        <v>306.7</v>
      </c>
      <c r="R10" t="n">
        <v>310.5</v>
      </c>
      <c r="S10" t="n">
        <v>315.8</v>
      </c>
      <c r="T10" t="n">
        <v>301.7</v>
      </c>
      <c r="U10" t="n">
        <v>288.8</v>
      </c>
      <c r="V10" t="n">
        <v>294.4</v>
      </c>
      <c r="W10" t="n">
        <v>256.7</v>
      </c>
      <c r="X10" t="n">
        <v>230.2</v>
      </c>
      <c r="Y10" t="n">
        <v>203.1</v>
      </c>
      <c r="Z10" t="n">
        <v>188.9</v>
      </c>
      <c r="AA10" t="n">
        <v>188.1</v>
      </c>
      <c r="AB10" t="n">
        <v>191.1</v>
      </c>
      <c r="AC10" t="n">
        <v>184.9</v>
      </c>
      <c r="AD10" t="n">
        <v>184.8</v>
      </c>
      <c r="AE10" t="n">
        <v>182.7</v>
      </c>
      <c r="AF10"/>
    </row>
    <row r="11">
      <c r="A11" t="s">
        <v>124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32.8</v>
      </c>
      <c r="H11" t="n">
        <v>35.2</v>
      </c>
      <c r="I11" t="n">
        <v>36</v>
      </c>
      <c r="J11" t="n">
        <v>39.6</v>
      </c>
      <c r="K11" t="n">
        <v>42.9</v>
      </c>
      <c r="L11" t="n">
        <v>46.7</v>
      </c>
      <c r="M11" t="n">
        <v>50.5</v>
      </c>
      <c r="N11" t="n">
        <v>51.3</v>
      </c>
      <c r="O11" t="n">
        <v>55.3</v>
      </c>
      <c r="P11" t="n">
        <v>54.3</v>
      </c>
      <c r="Q11" t="n">
        <v>57.2</v>
      </c>
      <c r="R11" t="n">
        <v>57.6</v>
      </c>
      <c r="S11" t="n">
        <v>58.5</v>
      </c>
      <c r="T11" t="n">
        <v>55.7</v>
      </c>
      <c r="U11" t="n">
        <v>53.3</v>
      </c>
      <c r="V11" t="n">
        <v>54.8</v>
      </c>
      <c r="W11" t="n">
        <v>46.9</v>
      </c>
      <c r="X11" t="n">
        <v>41.6</v>
      </c>
      <c r="Y11" t="n">
        <v>35.1</v>
      </c>
      <c r="Z11" t="n">
        <v>31.3</v>
      </c>
      <c r="AA11" t="n">
        <v>29.1</v>
      </c>
      <c r="AB11" t="n">
        <v>27.1</v>
      </c>
      <c r="AC11" t="n">
        <v>24.7</v>
      </c>
      <c r="AD11" t="n">
        <v>24.1</v>
      </c>
      <c r="AE11" t="n">
        <v>22.8</v>
      </c>
      <c r="AF11"/>
    </row>
    <row r="12">
      <c r="A12" t="s">
        <v>124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781</v>
      </c>
      <c r="H12" t="n">
        <v>801</v>
      </c>
      <c r="I12" t="n">
        <v>778.5</v>
      </c>
      <c r="J12" t="n">
        <v>829.8</v>
      </c>
      <c r="K12" t="n">
        <v>842.6</v>
      </c>
      <c r="L12" t="n">
        <v>855.9</v>
      </c>
      <c r="M12" t="n">
        <v>889.7</v>
      </c>
      <c r="N12" t="n">
        <v>897.2</v>
      </c>
      <c r="O12" t="n">
        <v>923</v>
      </c>
      <c r="P12" t="n">
        <v>926.9</v>
      </c>
      <c r="Q12" t="n">
        <v>964.8</v>
      </c>
      <c r="R12" t="n">
        <v>982.9</v>
      </c>
      <c r="S12" t="n">
        <v>1011.1</v>
      </c>
      <c r="T12" t="n">
        <v>979.4</v>
      </c>
      <c r="U12" t="n">
        <v>945.9</v>
      </c>
      <c r="V12" t="n">
        <v>961.1</v>
      </c>
      <c r="W12" t="n">
        <v>854.9</v>
      </c>
      <c r="X12" t="n">
        <v>773.3</v>
      </c>
      <c r="Y12" t="n">
        <v>685.4</v>
      </c>
      <c r="Z12" t="n">
        <v>615.9</v>
      </c>
      <c r="AA12" t="n">
        <v>620.9</v>
      </c>
      <c r="AB12" t="n">
        <v>635.7</v>
      </c>
      <c r="AC12" t="n">
        <v>641.3</v>
      </c>
      <c r="AD12" t="n">
        <v>666.5</v>
      </c>
      <c r="AE12" t="n">
        <v>699.8</v>
      </c>
      <c r="AF12"/>
    </row>
    <row r="13">
      <c r="A13" t="s">
        <v>124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908.6</v>
      </c>
      <c r="H13" t="n">
        <v>960</v>
      </c>
      <c r="I13" t="n">
        <v>1052.5</v>
      </c>
      <c r="J13" t="n">
        <v>1224.5</v>
      </c>
      <c r="K13" t="n">
        <v>1353.5</v>
      </c>
      <c r="L13" t="n">
        <v>1500.3</v>
      </c>
      <c r="M13" t="n">
        <v>1632.6</v>
      </c>
      <c r="N13" t="n">
        <v>1685.7</v>
      </c>
      <c r="O13" t="n">
        <v>1772.5</v>
      </c>
      <c r="P13" t="n">
        <v>1783.5</v>
      </c>
      <c r="Q13" t="n">
        <v>1845.2</v>
      </c>
      <c r="R13" t="n">
        <v>1888.9</v>
      </c>
      <c r="S13" t="n">
        <v>1937.6</v>
      </c>
      <c r="T13" t="n">
        <v>1869.3</v>
      </c>
      <c r="U13" t="n">
        <v>1795.9</v>
      </c>
      <c r="V13" t="n">
        <v>1823.2</v>
      </c>
      <c r="W13" t="n">
        <v>1599.7</v>
      </c>
      <c r="X13" t="n">
        <v>1406.1</v>
      </c>
      <c r="Y13" t="n">
        <v>1262.4</v>
      </c>
      <c r="Z13" t="n">
        <v>1150.2</v>
      </c>
      <c r="AA13" t="n">
        <v>1175.2</v>
      </c>
      <c r="AB13" t="n">
        <v>1203.9</v>
      </c>
      <c r="AC13" t="n">
        <v>1219.6</v>
      </c>
      <c r="AD13" t="n">
        <v>1238.7</v>
      </c>
      <c r="AE13" t="n">
        <v>1192.6</v>
      </c>
      <c r="AF13"/>
    </row>
    <row r="14">
      <c r="A14" t="s">
        <v>124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66</v>
      </c>
      <c r="H14" t="n">
        <v>76.8</v>
      </c>
      <c r="I14" t="n">
        <v>82.6</v>
      </c>
      <c r="J14" t="n">
        <v>97.4</v>
      </c>
      <c r="K14" t="n">
        <v>114.8</v>
      </c>
      <c r="L14" t="n">
        <v>131</v>
      </c>
      <c r="M14" t="n">
        <v>143.6</v>
      </c>
      <c r="N14" t="n">
        <v>149.2</v>
      </c>
      <c r="O14" t="n">
        <v>155.1</v>
      </c>
      <c r="P14" t="n">
        <v>161.6</v>
      </c>
      <c r="Q14" t="n">
        <v>166.6</v>
      </c>
      <c r="R14" t="n">
        <v>170.9</v>
      </c>
      <c r="S14" t="n">
        <v>174</v>
      </c>
      <c r="T14" t="n">
        <v>166.6</v>
      </c>
      <c r="U14" t="n">
        <v>159.2</v>
      </c>
      <c r="V14" t="n">
        <v>162.5</v>
      </c>
      <c r="W14" t="n">
        <v>144.2</v>
      </c>
      <c r="X14" t="n">
        <v>127.8</v>
      </c>
      <c r="Y14" t="n">
        <v>112.1</v>
      </c>
      <c r="Z14" t="n">
        <v>102.1</v>
      </c>
      <c r="AA14" t="n">
        <v>102.1</v>
      </c>
      <c r="AB14" t="n">
        <v>103.5</v>
      </c>
      <c r="AC14" t="n">
        <v>100.8</v>
      </c>
      <c r="AD14" t="n">
        <v>99.9</v>
      </c>
      <c r="AE14" t="n">
        <v>97.1</v>
      </c>
      <c r="AF14"/>
    </row>
    <row r="15">
      <c r="A15" t="s">
        <v>124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188.3</v>
      </c>
      <c r="H15" t="n">
        <v>231.7</v>
      </c>
      <c r="I15" t="n">
        <v>243.9</v>
      </c>
      <c r="J15" t="n">
        <v>297.3</v>
      </c>
      <c r="K15" t="n">
        <v>339.9</v>
      </c>
      <c r="L15" t="n">
        <v>377.8</v>
      </c>
      <c r="M15" t="n">
        <v>414.8</v>
      </c>
      <c r="N15" t="n">
        <v>428.2</v>
      </c>
      <c r="O15" t="n">
        <v>450.8</v>
      </c>
      <c r="P15" t="n">
        <v>463.2</v>
      </c>
      <c r="Q15" t="n">
        <v>482.9</v>
      </c>
      <c r="R15" t="n">
        <v>490.9</v>
      </c>
      <c r="S15" t="n">
        <v>500.5</v>
      </c>
      <c r="T15" t="n">
        <v>478.9</v>
      </c>
      <c r="U15" t="n">
        <v>458.1</v>
      </c>
      <c r="V15" t="n">
        <v>467.1</v>
      </c>
      <c r="W15" t="n">
        <v>404.1</v>
      </c>
      <c r="X15" t="n">
        <v>352.4</v>
      </c>
      <c r="Y15" t="n">
        <v>311.5</v>
      </c>
      <c r="Z15" t="n">
        <v>283.3</v>
      </c>
      <c r="AA15" t="n">
        <v>286.2</v>
      </c>
      <c r="AB15" t="n">
        <v>290.7</v>
      </c>
      <c r="AC15" t="n">
        <v>287</v>
      </c>
      <c r="AD15" t="n">
        <v>287.7</v>
      </c>
      <c r="AE15" t="n">
        <v>279.7</v>
      </c>
      <c r="AF15"/>
    </row>
    <row r="16">
      <c r="A16" t="s">
        <v>124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122.3</v>
      </c>
      <c r="H16" t="n">
        <v>154.9</v>
      </c>
      <c r="I16" t="n">
        <v>161.3</v>
      </c>
      <c r="J16" t="n">
        <v>199.9</v>
      </c>
      <c r="K16" t="n">
        <v>225.1</v>
      </c>
      <c r="L16" t="n">
        <v>246.8</v>
      </c>
      <c r="M16" t="n">
        <v>271.2</v>
      </c>
      <c r="N16" t="n">
        <v>279</v>
      </c>
      <c r="O16" t="n">
        <v>295.7</v>
      </c>
      <c r="P16" t="n">
        <v>301.6</v>
      </c>
      <c r="Q16" t="n">
        <v>316.3</v>
      </c>
      <c r="R16" t="n">
        <v>320</v>
      </c>
      <c r="S16" t="n">
        <v>326.5</v>
      </c>
      <c r="T16" t="n">
        <v>312.3</v>
      </c>
      <c r="U16" t="n">
        <v>298.9</v>
      </c>
      <c r="V16" t="n">
        <v>304.6</v>
      </c>
      <c r="W16" t="n">
        <v>259.9</v>
      </c>
      <c r="X16" t="n">
        <v>224.6</v>
      </c>
      <c r="Y16" t="n">
        <v>199.4</v>
      </c>
      <c r="Z16" t="n">
        <v>181.2</v>
      </c>
      <c r="AA16" t="n">
        <v>184.1</v>
      </c>
      <c r="AB16" t="n">
        <v>187.2</v>
      </c>
      <c r="AC16" t="n">
        <v>186.2</v>
      </c>
      <c r="AD16" t="n">
        <v>187.8</v>
      </c>
      <c r="AE16" t="n">
        <v>182.6</v>
      </c>
      <c r="AF16"/>
    </row>
    <row r="17">
      <c r="A17" t="s">
        <v>124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491.7</v>
      </c>
      <c r="H17" t="n">
        <v>591.4</v>
      </c>
      <c r="I17" t="n">
        <v>629.1</v>
      </c>
      <c r="J17" t="n">
        <v>698.8</v>
      </c>
      <c r="K17" t="n">
        <v>807.8</v>
      </c>
      <c r="L17" t="n">
        <v>913</v>
      </c>
      <c r="M17" t="n">
        <v>1015.4</v>
      </c>
      <c r="N17" t="n">
        <v>1058.9</v>
      </c>
      <c r="O17" t="n">
        <v>1118.5</v>
      </c>
      <c r="P17" t="n">
        <v>1148</v>
      </c>
      <c r="Q17" t="n">
        <v>1218.2</v>
      </c>
      <c r="R17" t="n">
        <v>1238.1</v>
      </c>
      <c r="S17" t="n">
        <v>1274.6</v>
      </c>
      <c r="T17" t="n">
        <v>1231.8</v>
      </c>
      <c r="U17" t="n">
        <v>1184.9</v>
      </c>
      <c r="V17" t="n">
        <v>1203.4</v>
      </c>
      <c r="W17" t="n">
        <v>1060.9</v>
      </c>
      <c r="X17" t="n">
        <v>952.5</v>
      </c>
      <c r="Y17" t="n">
        <v>864.8</v>
      </c>
      <c r="Z17" t="n">
        <v>799.3</v>
      </c>
      <c r="AA17" t="n">
        <v>816.7</v>
      </c>
      <c r="AB17" t="n">
        <v>838.9</v>
      </c>
      <c r="AC17" t="n">
        <v>843.6</v>
      </c>
      <c r="AD17" t="n">
        <v>854.5</v>
      </c>
      <c r="AE17" t="n">
        <v>809</v>
      </c>
      <c r="AF17"/>
    </row>
    <row r="18">
      <c r="A18" t="s">
        <v>124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339.7</v>
      </c>
      <c r="H18" t="n">
        <v>379.8</v>
      </c>
      <c r="I18" t="n">
        <v>393.4</v>
      </c>
      <c r="J18" t="n">
        <v>435.7</v>
      </c>
      <c r="K18" t="n">
        <v>487.1</v>
      </c>
      <c r="L18" t="n">
        <v>546</v>
      </c>
      <c r="M18" t="n">
        <v>592.6</v>
      </c>
      <c r="N18" t="n">
        <v>599.9</v>
      </c>
      <c r="O18" t="n">
        <v>637.4</v>
      </c>
      <c r="P18" t="n">
        <v>675.6</v>
      </c>
      <c r="Q18" t="n">
        <v>703.7</v>
      </c>
      <c r="R18" t="n">
        <v>715.6</v>
      </c>
      <c r="S18" t="n">
        <v>730.6</v>
      </c>
      <c r="T18" t="n">
        <v>702.4</v>
      </c>
      <c r="U18" t="n">
        <v>673.8</v>
      </c>
      <c r="V18" t="n">
        <v>688.1</v>
      </c>
      <c r="W18" t="n">
        <v>1019.9</v>
      </c>
      <c r="X18" t="n">
        <v>896.1</v>
      </c>
      <c r="Y18" t="n">
        <v>730.3</v>
      </c>
      <c r="Z18" t="n">
        <v>560.7</v>
      </c>
      <c r="AA18" t="n">
        <v>619.1</v>
      </c>
      <c r="AB18" t="n">
        <v>520</v>
      </c>
      <c r="AC18" t="n">
        <v>344.1</v>
      </c>
      <c r="AD18" t="n">
        <v>-299.9</v>
      </c>
      <c r="AE18" t="n">
        <v>-953.7</v>
      </c>
      <c r="AF18"/>
    </row>
    <row r="19">
      <c r="A19" t="s">
        <v>124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706.8</v>
      </c>
      <c r="H19" t="n">
        <v>740.7</v>
      </c>
      <c r="I19" t="n">
        <v>795.9</v>
      </c>
      <c r="J19" t="n">
        <v>889.2</v>
      </c>
      <c r="K19" t="n">
        <v>988.7</v>
      </c>
      <c r="L19" t="n">
        <v>1078.8</v>
      </c>
      <c r="M19" t="n">
        <v>1170.5</v>
      </c>
      <c r="N19" t="n">
        <v>1202.8</v>
      </c>
      <c r="O19" t="n">
        <v>1246.7</v>
      </c>
      <c r="P19" t="n">
        <v>1264</v>
      </c>
      <c r="Q19" t="n">
        <v>1321.9</v>
      </c>
      <c r="R19" t="n">
        <v>1343.1</v>
      </c>
      <c r="S19" t="n">
        <v>1369.5</v>
      </c>
      <c r="T19" t="n">
        <v>1314.4</v>
      </c>
      <c r="U19" t="n">
        <v>1261.6</v>
      </c>
      <c r="V19" t="n">
        <v>1282.7</v>
      </c>
      <c r="W19" t="n">
        <v>1144.5</v>
      </c>
      <c r="X19" t="n">
        <v>1001.4</v>
      </c>
      <c r="Y19" t="n">
        <v>922.4</v>
      </c>
      <c r="Z19" t="n">
        <v>864.8</v>
      </c>
      <c r="AA19" t="n">
        <v>925</v>
      </c>
      <c r="AB19" t="n">
        <v>960.6</v>
      </c>
      <c r="AC19" t="n">
        <v>989.1</v>
      </c>
      <c r="AD19" t="n">
        <v>1031.4</v>
      </c>
      <c r="AE19" t="n">
        <v>1056.2</v>
      </c>
      <c r="AF19"/>
    </row>
    <row r="20">
      <c r="A20" t="s">
        <v>124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434.5</v>
      </c>
      <c r="H20" t="n">
        <v>403.8</v>
      </c>
      <c r="I20" t="n">
        <v>361.3</v>
      </c>
      <c r="J20" t="n">
        <v>379.9</v>
      </c>
      <c r="K20" t="n">
        <v>376.2</v>
      </c>
      <c r="L20" t="n">
        <v>373.3</v>
      </c>
      <c r="M20" t="n">
        <v>371.3</v>
      </c>
      <c r="N20" t="n">
        <v>364.8</v>
      </c>
      <c r="O20" t="n">
        <v>358.4</v>
      </c>
      <c r="P20" t="n">
        <v>349.5</v>
      </c>
      <c r="Q20" t="n">
        <v>344.3</v>
      </c>
      <c r="R20" t="n">
        <v>361.3</v>
      </c>
      <c r="S20" t="n">
        <v>368.4</v>
      </c>
      <c r="T20" t="n">
        <v>358.1</v>
      </c>
      <c r="U20" t="n">
        <v>346.8</v>
      </c>
      <c r="V20" t="n">
        <v>352</v>
      </c>
      <c r="W20" t="n">
        <v>326.1</v>
      </c>
      <c r="X20" t="n">
        <v>290.2</v>
      </c>
      <c r="Y20" t="n">
        <v>250.1</v>
      </c>
      <c r="Z20" t="n">
        <v>218.9</v>
      </c>
      <c r="AA20" t="n">
        <v>219</v>
      </c>
      <c r="AB20" t="n">
        <v>209.9</v>
      </c>
      <c r="AC20" t="n">
        <v>204.7</v>
      </c>
      <c r="AD20" t="n">
        <v>191.1</v>
      </c>
      <c r="AE20" t="n">
        <v>193.8</v>
      </c>
      <c r="AF20" t="n">
        <v>187.9</v>
      </c>
    </row>
    <row r="21">
      <c r="A21" t="s">
        <v>124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1217.6</v>
      </c>
      <c r="H21" t="n">
        <v>1297.6</v>
      </c>
      <c r="I21" t="n">
        <v>1373.8</v>
      </c>
      <c r="J21" t="n">
        <v>1535.7</v>
      </c>
      <c r="K21" t="n">
        <v>1672.4</v>
      </c>
      <c r="L21" t="n">
        <v>1829.3</v>
      </c>
      <c r="M21" t="n">
        <v>1972.9</v>
      </c>
      <c r="N21" t="n">
        <v>2048.7</v>
      </c>
      <c r="O21" t="n">
        <v>2108.4</v>
      </c>
      <c r="P21" t="n">
        <v>2150.5</v>
      </c>
      <c r="Q21" t="n">
        <v>2223.1</v>
      </c>
      <c r="R21" t="n">
        <v>2280.5</v>
      </c>
      <c r="S21" t="n">
        <v>2319.9</v>
      </c>
      <c r="T21" t="n">
        <v>2252.6</v>
      </c>
      <c r="U21" t="n">
        <v>2194.9</v>
      </c>
      <c r="V21" t="n">
        <v>2223.1</v>
      </c>
      <c r="W21" t="n">
        <v>2126.7</v>
      </c>
      <c r="X21" t="n">
        <v>2101.4</v>
      </c>
      <c r="Y21" t="n">
        <v>1942.7</v>
      </c>
      <c r="Z21" t="n">
        <v>1833.2</v>
      </c>
      <c r="AA21" t="n">
        <v>1876.4</v>
      </c>
      <c r="AB21" t="n">
        <v>1857.9</v>
      </c>
      <c r="AC21" t="n">
        <v>1937.1</v>
      </c>
      <c r="AD21" t="n">
        <v>2067.6</v>
      </c>
      <c r="AE21" t="n">
        <v>2247.6</v>
      </c>
      <c r="AF21" t="n">
        <v>2403.1</v>
      </c>
    </row>
    <row r="22">
      <c r="A22" t="s">
        <v>124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783.1</v>
      </c>
      <c r="H22" t="n">
        <v>893.8</v>
      </c>
      <c r="I22" t="n">
        <v>1012.5</v>
      </c>
      <c r="J22" t="n">
        <v>1155.8</v>
      </c>
      <c r="K22" t="n">
        <v>1296.2</v>
      </c>
      <c r="L22" t="n">
        <v>1456</v>
      </c>
      <c r="M22" t="n">
        <v>1601.6</v>
      </c>
      <c r="N22" t="n">
        <v>1683.9</v>
      </c>
      <c r="O22" t="n">
        <v>1750</v>
      </c>
      <c r="P22" t="n">
        <v>1801</v>
      </c>
      <c r="Q22" t="n">
        <v>1878.8</v>
      </c>
      <c r="R22" t="n">
        <v>1919.2</v>
      </c>
      <c r="S22" t="n">
        <v>1951.5</v>
      </c>
      <c r="T22" t="n">
        <v>1894.5</v>
      </c>
      <c r="U22" t="n">
        <v>1848.1</v>
      </c>
      <c r="V22" t="n">
        <v>1871.1</v>
      </c>
      <c r="W22" t="n">
        <v>1800.6</v>
      </c>
      <c r="X22" t="n">
        <v>1811.2</v>
      </c>
      <c r="Y22" t="n">
        <v>1692.6</v>
      </c>
      <c r="Z22" t="n">
        <v>1614.3</v>
      </c>
      <c r="AA22" t="n">
        <v>1657.4</v>
      </c>
      <c r="AB22" t="n">
        <v>1648</v>
      </c>
      <c r="AC22" t="n">
        <v>1732.4</v>
      </c>
      <c r="AD22" t="n">
        <v>1876.5</v>
      </c>
      <c r="AE22" t="n">
        <v>2053.8</v>
      </c>
      <c r="AF22" t="n">
        <v>2215.2</v>
      </c>
    </row>
    <row r="23">
      <c r="A23" t="s">
        <v>124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4163.8</v>
      </c>
      <c r="H23" t="n">
        <v>4381.8</v>
      </c>
      <c r="I23" t="n">
        <v>4869.4</v>
      </c>
      <c r="J23" t="n">
        <v>5354.2</v>
      </c>
      <c r="K23" t="n">
        <v>5847.4</v>
      </c>
      <c r="L23" t="n">
        <v>6428.9</v>
      </c>
      <c r="M23" t="n">
        <v>7141</v>
      </c>
      <c r="N23" t="n">
        <v>7555</v>
      </c>
      <c r="O23" t="n">
        <v>7980.9</v>
      </c>
      <c r="P23" t="n">
        <v>8150.4</v>
      </c>
      <c r="Q23" t="n">
        <v>8545</v>
      </c>
      <c r="R23" t="n">
        <v>8785.1</v>
      </c>
      <c r="S23" t="n">
        <v>8976.2</v>
      </c>
      <c r="T23" t="n">
        <v>8679.2</v>
      </c>
      <c r="U23" t="n">
        <v>8375.9</v>
      </c>
      <c r="V23" t="n">
        <v>8482.7</v>
      </c>
      <c r="W23" t="n">
        <v>7627.2</v>
      </c>
      <c r="X23" t="n">
        <v>6664.8</v>
      </c>
      <c r="Y23" t="n">
        <v>5904.5</v>
      </c>
      <c r="Z23" t="n">
        <v>5308.5</v>
      </c>
      <c r="AA23" t="n">
        <v>5549.2</v>
      </c>
      <c r="AB23" t="n">
        <v>5616.4</v>
      </c>
      <c r="AC23" t="n">
        <v>5835.8</v>
      </c>
      <c r="AD23" t="n">
        <v>6143.9</v>
      </c>
      <c r="AE23" t="n">
        <v>6523.6</v>
      </c>
      <c r="AF23" t="n">
        <v>7049.5</v>
      </c>
    </row>
    <row r="24">
      <c r="A24" t="s">
        <v>124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8158</v>
      </c>
      <c r="H24" t="n">
        <v>8988.8</v>
      </c>
      <c r="I24" t="n">
        <v>9831.1</v>
      </c>
      <c r="J24" t="n">
        <v>11584</v>
      </c>
      <c r="K24" t="n">
        <v>12845.8</v>
      </c>
      <c r="L24" t="n">
        <v>13999.6</v>
      </c>
      <c r="M24" t="n">
        <v>15161.2</v>
      </c>
      <c r="N24" t="n">
        <v>15787.2</v>
      </c>
      <c r="O24" t="n">
        <v>16502.7</v>
      </c>
      <c r="P24" t="n">
        <v>16960.7</v>
      </c>
      <c r="Q24" t="n">
        <v>17583.2</v>
      </c>
      <c r="R24" t="n">
        <v>18097.1</v>
      </c>
      <c r="S24" t="n">
        <v>18202.7</v>
      </c>
      <c r="T24" t="n">
        <v>17645.3</v>
      </c>
      <c r="U24" t="n">
        <v>16912.7</v>
      </c>
      <c r="V24" t="n">
        <v>17160.7</v>
      </c>
      <c r="W24" t="n">
        <v>15232.1</v>
      </c>
      <c r="X24" t="n">
        <v>13754.6</v>
      </c>
      <c r="Y24" t="n">
        <v>12307.7</v>
      </c>
      <c r="Z24" t="n">
        <v>11299.5</v>
      </c>
      <c r="AA24" t="n">
        <v>12024.5</v>
      </c>
      <c r="AB24" t="n">
        <v>12194.2</v>
      </c>
      <c r="AC24" t="n">
        <v>12893.4</v>
      </c>
      <c r="AD24" t="n">
        <v>13879.3</v>
      </c>
      <c r="AE24" t="n">
        <v>14014</v>
      </c>
      <c r="AF24" t="n">
        <v>13777.7</v>
      </c>
    </row>
    <row r="25">
      <c r="A25" t="s">
        <v>124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124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124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124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35793.3</v>
      </c>
      <c r="H28" t="n">
        <v>37919.1</v>
      </c>
      <c r="I28" t="n">
        <v>40210.2</v>
      </c>
      <c r="J28" t="n">
        <v>43226.4</v>
      </c>
      <c r="K28" t="n">
        <v>45097.2</v>
      </c>
      <c r="L28" t="n">
        <v>47648</v>
      </c>
      <c r="M28" t="n">
        <v>50485.8</v>
      </c>
      <c r="N28" t="n">
        <v>52812.4</v>
      </c>
      <c r="O28" t="n">
        <v>53942</v>
      </c>
      <c r="P28" t="n">
        <v>56396.8</v>
      </c>
      <c r="Q28" t="n">
        <v>58534.9</v>
      </c>
      <c r="R28" t="n">
        <v>61047.1</v>
      </c>
      <c r="S28" t="n">
        <v>63957.3</v>
      </c>
      <c r="T28" t="n">
        <v>67637.8</v>
      </c>
      <c r="U28" t="n">
        <v>64526.6</v>
      </c>
      <c r="V28" t="n">
        <v>66388.1</v>
      </c>
      <c r="W28" t="n">
        <v>61304.4</v>
      </c>
      <c r="X28" t="n">
        <v>61844.3</v>
      </c>
      <c r="Y28" t="n">
        <v>60569.7</v>
      </c>
      <c r="Z28" t="n">
        <v>59744.8</v>
      </c>
      <c r="AA28" t="n">
        <v>59113.6</v>
      </c>
      <c r="AB28" t="n">
        <v>58219.8</v>
      </c>
      <c r="AC28" t="n">
        <v>58461.4</v>
      </c>
      <c r="AD28" t="n">
        <v>59430.7</v>
      </c>
      <c r="AE28" t="n">
        <v>59272</v>
      </c>
      <c r="AF28" t="n">
        <v>59917.7</v>
      </c>
    </row>
    <row r="29">
      <c r="A29" t="s">
        <v>124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124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124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124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124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124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562.1</v>
      </c>
      <c r="H34" t="n">
        <v>628.7</v>
      </c>
      <c r="I34" t="n">
        <v>678.6</v>
      </c>
      <c r="J34" t="n">
        <v>816.3</v>
      </c>
      <c r="K34" t="n">
        <v>907.5</v>
      </c>
      <c r="L34" t="n">
        <v>1011.4</v>
      </c>
      <c r="M34" t="n">
        <v>1073.5</v>
      </c>
      <c r="N34" t="n">
        <v>1097.6</v>
      </c>
      <c r="O34" t="n">
        <v>1172.6</v>
      </c>
      <c r="P34" t="n">
        <v>1196.3</v>
      </c>
      <c r="Q34" t="n">
        <v>1241.6</v>
      </c>
      <c r="R34" t="n">
        <v>1264.6</v>
      </c>
      <c r="S34" t="n">
        <v>1276.8</v>
      </c>
      <c r="T34" t="n">
        <v>1218.5</v>
      </c>
      <c r="U34" t="n">
        <v>1164.2</v>
      </c>
      <c r="V34" t="n">
        <v>1191.3</v>
      </c>
      <c r="W34" t="n">
        <v>1004.2</v>
      </c>
      <c r="X34" t="n">
        <v>850.9</v>
      </c>
      <c r="Y34" t="n">
        <v>760.9</v>
      </c>
      <c r="Z34" t="n">
        <v>710.8</v>
      </c>
      <c r="AA34" t="n">
        <v>758.8</v>
      </c>
      <c r="AB34" t="n">
        <v>841.1</v>
      </c>
      <c r="AC34" t="n">
        <v>881.3</v>
      </c>
      <c r="AD34" t="n">
        <v>926.4</v>
      </c>
      <c r="AE34" t="n">
        <v>915.7</v>
      </c>
      <c r="AF34" t="n">
        <v>901.4</v>
      </c>
    </row>
    <row r="35">
      <c r="A35" t="s">
        <v>124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344.2</v>
      </c>
      <c r="H35" t="n">
        <v>388.6</v>
      </c>
      <c r="I35" t="n">
        <v>414.6</v>
      </c>
      <c r="J35" t="n">
        <v>470.2</v>
      </c>
      <c r="K35" t="n">
        <v>530.6</v>
      </c>
      <c r="L35" t="n">
        <v>587.6</v>
      </c>
      <c r="M35" t="n">
        <v>657.9</v>
      </c>
      <c r="N35" t="n">
        <v>692.5</v>
      </c>
      <c r="O35" t="n">
        <v>745.4</v>
      </c>
      <c r="P35" t="n">
        <v>767.3</v>
      </c>
      <c r="Q35" t="n">
        <v>787.3</v>
      </c>
      <c r="R35" t="n">
        <v>816.8</v>
      </c>
      <c r="S35" t="n">
        <v>826.8</v>
      </c>
      <c r="T35" t="n">
        <v>791.1</v>
      </c>
      <c r="U35" t="n">
        <v>756.1</v>
      </c>
      <c r="V35" t="n">
        <v>775.1</v>
      </c>
      <c r="W35" t="n">
        <v>658.2</v>
      </c>
      <c r="X35" t="n">
        <v>580.6</v>
      </c>
      <c r="Y35" t="n">
        <v>1162.7</v>
      </c>
      <c r="Z35" t="n">
        <v>2240</v>
      </c>
      <c r="AA35" t="n">
        <v>2454.6</v>
      </c>
      <c r="AB35" t="n">
        <v>2551.3</v>
      </c>
      <c r="AC35" t="n">
        <v>2841</v>
      </c>
      <c r="AD35" t="n">
        <v>3248</v>
      </c>
      <c r="AE35" t="n">
        <v>3597.7</v>
      </c>
      <c r="AF35" t="n">
        <v>3641.2</v>
      </c>
    </row>
    <row r="36">
      <c r="A36" t="s">
        <v>124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52.6</v>
      </c>
      <c r="H36" t="n">
        <v>58</v>
      </c>
      <c r="I36" t="n">
        <v>67</v>
      </c>
      <c r="J36" t="n">
        <v>76</v>
      </c>
      <c r="K36" t="n">
        <v>86.3</v>
      </c>
      <c r="L36" t="n">
        <v>101.1</v>
      </c>
      <c r="M36" t="n">
        <v>108.1</v>
      </c>
      <c r="N36" t="n">
        <v>114.1</v>
      </c>
      <c r="O36" t="n">
        <v>120.3</v>
      </c>
      <c r="P36" t="n">
        <v>125.1</v>
      </c>
      <c r="Q36" t="n">
        <v>128.2</v>
      </c>
      <c r="R36" t="n">
        <v>132.1</v>
      </c>
      <c r="S36" t="n">
        <v>133.3</v>
      </c>
      <c r="T36" t="n">
        <v>127.4</v>
      </c>
      <c r="U36" t="n">
        <v>121.6</v>
      </c>
      <c r="V36" t="n">
        <v>124.4</v>
      </c>
      <c r="W36" t="n">
        <v>105.6</v>
      </c>
      <c r="X36" t="n">
        <v>91.6</v>
      </c>
      <c r="Y36" t="n">
        <v>79.4</v>
      </c>
      <c r="Z36" t="n">
        <v>71.6</v>
      </c>
      <c r="AA36" t="n">
        <v>67.8</v>
      </c>
      <c r="AB36" t="n">
        <v>66.9</v>
      </c>
      <c r="AC36" t="n">
        <v>68.8</v>
      </c>
      <c r="AD36" t="n">
        <v>70.6</v>
      </c>
      <c r="AE36" t="n">
        <v>69.3</v>
      </c>
      <c r="AF36"/>
    </row>
    <row r="37">
      <c r="A37" t="s">
        <v>124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18.4</v>
      </c>
      <c r="H37" t="n">
        <v>21.9</v>
      </c>
      <c r="I37" t="n">
        <v>23.7</v>
      </c>
      <c r="J37" t="n">
        <v>27.1</v>
      </c>
      <c r="K37" t="n">
        <v>28.7</v>
      </c>
      <c r="L37" t="n">
        <v>29.9</v>
      </c>
      <c r="M37" t="n">
        <v>33.8</v>
      </c>
      <c r="N37" t="n">
        <v>36.3</v>
      </c>
      <c r="O37" t="n">
        <v>35.8</v>
      </c>
      <c r="P37" t="n">
        <v>35.9</v>
      </c>
      <c r="Q37" t="n">
        <v>36.4</v>
      </c>
      <c r="R37" t="n">
        <v>38</v>
      </c>
      <c r="S37" t="n">
        <v>36.7</v>
      </c>
      <c r="T37" t="n">
        <v>34</v>
      </c>
      <c r="U37" t="n">
        <v>32.9</v>
      </c>
      <c r="V37" t="n">
        <v>34.2</v>
      </c>
      <c r="W37" t="n">
        <v>34.1</v>
      </c>
      <c r="X37" t="n">
        <v>32</v>
      </c>
      <c r="Y37" t="n">
        <v>628.5</v>
      </c>
      <c r="Z37" t="n">
        <v>1660.6</v>
      </c>
      <c r="AA37" t="n">
        <v>1702.9</v>
      </c>
      <c r="AB37" t="n">
        <v>1707.3</v>
      </c>
      <c r="AC37" t="n">
        <v>1806.1</v>
      </c>
      <c r="AD37" t="n">
        <v>1996.1</v>
      </c>
      <c r="AE37" t="n">
        <v>2130.1</v>
      </c>
      <c r="AF37"/>
    </row>
    <row r="38">
      <c r="A38" t="s">
        <v>124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273.2</v>
      </c>
      <c r="H38" t="n">
        <v>308.7</v>
      </c>
      <c r="I38" t="n">
        <v>323.9</v>
      </c>
      <c r="J38" t="n">
        <v>367.1</v>
      </c>
      <c r="K38" t="n">
        <v>415.6</v>
      </c>
      <c r="L38" t="n">
        <v>456.6</v>
      </c>
      <c r="M38" t="n">
        <v>516</v>
      </c>
      <c r="N38" t="n">
        <v>542.1</v>
      </c>
      <c r="O38" t="n">
        <v>589.3</v>
      </c>
      <c r="P38" t="n">
        <v>606.3</v>
      </c>
      <c r="Q38" t="n">
        <v>622.7</v>
      </c>
      <c r="R38" t="n">
        <v>646.7</v>
      </c>
      <c r="S38" t="n">
        <v>656.8</v>
      </c>
      <c r="T38" t="n">
        <v>629.7</v>
      </c>
      <c r="U38" t="n">
        <v>601.6</v>
      </c>
      <c r="V38" t="n">
        <v>616.5</v>
      </c>
      <c r="W38" t="n">
        <v>518.5</v>
      </c>
      <c r="X38" t="n">
        <v>457</v>
      </c>
      <c r="Y38" t="n">
        <v>454.8</v>
      </c>
      <c r="Z38" t="n">
        <v>507.8</v>
      </c>
      <c r="AA38" t="n">
        <v>683.9</v>
      </c>
      <c r="AB38" t="n">
        <v>777.1</v>
      </c>
      <c r="AC38" t="n">
        <v>966.1</v>
      </c>
      <c r="AD38" t="n">
        <v>1181.3</v>
      </c>
      <c r="AE38" t="n">
        <v>1398.3</v>
      </c>
      <c r="AF38"/>
    </row>
    <row r="39">
      <c r="A39" t="s">
        <v>124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567.3</v>
      </c>
      <c r="H39" t="n">
        <v>636.5</v>
      </c>
      <c r="I39" t="n">
        <v>631.2</v>
      </c>
      <c r="J39" t="n">
        <v>675.6</v>
      </c>
      <c r="K39" t="n">
        <v>713.2</v>
      </c>
      <c r="L39" t="n">
        <v>748.5</v>
      </c>
      <c r="M39" t="n">
        <v>797.1</v>
      </c>
      <c r="N39" t="n">
        <v>844.7</v>
      </c>
      <c r="O39" t="n">
        <v>860.2</v>
      </c>
      <c r="P39" t="n">
        <v>879</v>
      </c>
      <c r="Q39" t="n">
        <v>898.7</v>
      </c>
      <c r="R39" t="n">
        <v>927</v>
      </c>
      <c r="S39" t="n">
        <v>934.6</v>
      </c>
      <c r="T39" t="n">
        <v>969.2</v>
      </c>
      <c r="U39" t="n">
        <v>905</v>
      </c>
      <c r="V39" t="n">
        <v>927.8</v>
      </c>
      <c r="W39" t="n">
        <v>783.2</v>
      </c>
      <c r="X39" t="n">
        <v>779</v>
      </c>
      <c r="Y39" t="n">
        <v>774.1</v>
      </c>
      <c r="Z39" t="n">
        <v>807</v>
      </c>
      <c r="AA39" t="n">
        <v>905.1</v>
      </c>
      <c r="AB39" t="n">
        <v>1008</v>
      </c>
      <c r="AC39" t="n">
        <v>1057.1</v>
      </c>
      <c r="AD39" t="n">
        <v>1115</v>
      </c>
      <c r="AE39" t="n">
        <v>1104.5</v>
      </c>
      <c r="AF39" t="n">
        <v>1115.9</v>
      </c>
    </row>
    <row r="40">
      <c r="A40" t="s">
        <v>124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569.4</v>
      </c>
      <c r="H40" t="n">
        <v>622.8</v>
      </c>
      <c r="I40" t="n">
        <v>644.2</v>
      </c>
      <c r="J40" t="n">
        <v>715.8</v>
      </c>
      <c r="K40" t="n">
        <v>732</v>
      </c>
      <c r="L40" t="n">
        <v>903</v>
      </c>
      <c r="M40" t="n">
        <v>966.3</v>
      </c>
      <c r="N40" t="n">
        <v>1001.1</v>
      </c>
      <c r="O40" t="n">
        <v>1051</v>
      </c>
      <c r="P40" t="n">
        <v>1059.9</v>
      </c>
      <c r="Q40" t="n">
        <v>1088.6</v>
      </c>
      <c r="R40" t="n">
        <v>1130</v>
      </c>
      <c r="S40" t="n">
        <v>1123.6</v>
      </c>
      <c r="T40" t="n">
        <v>1068</v>
      </c>
      <c r="U40" t="n">
        <v>1037.3</v>
      </c>
      <c r="V40" t="n">
        <v>1065.7</v>
      </c>
      <c r="W40" t="n">
        <v>834.8</v>
      </c>
      <c r="X40" t="n">
        <v>743.4</v>
      </c>
      <c r="Y40" t="n">
        <v>644.5</v>
      </c>
      <c r="Z40" t="n">
        <v>571.3</v>
      </c>
      <c r="AA40" t="n">
        <v>556</v>
      </c>
      <c r="AB40" t="n">
        <v>603.2</v>
      </c>
      <c r="AC40" t="n">
        <v>617.5</v>
      </c>
      <c r="AD40" t="n">
        <v>666.2</v>
      </c>
      <c r="AE40" t="n">
        <v>678.3</v>
      </c>
      <c r="AF40" t="n">
        <v>724.7</v>
      </c>
    </row>
    <row r="41">
      <c r="A41" t="s">
        <v>124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124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948</v>
      </c>
      <c r="H42" t="n">
        <v>1062.3</v>
      </c>
      <c r="I42" t="n">
        <v>1108.9</v>
      </c>
      <c r="J42" t="n">
        <v>1248.7</v>
      </c>
      <c r="K42" t="n">
        <v>1453.6</v>
      </c>
      <c r="L42" t="n">
        <v>1592.4</v>
      </c>
      <c r="M42" t="n">
        <v>1720.4</v>
      </c>
      <c r="N42" t="n">
        <v>1824.1</v>
      </c>
      <c r="O42" t="n">
        <v>1881.8</v>
      </c>
      <c r="P42" t="n">
        <v>1963.5</v>
      </c>
      <c r="Q42" t="n">
        <v>2056.2</v>
      </c>
      <c r="R42" t="n">
        <v>2094.6</v>
      </c>
      <c r="S42" t="n">
        <v>2126.3</v>
      </c>
      <c r="T42" t="n">
        <v>2041</v>
      </c>
      <c r="U42" t="n">
        <v>1956.1</v>
      </c>
      <c r="V42" t="n">
        <v>2012.4</v>
      </c>
      <c r="W42" t="n">
        <v>1611.3</v>
      </c>
      <c r="X42" t="n">
        <v>1454.9</v>
      </c>
      <c r="Y42" t="n">
        <v>1252.2</v>
      </c>
      <c r="Z42" t="n">
        <v>1138.2</v>
      </c>
      <c r="AA42" t="n">
        <v>1139.7</v>
      </c>
      <c r="AB42" t="n">
        <v>1183.9</v>
      </c>
      <c r="AC42" t="n">
        <v>1178.6</v>
      </c>
      <c r="AD42" t="n">
        <v>1209.8</v>
      </c>
      <c r="AE42" t="n">
        <v>1206.3</v>
      </c>
      <c r="AF42" t="n">
        <v>1239</v>
      </c>
    </row>
    <row r="43">
      <c r="A43" t="s">
        <v>124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15881.1</v>
      </c>
      <c r="H43" t="n">
        <v>17250.9</v>
      </c>
      <c r="I43" t="n">
        <v>18067.6</v>
      </c>
      <c r="J43" t="n">
        <v>19879</v>
      </c>
      <c r="K43" t="n">
        <v>22316.6</v>
      </c>
      <c r="L43" t="n">
        <v>24594.3</v>
      </c>
      <c r="M43" t="n">
        <v>26226.9</v>
      </c>
      <c r="N43" t="n">
        <v>26848.5</v>
      </c>
      <c r="O43" t="n">
        <v>27097.5</v>
      </c>
      <c r="P43" t="n">
        <v>28362.1</v>
      </c>
      <c r="Q43" t="n">
        <v>28989.4</v>
      </c>
      <c r="R43" t="n">
        <v>30862.9</v>
      </c>
      <c r="S43" t="n">
        <v>32414.3</v>
      </c>
      <c r="T43" t="n">
        <v>32378.3</v>
      </c>
      <c r="U43" t="n">
        <v>30778.1</v>
      </c>
      <c r="V43" t="n">
        <v>31789.5</v>
      </c>
      <c r="W43" t="n">
        <v>29865.4</v>
      </c>
      <c r="X43" t="n">
        <v>28863.2</v>
      </c>
      <c r="Y43" t="n">
        <v>27841.6</v>
      </c>
      <c r="Z43" t="n">
        <v>26491.1</v>
      </c>
      <c r="AA43" t="n">
        <v>27079.9</v>
      </c>
      <c r="AB43" t="n">
        <v>29091.5</v>
      </c>
      <c r="AC43" t="n">
        <v>30818.1</v>
      </c>
      <c r="AD43" t="n">
        <v>32603.1</v>
      </c>
      <c r="AE43" t="n">
        <v>32485.4</v>
      </c>
      <c r="AF43" t="n">
        <v>32474.5</v>
      </c>
    </row>
    <row r="44">
      <c r="A44" t="s">
        <v>124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74199.2</v>
      </c>
      <c r="H44" t="n">
        <v>79581.8</v>
      </c>
      <c r="I44" t="n">
        <v>84629.5</v>
      </c>
      <c r="J44" t="n">
        <v>93165.6</v>
      </c>
      <c r="K44" t="n">
        <v>100436.2</v>
      </c>
      <c r="L44" t="n">
        <v>108244.1</v>
      </c>
      <c r="M44" t="n">
        <v>115816.3</v>
      </c>
      <c r="N44" t="n">
        <v>120367.5</v>
      </c>
      <c r="O44" t="n">
        <v>123680.1</v>
      </c>
      <c r="P44" t="n">
        <v>128364</v>
      </c>
      <c r="Q44" t="n">
        <v>132790.3</v>
      </c>
      <c r="R44" t="n">
        <v>138416.2</v>
      </c>
      <c r="S44" t="n">
        <v>143475.1</v>
      </c>
      <c r="T44" t="n">
        <v>145587.4</v>
      </c>
      <c r="U44" t="n">
        <v>139114.2</v>
      </c>
      <c r="V44" t="n">
        <v>142675.6</v>
      </c>
      <c r="W44" t="n">
        <v>131134.1</v>
      </c>
      <c r="X44" t="n">
        <v>126576.4</v>
      </c>
      <c r="Y44" t="n">
        <v>121218.7</v>
      </c>
      <c r="Z44" t="n">
        <v>117408.6</v>
      </c>
      <c r="AA44" t="n">
        <v>118916.3</v>
      </c>
      <c r="AB44" t="n">
        <v>120550.7</v>
      </c>
      <c r="AC44" t="n">
        <v>123773.1</v>
      </c>
      <c r="AD44" t="n">
        <v>127937</v>
      </c>
      <c r="AE44" t="n">
        <v>128001</v>
      </c>
      <c r="AF44" t="n">
        <v>128776.5</v>
      </c>
    </row>
    <row r="45">
      <c r="A45" t="s">
        <v>124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72845.3</v>
      </c>
      <c r="H45" t="n">
        <v>78064.5</v>
      </c>
      <c r="I45" t="n">
        <v>83044</v>
      </c>
      <c r="J45" t="n">
        <v>91350</v>
      </c>
      <c r="K45" t="n">
        <v>98488.2</v>
      </c>
      <c r="L45" t="n">
        <v>106176.9</v>
      </c>
      <c r="M45" t="n">
        <v>113570.3</v>
      </c>
      <c r="N45" t="n">
        <v>118066.8</v>
      </c>
      <c r="O45" t="n">
        <v>121266.5</v>
      </c>
      <c r="P45" t="n">
        <v>125879.8</v>
      </c>
      <c r="Q45" t="n">
        <v>130230.7</v>
      </c>
      <c r="R45" t="n">
        <v>135786.6</v>
      </c>
      <c r="S45" t="n">
        <v>140827</v>
      </c>
      <c r="T45" t="n">
        <v>143007.7</v>
      </c>
      <c r="U45" t="n">
        <v>136647.6</v>
      </c>
      <c r="V45" t="n">
        <v>140155.3</v>
      </c>
      <c r="W45" t="n">
        <v>128933.6</v>
      </c>
      <c r="X45" t="n">
        <v>124608.6</v>
      </c>
      <c r="Y45" t="n">
        <v>119484.1</v>
      </c>
      <c r="Z45" t="n">
        <v>115880.8</v>
      </c>
      <c r="AA45" t="n">
        <v>117450.4</v>
      </c>
      <c r="AB45" t="n">
        <v>119117.4</v>
      </c>
      <c r="AC45" t="n">
        <v>122343.4</v>
      </c>
      <c r="AD45" t="n">
        <v>126498.5</v>
      </c>
      <c r="AE45" t="n">
        <v>126525.1</v>
      </c>
      <c r="AF45" t="n">
        <v>127290.9</v>
      </c>
    </row>
    <row r="46">
      <c r="A46" t="s">
        <v>124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14933.1</v>
      </c>
      <c r="H46" t="n">
        <v>16188.6</v>
      </c>
      <c r="I46" t="n">
        <v>16958.7</v>
      </c>
      <c r="J46" t="n">
        <v>18630.3</v>
      </c>
      <c r="K46" t="n">
        <v>20863</v>
      </c>
      <c r="L46" t="n">
        <v>23001.9</v>
      </c>
      <c r="M46" t="n">
        <v>24506.5</v>
      </c>
      <c r="N46" t="n">
        <v>25024.4</v>
      </c>
      <c r="O46" t="n">
        <v>25215.7</v>
      </c>
      <c r="P46" t="n">
        <v>26398.6</v>
      </c>
      <c r="Q46" t="n">
        <v>26933.2</v>
      </c>
      <c r="R46" t="n">
        <v>28768.3</v>
      </c>
      <c r="S46" t="n">
        <v>30288</v>
      </c>
      <c r="T46" t="n">
        <v>30337.3</v>
      </c>
      <c r="U46" t="n">
        <v>28822</v>
      </c>
      <c r="V46" t="n">
        <v>29777.1</v>
      </c>
      <c r="W46" t="n">
        <v>28254.1</v>
      </c>
      <c r="X46" t="n">
        <v>27408.3</v>
      </c>
      <c r="Y46" t="n">
        <v>26589.4</v>
      </c>
      <c r="Z46" t="n">
        <v>25352.9</v>
      </c>
      <c r="AA46" t="n">
        <v>25940.2</v>
      </c>
      <c r="AB46" t="n">
        <v>27907.6</v>
      </c>
      <c r="AC46" t="n">
        <v>29639.5</v>
      </c>
      <c r="AD46" t="n">
        <v>31393.3</v>
      </c>
      <c r="AE46" t="n">
        <v>31279.1</v>
      </c>
      <c r="AF46" t="n">
        <v>31235.5</v>
      </c>
    </row>
    <row r="47">
      <c r="A47" t="s">
        <v>124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3728.6</v>
      </c>
      <c r="H47" t="n">
        <v>3931.8</v>
      </c>
      <c r="I47" t="n">
        <v>4282.6</v>
      </c>
      <c r="J47" t="n">
        <v>4709</v>
      </c>
      <c r="K47" t="n">
        <v>4772.1</v>
      </c>
      <c r="L47" t="n">
        <v>5143.5</v>
      </c>
      <c r="M47" t="n">
        <v>5463.6</v>
      </c>
      <c r="N47" t="n">
        <v>5786.3</v>
      </c>
      <c r="O47" t="n">
        <v>5583.5</v>
      </c>
      <c r="P47" t="n">
        <v>6118.1</v>
      </c>
      <c r="Q47" t="n">
        <v>6335.9</v>
      </c>
      <c r="R47" t="n">
        <v>7150.9</v>
      </c>
      <c r="S47" t="n">
        <v>7271.5</v>
      </c>
      <c r="T47" t="n">
        <v>7661.8</v>
      </c>
      <c r="U47" t="n">
        <v>7662.1</v>
      </c>
      <c r="V47" t="n">
        <v>8294.2</v>
      </c>
      <c r="W47" t="n">
        <v>9941.8</v>
      </c>
      <c r="X47" t="n">
        <v>9942.3</v>
      </c>
      <c r="Y47" t="n">
        <v>8533.2</v>
      </c>
      <c r="Z47" t="n">
        <v>8053.8</v>
      </c>
      <c r="AA47" t="n">
        <v>7725.6</v>
      </c>
      <c r="AB47" t="n">
        <v>7756.8</v>
      </c>
      <c r="AC47" t="n">
        <v>7684.7</v>
      </c>
      <c r="AD47" t="n">
        <v>7707.4</v>
      </c>
      <c r="AE47" t="n">
        <v>7905</v>
      </c>
      <c r="AF47" t="n">
        <v>7969.4</v>
      </c>
    </row>
    <row r="48">
      <c r="A48" t="s">
        <v>124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4639.7</v>
      </c>
      <c r="H48" t="n">
        <v>4884.6</v>
      </c>
      <c r="I48" t="n">
        <v>5293.3</v>
      </c>
      <c r="J48" t="n">
        <v>5868.6</v>
      </c>
      <c r="K48" t="n">
        <v>6048.9</v>
      </c>
      <c r="L48" t="n">
        <v>6519.8</v>
      </c>
      <c r="M48" t="n">
        <v>6948</v>
      </c>
      <c r="N48" t="n">
        <v>7343.4</v>
      </c>
      <c r="O48" t="n">
        <v>7216.9</v>
      </c>
      <c r="P48" t="n">
        <v>7829.5</v>
      </c>
      <c r="Q48" t="n">
        <v>8115.6</v>
      </c>
      <c r="R48" t="n">
        <v>9023.5</v>
      </c>
      <c r="S48" t="n">
        <v>9151</v>
      </c>
      <c r="T48" t="n">
        <v>9534.4</v>
      </c>
      <c r="U48" t="n">
        <v>9494.7</v>
      </c>
      <c r="V48" t="n">
        <v>10161.3</v>
      </c>
      <c r="W48" t="n">
        <v>11600.2</v>
      </c>
      <c r="X48" t="n">
        <v>11534.4</v>
      </c>
      <c r="Y48" t="n">
        <v>9967.3</v>
      </c>
      <c r="Z48" t="n">
        <v>9355.5</v>
      </c>
      <c r="AA48" t="n">
        <v>9006.5</v>
      </c>
      <c r="AB48" t="n">
        <v>9085.1</v>
      </c>
      <c r="AC48" t="n">
        <v>9041.5</v>
      </c>
      <c r="AD48" t="n">
        <v>9125.9</v>
      </c>
      <c r="AE48" t="n">
        <v>9339.8</v>
      </c>
      <c r="AF48" t="n">
        <v>9394.6</v>
      </c>
    </row>
    <row r="49">
      <c r="A49" t="s">
        <v>124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256.9</v>
      </c>
      <c r="H49" t="n">
        <v>276.9</v>
      </c>
      <c r="I49" t="n">
        <v>287.2</v>
      </c>
      <c r="J49" t="n">
        <v>334.8</v>
      </c>
      <c r="K49" t="n">
        <v>362.9</v>
      </c>
      <c r="L49" t="n">
        <v>392.1</v>
      </c>
      <c r="M49" t="n">
        <v>416</v>
      </c>
      <c r="N49" t="n">
        <v>426</v>
      </c>
      <c r="O49" t="n">
        <v>424.8</v>
      </c>
      <c r="P49" t="n">
        <v>449.2</v>
      </c>
      <c r="Q49" t="n">
        <v>477.4</v>
      </c>
      <c r="R49" t="n">
        <v>503.7</v>
      </c>
      <c r="S49" t="n">
        <v>538.3</v>
      </c>
      <c r="T49" t="n">
        <v>537.7</v>
      </c>
      <c r="U49" t="n">
        <v>513.6</v>
      </c>
      <c r="V49" t="n">
        <v>520.2</v>
      </c>
      <c r="W49" t="n">
        <v>465</v>
      </c>
      <c r="X49" t="n">
        <v>423.6</v>
      </c>
      <c r="Y49" t="n">
        <v>392.4</v>
      </c>
      <c r="Z49" t="n">
        <v>354.1</v>
      </c>
      <c r="AA49" t="n">
        <v>344.3</v>
      </c>
      <c r="AB49" t="n">
        <v>359</v>
      </c>
      <c r="AC49" t="n">
        <v>384.5</v>
      </c>
      <c r="AD49" t="n">
        <v>428.3</v>
      </c>
      <c r="AE49" t="n">
        <v>408.1</v>
      </c>
      <c r="AF49" t="n">
        <v>387</v>
      </c>
    </row>
    <row r="50">
      <c r="A50" t="s">
        <v>124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654.1</v>
      </c>
      <c r="H50" t="n">
        <v>676</v>
      </c>
      <c r="I50" t="n">
        <v>723.4</v>
      </c>
      <c r="J50" t="n">
        <v>824.7</v>
      </c>
      <c r="K50" t="n">
        <v>914</v>
      </c>
      <c r="L50" t="n">
        <v>984.2</v>
      </c>
      <c r="M50" t="n">
        <v>1068.4</v>
      </c>
      <c r="N50" t="n">
        <v>1131</v>
      </c>
      <c r="O50" t="n">
        <v>1208.5</v>
      </c>
      <c r="P50" t="n">
        <v>1262.2</v>
      </c>
      <c r="Q50" t="n">
        <v>1302.3</v>
      </c>
      <c r="R50" t="n">
        <v>1368.9</v>
      </c>
      <c r="S50" t="n">
        <v>1341.2</v>
      </c>
      <c r="T50" t="n">
        <v>1334.9</v>
      </c>
      <c r="U50" t="n">
        <v>1319.1</v>
      </c>
      <c r="V50" t="n">
        <v>1346.8</v>
      </c>
      <c r="W50" t="n">
        <v>1193.3</v>
      </c>
      <c r="X50" t="n">
        <v>1168.5</v>
      </c>
      <c r="Y50" t="n">
        <v>1041.7</v>
      </c>
      <c r="Z50" t="n">
        <v>947.7</v>
      </c>
      <c r="AA50" t="n">
        <v>936.6</v>
      </c>
      <c r="AB50" t="n">
        <v>969.2</v>
      </c>
      <c r="AC50" t="n">
        <v>972.3</v>
      </c>
      <c r="AD50" t="n">
        <v>990.3</v>
      </c>
      <c r="AE50" t="n">
        <v>1026.8</v>
      </c>
      <c r="AF50" t="n">
        <v>1038.2</v>
      </c>
    </row>
    <row r="51">
      <c r="A51" t="s">
        <v>124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451.2</v>
      </c>
      <c r="H51" t="n">
        <v>464.9</v>
      </c>
      <c r="I51" t="n">
        <v>494.8</v>
      </c>
      <c r="J51" t="n">
        <v>560.8</v>
      </c>
      <c r="K51" t="n">
        <v>607.2</v>
      </c>
      <c r="L51" t="n">
        <v>653.3</v>
      </c>
      <c r="M51" t="n">
        <v>717.7</v>
      </c>
      <c r="N51" t="n">
        <v>765.8</v>
      </c>
      <c r="O51" t="n">
        <v>817.3</v>
      </c>
      <c r="P51" t="n">
        <v>860.8</v>
      </c>
      <c r="Q51" t="n">
        <v>896.9</v>
      </c>
      <c r="R51" t="n">
        <v>936.9</v>
      </c>
      <c r="S51" t="n">
        <v>919.7</v>
      </c>
      <c r="T51" t="n">
        <v>915.7</v>
      </c>
      <c r="U51" t="n">
        <v>895.7</v>
      </c>
      <c r="V51" t="n">
        <v>912.3</v>
      </c>
      <c r="W51" t="n">
        <v>787</v>
      </c>
      <c r="X51" t="n">
        <v>768.3</v>
      </c>
      <c r="Y51" t="n">
        <v>680.3</v>
      </c>
      <c r="Z51" t="n">
        <v>616</v>
      </c>
      <c r="AA51" t="n">
        <v>605</v>
      </c>
      <c r="AB51" t="n">
        <v>594.6</v>
      </c>
      <c r="AC51" t="n">
        <v>594.7</v>
      </c>
      <c r="AD51" t="n">
        <v>608.7</v>
      </c>
      <c r="AE51" t="n">
        <v>631.9</v>
      </c>
      <c r="AF51"/>
    </row>
    <row r="52">
      <c r="A52" t="s">
        <v>124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202.9</v>
      </c>
      <c r="H52" t="n">
        <v>211.1</v>
      </c>
      <c r="I52" t="n">
        <v>228.6</v>
      </c>
      <c r="J52" t="n">
        <v>263.9</v>
      </c>
      <c r="K52" t="n">
        <v>306.8</v>
      </c>
      <c r="L52" t="n">
        <v>330.9</v>
      </c>
      <c r="M52" t="n">
        <v>350.7</v>
      </c>
      <c r="N52" t="n">
        <v>365.2</v>
      </c>
      <c r="O52" t="n">
        <v>391.2</v>
      </c>
      <c r="P52" t="n">
        <v>401.4</v>
      </c>
      <c r="Q52" t="n">
        <v>405.4</v>
      </c>
      <c r="R52" t="n">
        <v>432</v>
      </c>
      <c r="S52" t="n">
        <v>421.5</v>
      </c>
      <c r="T52" t="n">
        <v>419.2</v>
      </c>
      <c r="U52" t="n">
        <v>423.4</v>
      </c>
      <c r="V52" t="n">
        <v>434.5</v>
      </c>
      <c r="W52" t="n">
        <v>406.3</v>
      </c>
      <c r="X52" t="n">
        <v>400.2</v>
      </c>
      <c r="Y52" t="n">
        <v>361.4</v>
      </c>
      <c r="Z52" t="n">
        <v>331.7</v>
      </c>
      <c r="AA52" t="n">
        <v>331.6</v>
      </c>
      <c r="AB52" t="n">
        <v>374.6</v>
      </c>
      <c r="AC52" t="n">
        <v>377.6</v>
      </c>
      <c r="AD52" t="n">
        <v>381.6</v>
      </c>
      <c r="AE52" t="n">
        <v>394.9</v>
      </c>
      <c r="AF52"/>
    </row>
    <row r="53">
      <c r="A53" t="s">
        <v>124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196.1</v>
      </c>
      <c r="H53" t="n">
        <v>246.3</v>
      </c>
      <c r="I53" t="n">
        <v>303.8</v>
      </c>
      <c r="J53" t="n">
        <v>363.8</v>
      </c>
      <c r="K53" t="n">
        <v>429</v>
      </c>
      <c r="L53" t="n">
        <v>500</v>
      </c>
      <c r="M53" t="n">
        <v>534.4</v>
      </c>
      <c r="N53" t="n">
        <v>567.7</v>
      </c>
      <c r="O53" t="n">
        <v>592.2</v>
      </c>
      <c r="P53" t="n">
        <v>543.6</v>
      </c>
      <c r="Q53" t="n">
        <v>553.6</v>
      </c>
      <c r="R53" t="n">
        <v>618.3</v>
      </c>
      <c r="S53" t="n">
        <v>606.7</v>
      </c>
      <c r="T53" t="n">
        <v>559.5</v>
      </c>
      <c r="U53" t="n">
        <v>589.1</v>
      </c>
      <c r="V53" t="n">
        <v>599</v>
      </c>
      <c r="W53" t="n">
        <v>531.8</v>
      </c>
      <c r="X53" t="n">
        <v>489.5</v>
      </c>
      <c r="Y53" t="n">
        <v>451.5</v>
      </c>
      <c r="Z53" t="n">
        <v>412.4</v>
      </c>
      <c r="AA53" t="n">
        <v>408.3</v>
      </c>
      <c r="AB53" t="n">
        <v>405.2</v>
      </c>
      <c r="AC53" t="n">
        <v>411.8</v>
      </c>
      <c r="AD53" t="n">
        <v>410.1</v>
      </c>
      <c r="AE53" t="n">
        <v>412.3</v>
      </c>
      <c r="AF53" t="n">
        <v>385.8</v>
      </c>
    </row>
    <row r="54">
      <c r="A54" t="s">
        <v>124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503.3</v>
      </c>
      <c r="H54" t="n">
        <v>616.6</v>
      </c>
      <c r="I54" t="n">
        <v>742.7</v>
      </c>
      <c r="J54" t="n">
        <v>879.2</v>
      </c>
      <c r="K54" t="n">
        <v>998.8</v>
      </c>
      <c r="L54" t="n">
        <v>1157.3</v>
      </c>
      <c r="M54" t="n">
        <v>1277.7</v>
      </c>
      <c r="N54" t="n">
        <v>1359.3</v>
      </c>
      <c r="O54" t="n">
        <v>1442.3</v>
      </c>
      <c r="P54" t="n">
        <v>1415.7</v>
      </c>
      <c r="Q54" t="n">
        <v>1481.6</v>
      </c>
      <c r="R54" t="n">
        <v>1561.8</v>
      </c>
      <c r="S54" t="n">
        <v>1560</v>
      </c>
      <c r="T54" t="n">
        <v>1470.3</v>
      </c>
      <c r="U54" t="n">
        <v>1462.3</v>
      </c>
      <c r="V54" t="n">
        <v>1489.1</v>
      </c>
      <c r="W54" t="n">
        <v>1330.1</v>
      </c>
      <c r="X54" t="n">
        <v>1193</v>
      </c>
      <c r="Y54" t="n">
        <v>1100.2</v>
      </c>
      <c r="Z54" t="n">
        <v>1015.7</v>
      </c>
      <c r="AA54" t="n">
        <v>1040.6</v>
      </c>
      <c r="AB54" t="n">
        <v>1056.6</v>
      </c>
      <c r="AC54" t="n">
        <v>1067.1</v>
      </c>
      <c r="AD54" t="n">
        <v>1071.2</v>
      </c>
      <c r="AE54" t="n">
        <v>1076.2</v>
      </c>
      <c r="AF54" t="n">
        <v>1041.3</v>
      </c>
    </row>
    <row r="55">
      <c r="A55" t="s">
        <v>124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307.2</v>
      </c>
      <c r="H55" t="n">
        <v>370.3</v>
      </c>
      <c r="I55" t="n">
        <v>438.9</v>
      </c>
      <c r="J55" t="n">
        <v>515.4</v>
      </c>
      <c r="K55" t="n">
        <v>569.8</v>
      </c>
      <c r="L55" t="n">
        <v>657.3</v>
      </c>
      <c r="M55" t="n">
        <v>743.3</v>
      </c>
      <c r="N55" t="n">
        <v>791.6</v>
      </c>
      <c r="O55" t="n">
        <v>850.1</v>
      </c>
      <c r="P55" t="n">
        <v>872.1</v>
      </c>
      <c r="Q55" t="n">
        <v>928</v>
      </c>
      <c r="R55" t="n">
        <v>943.5</v>
      </c>
      <c r="S55" t="n">
        <v>953.3</v>
      </c>
      <c r="T55" t="n">
        <v>910.8</v>
      </c>
      <c r="U55" t="n">
        <v>873.2</v>
      </c>
      <c r="V55" t="n">
        <v>890.1</v>
      </c>
      <c r="W55" t="n">
        <v>798.3</v>
      </c>
      <c r="X55" t="n">
        <v>703.5</v>
      </c>
      <c r="Y55" t="n">
        <v>648.7</v>
      </c>
      <c r="Z55" t="n">
        <v>603.3</v>
      </c>
      <c r="AA55" t="n">
        <v>632.3</v>
      </c>
      <c r="AB55" t="n">
        <v>651.4</v>
      </c>
      <c r="AC55" t="n">
        <v>655.3</v>
      </c>
      <c r="AD55" t="n">
        <v>661.1</v>
      </c>
      <c r="AE55" t="n">
        <v>663.9</v>
      </c>
      <c r="AF55" t="n">
        <v>655.5</v>
      </c>
    </row>
    <row r="56">
      <c r="A56" t="s">
        <v>124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124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79408.2</v>
      </c>
      <c r="H57" t="n">
        <v>85089.3</v>
      </c>
      <c r="I57" t="n">
        <v>90566.9</v>
      </c>
      <c r="J57" t="n">
        <v>99749.9</v>
      </c>
      <c r="K57" t="n">
        <v>107217.2</v>
      </c>
      <c r="L57" t="n">
        <v>115666.9</v>
      </c>
      <c r="M57" t="n">
        <v>123730.6</v>
      </c>
      <c r="N57" t="n">
        <v>128711.9</v>
      </c>
      <c r="O57" t="n">
        <v>131947.9</v>
      </c>
      <c r="P57" t="n">
        <v>137253.4</v>
      </c>
      <c r="Q57" t="n">
        <v>141994.5</v>
      </c>
      <c r="R57" t="n">
        <v>148569.7</v>
      </c>
      <c r="S57" t="n">
        <v>153749.7</v>
      </c>
      <c r="T57" t="n">
        <v>156189.8</v>
      </c>
      <c r="U57" t="n">
        <v>149646.3</v>
      </c>
      <c r="V57" t="n">
        <v>153902.5</v>
      </c>
      <c r="W57" t="n">
        <v>143569</v>
      </c>
      <c r="X57" t="n">
        <v>138854.2</v>
      </c>
      <c r="Y57" t="n">
        <v>131830.5</v>
      </c>
      <c r="Z57" t="n">
        <v>127335.5</v>
      </c>
      <c r="AA57" t="n">
        <v>128478.8</v>
      </c>
      <c r="AB57" t="n">
        <v>130238.9</v>
      </c>
      <c r="AC57" t="n">
        <v>133432.1</v>
      </c>
      <c r="AD57" t="n">
        <v>137729.2</v>
      </c>
      <c r="AE57" t="n">
        <v>138019.2</v>
      </c>
      <c r="AF57" t="n">
        <v>138895.8</v>
      </c>
    </row>
    <row r="58">
      <c r="A58" t="s">
        <v>124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79408.2</v>
      </c>
      <c r="H58" t="n">
        <v>85089.3</v>
      </c>
      <c r="I58" t="n">
        <v>90566.9</v>
      </c>
      <c r="J58" t="n">
        <v>99749.9</v>
      </c>
      <c r="K58" t="n">
        <v>107217.2</v>
      </c>
      <c r="L58" t="n">
        <v>115666.9</v>
      </c>
      <c r="M58" t="n">
        <v>123730.6</v>
      </c>
      <c r="N58" t="n">
        <v>128711.9</v>
      </c>
      <c r="O58" t="n">
        <v>131947.9</v>
      </c>
      <c r="P58" t="n">
        <v>137253.4</v>
      </c>
      <c r="Q58" t="n">
        <v>141994.5</v>
      </c>
      <c r="R58" t="n">
        <v>148569.7</v>
      </c>
      <c r="S58" t="n">
        <v>153749.7</v>
      </c>
      <c r="T58" t="n">
        <v>156189.8</v>
      </c>
      <c r="U58" t="n">
        <v>149646.3</v>
      </c>
      <c r="V58" t="n">
        <v>153902.5</v>
      </c>
      <c r="W58" t="n">
        <v>143569</v>
      </c>
      <c r="X58" t="n">
        <v>138854.2</v>
      </c>
      <c r="Y58" t="n">
        <v>131830.5</v>
      </c>
      <c r="Z58" t="n">
        <v>127335.5</v>
      </c>
      <c r="AA58" t="n">
        <v>128478.8</v>
      </c>
      <c r="AB58" t="n">
        <v>130238.9</v>
      </c>
      <c r="AC58" t="n">
        <v>133432.1</v>
      </c>
      <c r="AD58" t="n">
        <v>137729.2</v>
      </c>
      <c r="AE58" t="n">
        <v>138019.2</v>
      </c>
      <c r="AF58" t="n">
        <v>138895.8</v>
      </c>
    </row>
    <row r="59">
      <c r="A59" t="s">
        <v>124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126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18260.9</v>
      </c>
      <c r="H2" t="n">
        <v>19529.8</v>
      </c>
      <c r="I2" t="n">
        <v>20706.9</v>
      </c>
      <c r="J2" t="n">
        <v>21553.5</v>
      </c>
      <c r="K2" t="n">
        <v>22647.7</v>
      </c>
      <c r="L2" t="n">
        <v>23854.4</v>
      </c>
      <c r="M2" t="n">
        <v>25199</v>
      </c>
      <c r="N2" t="n">
        <v>26094.6</v>
      </c>
      <c r="O2" t="n">
        <v>26977.3</v>
      </c>
      <c r="P2" t="n">
        <v>28467.6</v>
      </c>
      <c r="Q2" t="n">
        <v>29753.1</v>
      </c>
      <c r="R2" t="n">
        <v>31301.9</v>
      </c>
      <c r="S2" t="n">
        <v>32339.7</v>
      </c>
      <c r="T2" t="n">
        <v>32567.5</v>
      </c>
      <c r="U2" t="n">
        <v>33324.4</v>
      </c>
      <c r="V2" t="n">
        <v>33251.5</v>
      </c>
      <c r="W2" t="n">
        <v>33519.8</v>
      </c>
      <c r="X2" t="n">
        <v>33794.1</v>
      </c>
      <c r="Y2" t="n">
        <v>32977.4</v>
      </c>
      <c r="Z2" t="n">
        <v>32620.4</v>
      </c>
      <c r="AA2" t="n">
        <v>32905.1</v>
      </c>
      <c r="AB2" t="n">
        <v>33280.7</v>
      </c>
      <c r="AC2" t="n">
        <v>34898.7</v>
      </c>
      <c r="AD2" t="n">
        <v>36491.6</v>
      </c>
      <c r="AE2" t="n">
        <v>37648.6</v>
      </c>
      <c r="AF2" t="n">
        <v>38681.8</v>
      </c>
    </row>
    <row r="3">
      <c r="A3" t="s">
        <v>126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2159.2</v>
      </c>
      <c r="H3" t="n">
        <v>2377.9</v>
      </c>
      <c r="I3" t="n">
        <v>2530.8</v>
      </c>
      <c r="J3" t="n">
        <v>2676.2</v>
      </c>
      <c r="K3" t="n">
        <v>2820.2</v>
      </c>
      <c r="L3" t="n">
        <v>2989.7</v>
      </c>
      <c r="M3" t="n">
        <v>3183.4</v>
      </c>
      <c r="N3" t="n">
        <v>3210.1</v>
      </c>
      <c r="O3" t="n">
        <v>3267.6</v>
      </c>
      <c r="P3" t="n">
        <v>3505.6</v>
      </c>
      <c r="Q3" t="n">
        <v>3588.8</v>
      </c>
      <c r="R3" t="n">
        <v>3882.7</v>
      </c>
      <c r="S3" t="n">
        <v>3987.2</v>
      </c>
      <c r="T3" t="n">
        <v>4019.8</v>
      </c>
      <c r="U3" t="n">
        <v>3994.5</v>
      </c>
      <c r="V3" t="n">
        <v>4051.8</v>
      </c>
      <c r="W3" t="n">
        <v>4140</v>
      </c>
      <c r="X3" t="n">
        <v>4289.1</v>
      </c>
      <c r="Y3" t="n">
        <v>4252.7</v>
      </c>
      <c r="Z3" t="n">
        <v>4296.8</v>
      </c>
      <c r="AA3" t="n">
        <v>4590</v>
      </c>
      <c r="AB3" t="n">
        <v>4436</v>
      </c>
      <c r="AC3" t="n">
        <v>4896.3</v>
      </c>
      <c r="AD3" t="n">
        <v>4856.1</v>
      </c>
      <c r="AE3" t="n">
        <v>4747.8</v>
      </c>
      <c r="AF3" t="n">
        <v>4671.8</v>
      </c>
    </row>
    <row r="4">
      <c r="A4" t="s">
        <v>126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161558.7</v>
      </c>
      <c r="H4" t="n">
        <v>164632.1</v>
      </c>
      <c r="I4" t="n">
        <v>168700.2</v>
      </c>
      <c r="J4" t="n">
        <v>173611.5</v>
      </c>
      <c r="K4" t="n">
        <v>178085.2</v>
      </c>
      <c r="L4" t="n">
        <v>187421.1</v>
      </c>
      <c r="M4" t="n">
        <v>196780.8</v>
      </c>
      <c r="N4" t="n">
        <v>203050.6</v>
      </c>
      <c r="O4" t="n">
        <v>207064</v>
      </c>
      <c r="P4" t="n">
        <v>213881.2</v>
      </c>
      <c r="Q4" t="n">
        <v>219685.1</v>
      </c>
      <c r="R4" t="n">
        <v>232206.6</v>
      </c>
      <c r="S4" t="n">
        <v>242057.9</v>
      </c>
      <c r="T4" t="n">
        <v>246732.2</v>
      </c>
      <c r="U4" t="n">
        <v>246228</v>
      </c>
      <c r="V4" t="n">
        <v>248435.8</v>
      </c>
      <c r="W4" t="n">
        <v>252921.9</v>
      </c>
      <c r="X4" t="n">
        <v>256115</v>
      </c>
      <c r="Y4" t="n">
        <v>251738</v>
      </c>
      <c r="Z4" t="n">
        <v>253427.3</v>
      </c>
      <c r="AA4" t="n">
        <v>259359.9</v>
      </c>
      <c r="AB4" t="n">
        <v>261081.6</v>
      </c>
      <c r="AC4" t="n">
        <v>271893.7</v>
      </c>
      <c r="AD4" t="n">
        <v>276053.7</v>
      </c>
      <c r="AE4" t="n">
        <v>280538.7</v>
      </c>
      <c r="AF4" t="n">
        <v>283640.5</v>
      </c>
    </row>
    <row r="5">
      <c r="A5" t="s">
        <v>126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21212.1</v>
      </c>
      <c r="H5" t="n">
        <v>22407.7</v>
      </c>
      <c r="I5" t="n">
        <v>22794.2</v>
      </c>
      <c r="J5" t="n">
        <v>24372.7</v>
      </c>
      <c r="K5" t="n">
        <v>25345.4</v>
      </c>
      <c r="L5" t="n">
        <v>26825.3</v>
      </c>
      <c r="M5" t="n">
        <v>28297.4</v>
      </c>
      <c r="N5" t="n">
        <v>28925.9</v>
      </c>
      <c r="O5" t="n">
        <v>30126.6</v>
      </c>
      <c r="P5" t="n">
        <v>30919.2</v>
      </c>
      <c r="Q5" t="n">
        <v>32115.6</v>
      </c>
      <c r="R5" t="n">
        <v>33744.2</v>
      </c>
      <c r="S5" t="n">
        <v>35075.4</v>
      </c>
      <c r="T5" t="n">
        <v>35366.3</v>
      </c>
      <c r="U5" t="n">
        <v>35340.7</v>
      </c>
      <c r="V5" t="n">
        <v>35802.8</v>
      </c>
      <c r="W5" t="n">
        <v>36526.8</v>
      </c>
      <c r="X5" t="n">
        <v>36991.7</v>
      </c>
      <c r="Y5" t="n">
        <v>36378.4</v>
      </c>
      <c r="Z5" t="n">
        <v>36111.9</v>
      </c>
      <c r="AA5" t="n">
        <v>36550.3</v>
      </c>
      <c r="AB5" t="n">
        <v>36591.2</v>
      </c>
      <c r="AC5" t="n">
        <v>38813.4</v>
      </c>
      <c r="AD5" t="n">
        <v>39366.7</v>
      </c>
      <c r="AE5" t="n">
        <v>39598.2</v>
      </c>
      <c r="AF5"/>
    </row>
    <row r="6">
      <c r="A6" t="s">
        <v>126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7724.1</v>
      </c>
      <c r="H6" t="n">
        <v>7894.6</v>
      </c>
      <c r="I6" t="n">
        <v>8445.1</v>
      </c>
      <c r="J6" t="n">
        <v>8631.8</v>
      </c>
      <c r="K6" t="n">
        <v>8871.6</v>
      </c>
      <c r="L6" t="n">
        <v>9345.1</v>
      </c>
      <c r="M6" t="n">
        <v>10025.8</v>
      </c>
      <c r="N6" t="n">
        <v>10593.6</v>
      </c>
      <c r="O6" t="n">
        <v>10962.7</v>
      </c>
      <c r="P6" t="n">
        <v>11429.8</v>
      </c>
      <c r="Q6" t="n">
        <v>11651.1</v>
      </c>
      <c r="R6" t="n">
        <v>12236</v>
      </c>
      <c r="S6" t="n">
        <v>12864.4</v>
      </c>
      <c r="T6" t="n">
        <v>13127.2</v>
      </c>
      <c r="U6" t="n">
        <v>13172.2</v>
      </c>
      <c r="V6" t="n">
        <v>13213.8</v>
      </c>
      <c r="W6" t="n">
        <v>13886.5</v>
      </c>
      <c r="X6" t="n">
        <v>14246.2</v>
      </c>
      <c r="Y6" t="n">
        <v>14194.2</v>
      </c>
      <c r="Z6" t="n">
        <v>14453</v>
      </c>
      <c r="AA6" t="n">
        <v>15129</v>
      </c>
      <c r="AB6" t="n">
        <v>15363.4</v>
      </c>
      <c r="AC6" t="n">
        <v>15786.5</v>
      </c>
      <c r="AD6" t="n">
        <v>14972.5</v>
      </c>
      <c r="AE6" t="n">
        <v>14618.8</v>
      </c>
      <c r="AF6"/>
    </row>
    <row r="7">
      <c r="A7" t="s">
        <v>126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17488.2</v>
      </c>
      <c r="H7" t="n">
        <v>16909</v>
      </c>
      <c r="I7" t="n">
        <v>16750.2</v>
      </c>
      <c r="J7" t="n">
        <v>16468.9</v>
      </c>
      <c r="K7" t="n">
        <v>16163.1</v>
      </c>
      <c r="L7" t="n">
        <v>16502.2</v>
      </c>
      <c r="M7" t="n">
        <v>16573.8</v>
      </c>
      <c r="N7" t="n">
        <v>16538</v>
      </c>
      <c r="O7" t="n">
        <v>16332.7</v>
      </c>
      <c r="P7" t="n">
        <v>16534.8</v>
      </c>
      <c r="Q7" t="n">
        <v>16598.5</v>
      </c>
      <c r="R7" t="n">
        <v>17164.6</v>
      </c>
      <c r="S7" t="n">
        <v>17469.1</v>
      </c>
      <c r="T7" t="n">
        <v>17493.5</v>
      </c>
      <c r="U7" t="n">
        <v>17220.4</v>
      </c>
      <c r="V7" t="n">
        <v>17370.1</v>
      </c>
      <c r="W7" t="n">
        <v>17707.4</v>
      </c>
      <c r="X7" t="n">
        <v>17583.8</v>
      </c>
      <c r="Y7" t="n">
        <v>17116.2</v>
      </c>
      <c r="Z7" t="n">
        <v>17203.5</v>
      </c>
      <c r="AA7" t="n">
        <v>17503.9</v>
      </c>
      <c r="AB7" t="n">
        <v>17528.6</v>
      </c>
      <c r="AC7" t="n">
        <v>18488.3</v>
      </c>
      <c r="AD7" t="n">
        <v>18846.9</v>
      </c>
      <c r="AE7" t="n">
        <v>18889.1</v>
      </c>
      <c r="AF7"/>
    </row>
    <row r="8">
      <c r="A8" t="s">
        <v>126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5715.9</v>
      </c>
      <c r="H8" t="n">
        <v>5718</v>
      </c>
      <c r="I8" t="n">
        <v>6324.9</v>
      </c>
      <c r="J8" t="n">
        <v>6333.4</v>
      </c>
      <c r="K8" t="n">
        <v>6671</v>
      </c>
      <c r="L8" t="n">
        <v>7356.1</v>
      </c>
      <c r="M8" t="n">
        <v>7738.1</v>
      </c>
      <c r="N8" t="n">
        <v>7866.1</v>
      </c>
      <c r="O8" t="n">
        <v>7671.1</v>
      </c>
      <c r="P8" t="n">
        <v>7831.9</v>
      </c>
      <c r="Q8" t="n">
        <v>7913.3</v>
      </c>
      <c r="R8" t="n">
        <v>8446.2</v>
      </c>
      <c r="S8" t="n">
        <v>8782.1</v>
      </c>
      <c r="T8" t="n">
        <v>9316.8</v>
      </c>
      <c r="U8" t="n">
        <v>9149.1</v>
      </c>
      <c r="V8" t="n">
        <v>9284.8</v>
      </c>
      <c r="W8" t="n">
        <v>9641.1</v>
      </c>
      <c r="X8" t="n">
        <v>9667.1</v>
      </c>
      <c r="Y8" t="n">
        <v>9336.6</v>
      </c>
      <c r="Z8" t="n">
        <v>8965.4</v>
      </c>
      <c r="AA8" t="n">
        <v>8813.7</v>
      </c>
      <c r="AB8" t="n">
        <v>8507.3</v>
      </c>
      <c r="AC8" t="n">
        <v>8283.4</v>
      </c>
      <c r="AD8" t="n">
        <v>8256.2</v>
      </c>
      <c r="AE8" t="n">
        <v>8056</v>
      </c>
      <c r="AF8"/>
    </row>
    <row r="9">
      <c r="A9" t="s">
        <v>126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6462.8</v>
      </c>
      <c r="H9" t="n">
        <v>7404.8</v>
      </c>
      <c r="I9" t="n">
        <v>8485.4</v>
      </c>
      <c r="J9" t="n">
        <v>9637.2</v>
      </c>
      <c r="K9" t="n">
        <v>10530.1</v>
      </c>
      <c r="L9" t="n">
        <v>11692.8</v>
      </c>
      <c r="M9" t="n">
        <v>12782.7</v>
      </c>
      <c r="N9" t="n">
        <v>14107.4</v>
      </c>
      <c r="O9" t="n">
        <v>14554.2</v>
      </c>
      <c r="P9" t="n">
        <v>15375.8</v>
      </c>
      <c r="Q9" t="n">
        <v>16281.4</v>
      </c>
      <c r="R9" t="n">
        <v>17527.5</v>
      </c>
      <c r="S9" t="n">
        <v>18292.2</v>
      </c>
      <c r="T9" t="n">
        <v>19003.4</v>
      </c>
      <c r="U9" t="n">
        <v>18904.7</v>
      </c>
      <c r="V9" t="n">
        <v>19218.9</v>
      </c>
      <c r="W9" t="n">
        <v>19192.9</v>
      </c>
      <c r="X9" t="n">
        <v>19517.4</v>
      </c>
      <c r="Y9" t="n">
        <v>19393.3</v>
      </c>
      <c r="Z9" t="n">
        <v>19443.5</v>
      </c>
      <c r="AA9" t="n">
        <v>19836.6</v>
      </c>
      <c r="AB9" t="n">
        <v>18917.6</v>
      </c>
      <c r="AC9" t="n">
        <v>19095.3</v>
      </c>
      <c r="AD9" t="n">
        <v>18948.3</v>
      </c>
      <c r="AE9" t="n">
        <v>19144.7</v>
      </c>
      <c r="AF9"/>
    </row>
    <row r="10">
      <c r="A10" t="s">
        <v>126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10712.1</v>
      </c>
      <c r="H10" t="n">
        <v>11862.8</v>
      </c>
      <c r="I10" t="n">
        <v>13488.5</v>
      </c>
      <c r="J10" t="n">
        <v>15047.1</v>
      </c>
      <c r="K10" t="n">
        <v>16106.2</v>
      </c>
      <c r="L10" t="n">
        <v>17490.6</v>
      </c>
      <c r="M10" t="n">
        <v>18923.9</v>
      </c>
      <c r="N10" t="n">
        <v>20572.1</v>
      </c>
      <c r="O10" t="n">
        <v>21075.4</v>
      </c>
      <c r="P10" t="n">
        <v>22196.9</v>
      </c>
      <c r="Q10" t="n">
        <v>23196.5</v>
      </c>
      <c r="R10" t="n">
        <v>24724.2</v>
      </c>
      <c r="S10" t="n">
        <v>25554.2</v>
      </c>
      <c r="T10" t="n">
        <v>26409.5</v>
      </c>
      <c r="U10" t="n">
        <v>26636.2</v>
      </c>
      <c r="V10" t="n">
        <v>26996.1</v>
      </c>
      <c r="W10" t="n">
        <v>27033.5</v>
      </c>
      <c r="X10" t="n">
        <v>27685.7</v>
      </c>
      <c r="Y10" t="n">
        <v>27386.8</v>
      </c>
      <c r="Z10" t="n">
        <v>27653.3</v>
      </c>
      <c r="AA10" t="n">
        <v>28557.2</v>
      </c>
      <c r="AB10" t="n">
        <v>28851.3</v>
      </c>
      <c r="AC10" t="n">
        <v>29674.3</v>
      </c>
      <c r="AD10" t="n">
        <v>29785.5</v>
      </c>
      <c r="AE10" t="n">
        <v>30639.6</v>
      </c>
      <c r="AF10"/>
    </row>
    <row r="11">
      <c r="A11" t="s">
        <v>126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4249.3</v>
      </c>
      <c r="H11" t="n">
        <v>4458</v>
      </c>
      <c r="I11" t="n">
        <v>5003.1</v>
      </c>
      <c r="J11" t="n">
        <v>5409.9</v>
      </c>
      <c r="K11" t="n">
        <v>5576.1</v>
      </c>
      <c r="L11" t="n">
        <v>5797.8</v>
      </c>
      <c r="M11" t="n">
        <v>6141.2</v>
      </c>
      <c r="N11" t="n">
        <v>6464.7</v>
      </c>
      <c r="O11" t="n">
        <v>6521.2</v>
      </c>
      <c r="P11" t="n">
        <v>6821.1</v>
      </c>
      <c r="Q11" t="n">
        <v>6915.1</v>
      </c>
      <c r="R11" t="n">
        <v>7196.7</v>
      </c>
      <c r="S11" t="n">
        <v>7262</v>
      </c>
      <c r="T11" t="n">
        <v>7406.1</v>
      </c>
      <c r="U11" t="n">
        <v>7731.5</v>
      </c>
      <c r="V11" t="n">
        <v>7777.2</v>
      </c>
      <c r="W11" t="n">
        <v>7840.6</v>
      </c>
      <c r="X11" t="n">
        <v>8168.3</v>
      </c>
      <c r="Y11" t="n">
        <v>7993.5</v>
      </c>
      <c r="Z11" t="n">
        <v>8209.8</v>
      </c>
      <c r="AA11" t="n">
        <v>8720.6</v>
      </c>
      <c r="AB11" t="n">
        <v>9933.7</v>
      </c>
      <c r="AC11" t="n">
        <v>10579</v>
      </c>
      <c r="AD11" t="n">
        <v>10837.2</v>
      </c>
      <c r="AE11" t="n">
        <v>11494.9</v>
      </c>
      <c r="AF11"/>
    </row>
    <row r="12">
      <c r="A12" t="s">
        <v>126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27127.8</v>
      </c>
      <c r="H12" t="n">
        <v>25869.2</v>
      </c>
      <c r="I12" t="n">
        <v>24564</v>
      </c>
      <c r="J12" t="n">
        <v>23989.9</v>
      </c>
      <c r="K12" t="n">
        <v>23440.5</v>
      </c>
      <c r="L12" t="n">
        <v>23500.2</v>
      </c>
      <c r="M12" t="n">
        <v>23483.4</v>
      </c>
      <c r="N12" t="n">
        <v>23920.5</v>
      </c>
      <c r="O12" t="n">
        <v>24187.7</v>
      </c>
      <c r="P12" t="n">
        <v>24465.5</v>
      </c>
      <c r="Q12" t="n">
        <v>25190.2</v>
      </c>
      <c r="R12" t="n">
        <v>26455.4</v>
      </c>
      <c r="S12" t="n">
        <v>27975.5</v>
      </c>
      <c r="T12" t="n">
        <v>28037.9</v>
      </c>
      <c r="U12" t="n">
        <v>27966.1</v>
      </c>
      <c r="V12" t="n">
        <v>28332.4</v>
      </c>
      <c r="W12" t="n">
        <v>28908.1</v>
      </c>
      <c r="X12" t="n">
        <v>29162.1</v>
      </c>
      <c r="Y12" t="n">
        <v>28538.9</v>
      </c>
      <c r="Z12" t="n">
        <v>28756.5</v>
      </c>
      <c r="AA12" t="n">
        <v>29487.5</v>
      </c>
      <c r="AB12" t="n">
        <v>30257.8</v>
      </c>
      <c r="AC12" t="n">
        <v>31836.1</v>
      </c>
      <c r="AD12" t="n">
        <v>32875</v>
      </c>
      <c r="AE12" t="n">
        <v>33493.7</v>
      </c>
      <c r="AF12"/>
    </row>
    <row r="13">
      <c r="A13" t="s">
        <v>126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24329.1</v>
      </c>
      <c r="H13" t="n">
        <v>25148.5</v>
      </c>
      <c r="I13" t="n">
        <v>26413.8</v>
      </c>
      <c r="J13" t="n">
        <v>27359.9</v>
      </c>
      <c r="K13" t="n">
        <v>28297</v>
      </c>
      <c r="L13" t="n">
        <v>30145</v>
      </c>
      <c r="M13" t="n">
        <v>32503.3</v>
      </c>
      <c r="N13" t="n">
        <v>34002.7</v>
      </c>
      <c r="O13" t="n">
        <v>35076.5</v>
      </c>
      <c r="P13" t="n">
        <v>36123.5</v>
      </c>
      <c r="Q13" t="n">
        <v>36605.7</v>
      </c>
      <c r="R13" t="n">
        <v>39119.5</v>
      </c>
      <c r="S13" t="n">
        <v>40889</v>
      </c>
      <c r="T13" t="n">
        <v>41821.8</v>
      </c>
      <c r="U13" t="n">
        <v>41813.4</v>
      </c>
      <c r="V13" t="n">
        <v>42004</v>
      </c>
      <c r="W13" t="n">
        <v>42733.6</v>
      </c>
      <c r="X13" t="n">
        <v>42603.4</v>
      </c>
      <c r="Y13" t="n">
        <v>41717.2</v>
      </c>
      <c r="Z13" t="n">
        <v>41903.1</v>
      </c>
      <c r="AA13" t="n">
        <v>42233.2</v>
      </c>
      <c r="AB13" t="n">
        <v>41940.8</v>
      </c>
      <c r="AC13" t="n">
        <v>43427.2</v>
      </c>
      <c r="AD13" t="n">
        <v>44870.9</v>
      </c>
      <c r="AE13" t="n">
        <v>45819.6</v>
      </c>
      <c r="AF13"/>
    </row>
    <row r="14">
      <c r="A14" t="s">
        <v>126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4805.2</v>
      </c>
      <c r="H14" t="n">
        <v>4811.1</v>
      </c>
      <c r="I14" t="n">
        <v>5457</v>
      </c>
      <c r="J14" t="n">
        <v>5795.1</v>
      </c>
      <c r="K14" t="n">
        <v>5926.7</v>
      </c>
      <c r="L14" t="n">
        <v>6588.2</v>
      </c>
      <c r="M14" t="n">
        <v>6648.6</v>
      </c>
      <c r="N14" t="n">
        <v>6740.4</v>
      </c>
      <c r="O14" t="n">
        <v>6826.9</v>
      </c>
      <c r="P14" t="n">
        <v>7061.7</v>
      </c>
      <c r="Q14" t="n">
        <v>7189.5</v>
      </c>
      <c r="R14" t="n">
        <v>7651.4</v>
      </c>
      <c r="S14" t="n">
        <v>7566.6</v>
      </c>
      <c r="T14" t="n">
        <v>7820.4</v>
      </c>
      <c r="U14" t="n">
        <v>7717.3</v>
      </c>
      <c r="V14" t="n">
        <v>7683.2</v>
      </c>
      <c r="W14" t="n">
        <v>7736.6</v>
      </c>
      <c r="X14" t="n">
        <v>7535.3</v>
      </c>
      <c r="Y14" t="n">
        <v>7083.7</v>
      </c>
      <c r="Z14" t="n">
        <v>6728.7</v>
      </c>
      <c r="AA14" t="n">
        <v>6572</v>
      </c>
      <c r="AB14" t="n">
        <v>6551.9</v>
      </c>
      <c r="AC14" t="n">
        <v>6835.7</v>
      </c>
      <c r="AD14" t="n">
        <v>7016.6</v>
      </c>
      <c r="AE14" t="n">
        <v>7283.3</v>
      </c>
      <c r="AF14"/>
    </row>
    <row r="15">
      <c r="A15" t="s">
        <v>126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10458.5</v>
      </c>
      <c r="H15" t="n">
        <v>10845</v>
      </c>
      <c r="I15" t="n">
        <v>11834</v>
      </c>
      <c r="J15" t="n">
        <v>12586.9</v>
      </c>
      <c r="K15" t="n">
        <v>13177.8</v>
      </c>
      <c r="L15" t="n">
        <v>14511.3</v>
      </c>
      <c r="M15" t="n">
        <v>15113.1</v>
      </c>
      <c r="N15" t="n">
        <v>15562</v>
      </c>
      <c r="O15" t="n">
        <v>16054.1</v>
      </c>
      <c r="P15" t="n">
        <v>16775.8</v>
      </c>
      <c r="Q15" t="n">
        <v>17257.1</v>
      </c>
      <c r="R15" t="n">
        <v>18521.1</v>
      </c>
      <c r="S15" t="n">
        <v>18906.6</v>
      </c>
      <c r="T15" t="n">
        <v>19288.4</v>
      </c>
      <c r="U15" t="n">
        <v>19181.6</v>
      </c>
      <c r="V15" t="n">
        <v>19289</v>
      </c>
      <c r="W15" t="n">
        <v>19237.4</v>
      </c>
      <c r="X15" t="n">
        <v>18801.8</v>
      </c>
      <c r="Y15" t="n">
        <v>17718.9</v>
      </c>
      <c r="Z15" t="n">
        <v>16998.7</v>
      </c>
      <c r="AA15" t="n">
        <v>16711.9</v>
      </c>
      <c r="AB15" t="n">
        <v>16616.3</v>
      </c>
      <c r="AC15" t="n">
        <v>17011.4</v>
      </c>
      <c r="AD15" t="n">
        <v>17131.4</v>
      </c>
      <c r="AE15" t="n">
        <v>17390.5</v>
      </c>
      <c r="AF15"/>
    </row>
    <row r="16">
      <c r="A16" t="s">
        <v>126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5653.3</v>
      </c>
      <c r="H16" t="n">
        <v>6033.9</v>
      </c>
      <c r="I16" t="n">
        <v>6377</v>
      </c>
      <c r="J16" t="n">
        <v>6791.8</v>
      </c>
      <c r="K16" t="n">
        <v>7251.1</v>
      </c>
      <c r="L16" t="n">
        <v>7923.1</v>
      </c>
      <c r="M16" t="n">
        <v>8464.5</v>
      </c>
      <c r="N16" t="n">
        <v>8821.6</v>
      </c>
      <c r="O16" t="n">
        <v>9227.2</v>
      </c>
      <c r="P16" t="n">
        <v>9714.1</v>
      </c>
      <c r="Q16" t="n">
        <v>10067.6</v>
      </c>
      <c r="R16" t="n">
        <v>10869.7</v>
      </c>
      <c r="S16" t="n">
        <v>11340</v>
      </c>
      <c r="T16" t="n">
        <v>11468</v>
      </c>
      <c r="U16" t="n">
        <v>11464.3</v>
      </c>
      <c r="V16" t="n">
        <v>11605.8</v>
      </c>
      <c r="W16" t="n">
        <v>11500.8</v>
      </c>
      <c r="X16" t="n">
        <v>11266.5</v>
      </c>
      <c r="Y16" t="n">
        <v>10635.2</v>
      </c>
      <c r="Z16" t="n">
        <v>10270</v>
      </c>
      <c r="AA16" t="n">
        <v>10139.9</v>
      </c>
      <c r="AB16" t="n">
        <v>10064.4</v>
      </c>
      <c r="AC16" t="n">
        <v>10175.7</v>
      </c>
      <c r="AD16" t="n">
        <v>10114.8</v>
      </c>
      <c r="AE16" t="n">
        <v>10107.2</v>
      </c>
      <c r="AF16"/>
    </row>
    <row r="17">
      <c r="A17" t="s">
        <v>126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12457.1</v>
      </c>
      <c r="H17" t="n">
        <v>12897.9</v>
      </c>
      <c r="I17" t="n">
        <v>12945.5</v>
      </c>
      <c r="J17" t="n">
        <v>13406.3</v>
      </c>
      <c r="K17" t="n">
        <v>13985.3</v>
      </c>
      <c r="L17" t="n">
        <v>14638.6</v>
      </c>
      <c r="M17" t="n">
        <v>15538.4</v>
      </c>
      <c r="N17" t="n">
        <v>15815.3</v>
      </c>
      <c r="O17" t="n">
        <v>16090.1</v>
      </c>
      <c r="P17" t="n">
        <v>16844.1</v>
      </c>
      <c r="Q17" t="n">
        <v>17175.3</v>
      </c>
      <c r="R17" t="n">
        <v>18254.6</v>
      </c>
      <c r="S17" t="n">
        <v>19315.1</v>
      </c>
      <c r="T17" t="n">
        <v>19504.7</v>
      </c>
      <c r="U17" t="n">
        <v>19442.3</v>
      </c>
      <c r="V17" t="n">
        <v>19639</v>
      </c>
      <c r="W17" t="n">
        <v>19835.2</v>
      </c>
      <c r="X17" t="n">
        <v>20206.8</v>
      </c>
      <c r="Y17" t="n">
        <v>19906.6</v>
      </c>
      <c r="Z17" t="n">
        <v>20205.7</v>
      </c>
      <c r="AA17" t="n">
        <v>20676.3</v>
      </c>
      <c r="AB17" t="n">
        <v>21196.3</v>
      </c>
      <c r="AC17" t="n">
        <v>22670.5</v>
      </c>
      <c r="AD17" t="n">
        <v>22894.1</v>
      </c>
      <c r="AE17" t="n">
        <v>23324.7</v>
      </c>
      <c r="AF17"/>
    </row>
    <row r="18">
      <c r="A18" t="s">
        <v>126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17291.2</v>
      </c>
      <c r="H18" t="n">
        <v>17706.8</v>
      </c>
      <c r="I18" t="n">
        <v>17534.6</v>
      </c>
      <c r="J18" t="n">
        <v>17756.7</v>
      </c>
      <c r="K18" t="n">
        <v>18098.2</v>
      </c>
      <c r="L18" t="n">
        <v>18738.4</v>
      </c>
      <c r="M18" t="n">
        <v>19636.3</v>
      </c>
      <c r="N18" t="n">
        <v>19905.7</v>
      </c>
      <c r="O18" t="n">
        <v>19937.6</v>
      </c>
      <c r="P18" t="n">
        <v>20919.7</v>
      </c>
      <c r="Q18" t="n">
        <v>21891.8</v>
      </c>
      <c r="R18" t="n">
        <v>22795</v>
      </c>
      <c r="S18" t="n">
        <v>24199.4</v>
      </c>
      <c r="T18" t="n">
        <v>25026.7</v>
      </c>
      <c r="U18" t="n">
        <v>24930.6</v>
      </c>
      <c r="V18" t="n">
        <v>25047.1</v>
      </c>
      <c r="W18" t="n">
        <v>26002.2</v>
      </c>
      <c r="X18" t="n">
        <v>27754.7</v>
      </c>
      <c r="Y18" t="n">
        <v>28529.8</v>
      </c>
      <c r="Z18" t="n">
        <v>30358.9</v>
      </c>
      <c r="AA18" t="n">
        <v>32822.4</v>
      </c>
      <c r="AB18" t="n">
        <v>33490</v>
      </c>
      <c r="AC18" t="n">
        <v>34790.4</v>
      </c>
      <c r="AD18" t="n">
        <v>35598.5</v>
      </c>
      <c r="AE18" t="n">
        <v>36998.5</v>
      </c>
      <c r="AF18"/>
    </row>
    <row r="19">
      <c r="A19" t="s">
        <v>126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7042.6</v>
      </c>
      <c r="H19" t="n">
        <v>7372.6</v>
      </c>
      <c r="I19" t="n">
        <v>7605.4</v>
      </c>
      <c r="J19" t="n">
        <v>7657.9</v>
      </c>
      <c r="K19" t="n">
        <v>7929.1</v>
      </c>
      <c r="L19" t="n">
        <v>8368.3</v>
      </c>
      <c r="M19" t="n">
        <v>8947.3</v>
      </c>
      <c r="N19" t="n">
        <v>9348.7</v>
      </c>
      <c r="O19" t="n">
        <v>9549.5</v>
      </c>
      <c r="P19" t="n">
        <v>9840</v>
      </c>
      <c r="Q19" t="n">
        <v>10090</v>
      </c>
      <c r="R19" t="n">
        <v>10745.8</v>
      </c>
      <c r="S19" t="n">
        <v>11027.1</v>
      </c>
      <c r="T19" t="n">
        <v>11339.4</v>
      </c>
      <c r="U19" t="n">
        <v>11375.4</v>
      </c>
      <c r="V19" t="n">
        <v>11456.7</v>
      </c>
      <c r="W19" t="n">
        <v>11410.1</v>
      </c>
      <c r="X19" t="n">
        <v>11411.7</v>
      </c>
      <c r="Y19" t="n">
        <v>10914.4</v>
      </c>
      <c r="Z19" t="n">
        <v>10817.3</v>
      </c>
      <c r="AA19" t="n">
        <v>10874.5</v>
      </c>
      <c r="AB19" t="n">
        <v>10738.6</v>
      </c>
      <c r="AC19" t="n">
        <v>11112.2</v>
      </c>
      <c r="AD19" t="n">
        <v>11456</v>
      </c>
      <c r="AE19" t="n">
        <v>11710</v>
      </c>
      <c r="AF19"/>
    </row>
    <row r="20">
      <c r="A20" t="s">
        <v>126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17344.3</v>
      </c>
      <c r="H20" t="n">
        <v>18675.2</v>
      </c>
      <c r="I20" t="n">
        <v>20436.7</v>
      </c>
      <c r="J20" t="n">
        <v>22052.6</v>
      </c>
      <c r="K20" t="n">
        <v>22789.6</v>
      </c>
      <c r="L20" t="n">
        <v>23796.9</v>
      </c>
      <c r="M20" t="n">
        <v>24960.1</v>
      </c>
      <c r="N20" t="n">
        <v>25942.5</v>
      </c>
      <c r="O20" t="n">
        <v>26012.2</v>
      </c>
      <c r="P20" t="n">
        <v>27175</v>
      </c>
      <c r="Q20" t="n">
        <v>27776.2</v>
      </c>
      <c r="R20" t="n">
        <v>29096.1</v>
      </c>
      <c r="S20" t="n">
        <v>31001.8</v>
      </c>
      <c r="T20" t="n">
        <v>31644.8</v>
      </c>
      <c r="U20" t="n">
        <v>31478.6</v>
      </c>
      <c r="V20" t="n">
        <v>31796.9</v>
      </c>
      <c r="W20" t="n">
        <v>32147.8</v>
      </c>
      <c r="X20" t="n">
        <v>33142.9</v>
      </c>
      <c r="Y20" t="n">
        <v>31592.8</v>
      </c>
      <c r="Z20" t="n">
        <v>29994.6</v>
      </c>
      <c r="AA20" t="n">
        <v>29456.4</v>
      </c>
      <c r="AB20" t="n">
        <v>27168.7</v>
      </c>
      <c r="AC20" t="n">
        <v>25870.9</v>
      </c>
      <c r="AD20" t="n">
        <v>24279.3</v>
      </c>
      <c r="AE20" t="n">
        <v>23251.7</v>
      </c>
      <c r="AF20" t="n">
        <v>21942.5</v>
      </c>
    </row>
    <row r="21">
      <c r="A21" t="s">
        <v>126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24377</v>
      </c>
      <c r="H21" t="n">
        <v>26449.9</v>
      </c>
      <c r="I21" t="n">
        <v>28955.6</v>
      </c>
      <c r="J21" t="n">
        <v>31236</v>
      </c>
      <c r="K21" t="n">
        <v>32239.1</v>
      </c>
      <c r="L21" t="n">
        <v>33968.1</v>
      </c>
      <c r="M21" t="n">
        <v>35808.7</v>
      </c>
      <c r="N21" t="n">
        <v>37311.3</v>
      </c>
      <c r="O21" t="n">
        <v>37906.4</v>
      </c>
      <c r="P21" t="n">
        <v>39538</v>
      </c>
      <c r="Q21" t="n">
        <v>40784.1</v>
      </c>
      <c r="R21" t="n">
        <v>42915.2</v>
      </c>
      <c r="S21" t="n">
        <v>45371.2</v>
      </c>
      <c r="T21" t="n">
        <v>46393.1</v>
      </c>
      <c r="U21" t="n">
        <v>46159.2</v>
      </c>
      <c r="V21" t="n">
        <v>46649.3</v>
      </c>
      <c r="W21" t="n">
        <v>47824.6</v>
      </c>
      <c r="X21" t="n">
        <v>49007.9</v>
      </c>
      <c r="Y21" t="n">
        <v>47011.1</v>
      </c>
      <c r="Z21" t="n">
        <v>45621.3</v>
      </c>
      <c r="AA21" t="n">
        <v>45588.6</v>
      </c>
      <c r="AB21" t="n">
        <v>43444.6</v>
      </c>
      <c r="AC21" t="n">
        <v>43218.7</v>
      </c>
      <c r="AD21" t="n">
        <v>42526.8</v>
      </c>
      <c r="AE21" t="n">
        <v>42622.8</v>
      </c>
      <c r="AF21" t="n">
        <v>42466.1</v>
      </c>
    </row>
    <row r="22">
      <c r="A22" t="s">
        <v>126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7032.7</v>
      </c>
      <c r="H22" t="n">
        <v>7774.7</v>
      </c>
      <c r="I22" t="n">
        <v>8518.9</v>
      </c>
      <c r="J22" t="n">
        <v>9183.4</v>
      </c>
      <c r="K22" t="n">
        <v>9449.5</v>
      </c>
      <c r="L22" t="n">
        <v>10171.2</v>
      </c>
      <c r="M22" t="n">
        <v>10848.6</v>
      </c>
      <c r="N22" t="n">
        <v>11368.8</v>
      </c>
      <c r="O22" t="n">
        <v>11894.2</v>
      </c>
      <c r="P22" t="n">
        <v>12363</v>
      </c>
      <c r="Q22" t="n">
        <v>13007.9</v>
      </c>
      <c r="R22" t="n">
        <v>13819.1</v>
      </c>
      <c r="S22" t="n">
        <v>14369.4</v>
      </c>
      <c r="T22" t="n">
        <v>14748.3</v>
      </c>
      <c r="U22" t="n">
        <v>14680.6</v>
      </c>
      <c r="V22" t="n">
        <v>14852.4</v>
      </c>
      <c r="W22" t="n">
        <v>15676.8</v>
      </c>
      <c r="X22" t="n">
        <v>15865</v>
      </c>
      <c r="Y22" t="n">
        <v>15418.3</v>
      </c>
      <c r="Z22" t="n">
        <v>15626.7</v>
      </c>
      <c r="AA22" t="n">
        <v>16132.2</v>
      </c>
      <c r="AB22" t="n">
        <v>16275.9</v>
      </c>
      <c r="AC22" t="n">
        <v>17347.8</v>
      </c>
      <c r="AD22" t="n">
        <v>18247.5</v>
      </c>
      <c r="AE22" t="n">
        <v>19371.1</v>
      </c>
      <c r="AF22" t="n">
        <v>20523.6</v>
      </c>
    </row>
    <row r="23">
      <c r="A23" t="s">
        <v>126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13091.2</v>
      </c>
      <c r="H23" t="n">
        <v>13393.1</v>
      </c>
      <c r="I23" t="n">
        <v>14353.6</v>
      </c>
      <c r="J23" t="n">
        <v>14280.3</v>
      </c>
      <c r="K23" t="n">
        <v>14614.9</v>
      </c>
      <c r="L23" t="n">
        <v>15836.4</v>
      </c>
      <c r="M23" t="n">
        <v>16711.7</v>
      </c>
      <c r="N23" t="n">
        <v>17810.2</v>
      </c>
      <c r="O23" t="n">
        <v>17908.6</v>
      </c>
      <c r="P23" t="n">
        <v>18631</v>
      </c>
      <c r="Q23" t="n">
        <v>19457.6</v>
      </c>
      <c r="R23" t="n">
        <v>20900.7</v>
      </c>
      <c r="S23" t="n">
        <v>21612.1</v>
      </c>
      <c r="T23" t="n">
        <v>21318</v>
      </c>
      <c r="U23" t="n">
        <v>21119.2</v>
      </c>
      <c r="V23" t="n">
        <v>21253.6</v>
      </c>
      <c r="W23" t="n">
        <v>20413.2</v>
      </c>
      <c r="X23" t="n">
        <v>19236.8</v>
      </c>
      <c r="Y23" t="n">
        <v>17638.9</v>
      </c>
      <c r="Z23" t="n">
        <v>16550</v>
      </c>
      <c r="AA23" t="n">
        <v>16096.3</v>
      </c>
      <c r="AB23" t="n">
        <v>16580.1</v>
      </c>
      <c r="AC23" t="n">
        <v>16338.9</v>
      </c>
      <c r="AD23" t="n">
        <v>16074.5</v>
      </c>
      <c r="AE23" t="n">
        <v>15771.7</v>
      </c>
      <c r="AF23" t="n">
        <v>16220.5</v>
      </c>
    </row>
    <row r="24">
      <c r="A24" t="s">
        <v>126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27152.6</v>
      </c>
      <c r="H24" t="n">
        <v>29488.1</v>
      </c>
      <c r="I24" t="n">
        <v>30165.9</v>
      </c>
      <c r="J24" t="n">
        <v>31186.1</v>
      </c>
      <c r="K24" t="n">
        <v>32826.8</v>
      </c>
      <c r="L24" t="n">
        <v>34743.7</v>
      </c>
      <c r="M24" t="n">
        <v>37082</v>
      </c>
      <c r="N24" t="n">
        <v>38185.6</v>
      </c>
      <c r="O24" t="n">
        <v>39458.4</v>
      </c>
      <c r="P24" t="n">
        <v>41325.6</v>
      </c>
      <c r="Q24" t="n">
        <v>42837.8</v>
      </c>
      <c r="R24" t="n">
        <v>45867.4</v>
      </c>
      <c r="S24" t="n">
        <v>47148</v>
      </c>
      <c r="T24" t="n">
        <v>47828.3</v>
      </c>
      <c r="U24" t="n">
        <v>47863.9</v>
      </c>
      <c r="V24" t="n">
        <v>48191.8</v>
      </c>
      <c r="W24" t="n">
        <v>46966.8</v>
      </c>
      <c r="X24" t="n">
        <v>46787</v>
      </c>
      <c r="Y24" t="n">
        <v>44210.2</v>
      </c>
      <c r="Z24" t="n">
        <v>43232.1</v>
      </c>
      <c r="AA24" t="n">
        <v>43267.8</v>
      </c>
      <c r="AB24" t="n">
        <v>41995.2</v>
      </c>
      <c r="AC24" t="n">
        <v>44100.3</v>
      </c>
      <c r="AD24" t="n">
        <v>44488.7</v>
      </c>
      <c r="AE24" t="n">
        <v>44950.9</v>
      </c>
      <c r="AF24" t="n">
        <v>44685.6</v>
      </c>
    </row>
    <row r="25">
      <c r="A25" t="s">
        <v>126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126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126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126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10310.8</v>
      </c>
      <c r="H28" t="n">
        <v>11479.4</v>
      </c>
      <c r="I28" t="n">
        <v>12630.7</v>
      </c>
      <c r="J28" t="n">
        <v>13931.7</v>
      </c>
      <c r="K28" t="n">
        <v>14622.9</v>
      </c>
      <c r="L28" t="n">
        <v>15830.5</v>
      </c>
      <c r="M28" t="n">
        <v>17487.6</v>
      </c>
      <c r="N28" t="n">
        <v>17992.8</v>
      </c>
      <c r="O28" t="n">
        <v>18629.9</v>
      </c>
      <c r="P28" t="n">
        <v>20084.9</v>
      </c>
      <c r="Q28" t="n">
        <v>21135.5</v>
      </c>
      <c r="R28" t="n">
        <v>23126.5</v>
      </c>
      <c r="S28" t="n">
        <v>23958.6</v>
      </c>
      <c r="T28" t="n">
        <v>25349.8</v>
      </c>
      <c r="U28" t="n">
        <v>25435.7</v>
      </c>
      <c r="V28" t="n">
        <v>25762.5</v>
      </c>
      <c r="W28" t="n">
        <v>25461.8</v>
      </c>
      <c r="X28" t="n">
        <v>25129.8</v>
      </c>
      <c r="Y28" t="n">
        <v>24196.5</v>
      </c>
      <c r="Z28" t="n">
        <v>23133.2</v>
      </c>
      <c r="AA28" t="n">
        <v>21970.9</v>
      </c>
      <c r="AB28" t="n">
        <v>20742.9</v>
      </c>
      <c r="AC28" t="n">
        <v>20203.8</v>
      </c>
      <c r="AD28" t="n">
        <v>20015.2</v>
      </c>
      <c r="AE28" t="n">
        <v>20036.2</v>
      </c>
      <c r="AF28" t="n">
        <v>19906.4</v>
      </c>
    </row>
    <row r="29">
      <c r="A29" t="s">
        <v>126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126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126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126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126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126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10113.4</v>
      </c>
      <c r="H34" t="n">
        <v>10252.3</v>
      </c>
      <c r="I34" t="n">
        <v>10628.7</v>
      </c>
      <c r="J34" t="n">
        <v>10955.8</v>
      </c>
      <c r="K34" t="n">
        <v>11709.7</v>
      </c>
      <c r="L34" t="n">
        <v>12549.7</v>
      </c>
      <c r="M34" t="n">
        <v>13280.9</v>
      </c>
      <c r="N34" t="n">
        <v>13708.1</v>
      </c>
      <c r="O34" t="n">
        <v>13985.7</v>
      </c>
      <c r="P34" t="n">
        <v>14564.4</v>
      </c>
      <c r="Q34" t="n">
        <v>14846</v>
      </c>
      <c r="R34" t="n">
        <v>16071.1</v>
      </c>
      <c r="S34" t="n">
        <v>16795.6</v>
      </c>
      <c r="T34" t="n">
        <v>17057.9</v>
      </c>
      <c r="U34" t="n">
        <v>17262.9</v>
      </c>
      <c r="V34" t="n">
        <v>17354.7</v>
      </c>
      <c r="W34" t="n">
        <v>16664.6</v>
      </c>
      <c r="X34" t="n">
        <v>16728.6</v>
      </c>
      <c r="Y34" t="n">
        <v>15842.8</v>
      </c>
      <c r="Z34" t="n">
        <v>15083.3</v>
      </c>
      <c r="AA34" t="n">
        <v>14539.8</v>
      </c>
      <c r="AB34" t="n">
        <v>12961.4</v>
      </c>
      <c r="AC34" t="n">
        <v>12749.1</v>
      </c>
      <c r="AD34" t="n">
        <v>12531.4</v>
      </c>
      <c r="AE34" t="n">
        <v>12537.6</v>
      </c>
      <c r="AF34" t="n">
        <v>12509.3</v>
      </c>
    </row>
    <row r="35">
      <c r="A35" t="s">
        <v>126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3140.7</v>
      </c>
      <c r="H35" t="n">
        <v>3400.6</v>
      </c>
      <c r="I35" t="n">
        <v>3616</v>
      </c>
      <c r="J35" t="n">
        <v>3825.2</v>
      </c>
      <c r="K35" t="n">
        <v>3998.3</v>
      </c>
      <c r="L35" t="n">
        <v>4275.8</v>
      </c>
      <c r="M35" t="n">
        <v>4594.8</v>
      </c>
      <c r="N35" t="n">
        <v>4866.8</v>
      </c>
      <c r="O35" t="n">
        <v>5037</v>
      </c>
      <c r="P35" t="n">
        <v>5265.4</v>
      </c>
      <c r="Q35" t="n">
        <v>5215.1</v>
      </c>
      <c r="R35" t="n">
        <v>5745.9</v>
      </c>
      <c r="S35" t="n">
        <v>5847.7</v>
      </c>
      <c r="T35" t="n">
        <v>6016.1</v>
      </c>
      <c r="U35" t="n">
        <v>6056.2</v>
      </c>
      <c r="V35" t="n">
        <v>5900.2</v>
      </c>
      <c r="W35" t="n">
        <v>6439.1</v>
      </c>
      <c r="X35" t="n">
        <v>7030.1</v>
      </c>
      <c r="Y35" t="n">
        <v>7555.3</v>
      </c>
      <c r="Z35" t="n">
        <v>8294.1</v>
      </c>
      <c r="AA35" t="n">
        <v>8042.6</v>
      </c>
      <c r="AB35" t="n">
        <v>7569.1</v>
      </c>
      <c r="AC35" t="n">
        <v>7660.7</v>
      </c>
      <c r="AD35" t="n">
        <v>7445.6</v>
      </c>
      <c r="AE35" t="n">
        <v>7341.5</v>
      </c>
      <c r="AF35" t="n">
        <v>7543.8</v>
      </c>
    </row>
    <row r="36">
      <c r="A36" t="s">
        <v>126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951.3</v>
      </c>
      <c r="H36" t="n">
        <v>1066.6</v>
      </c>
      <c r="I36" t="n">
        <v>1174.7</v>
      </c>
      <c r="J36" t="n">
        <v>1245.2</v>
      </c>
      <c r="K36" t="n">
        <v>1336.5</v>
      </c>
      <c r="L36" t="n">
        <v>1427.3</v>
      </c>
      <c r="M36" t="n">
        <v>1555.5</v>
      </c>
      <c r="N36" t="n">
        <v>1601.5</v>
      </c>
      <c r="O36" t="n">
        <v>1648.9</v>
      </c>
      <c r="P36" t="n">
        <v>1684.7</v>
      </c>
      <c r="Q36" t="n">
        <v>1681.6</v>
      </c>
      <c r="R36" t="n">
        <v>1865.7</v>
      </c>
      <c r="S36" t="n">
        <v>1899.6</v>
      </c>
      <c r="T36" t="n">
        <v>1959.7</v>
      </c>
      <c r="U36" t="n">
        <v>1981.1</v>
      </c>
      <c r="V36" t="n">
        <v>1882.5</v>
      </c>
      <c r="W36" t="n">
        <v>1971.3</v>
      </c>
      <c r="X36" t="n">
        <v>2030.7</v>
      </c>
      <c r="Y36" t="n">
        <v>1943.7</v>
      </c>
      <c r="Z36" t="n">
        <v>1841.2</v>
      </c>
      <c r="AA36" t="n">
        <v>1808.7</v>
      </c>
      <c r="AB36" t="n">
        <v>1681.1</v>
      </c>
      <c r="AC36" t="n">
        <v>1683.8</v>
      </c>
      <c r="AD36" t="n">
        <v>1620.7</v>
      </c>
      <c r="AE36" t="n">
        <v>1551.5</v>
      </c>
      <c r="AF36"/>
    </row>
    <row r="37">
      <c r="A37" t="s">
        <v>126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660.3</v>
      </c>
      <c r="H37" t="n">
        <v>748</v>
      </c>
      <c r="I37" t="n">
        <v>829.8</v>
      </c>
      <c r="J37" t="n">
        <v>922.2</v>
      </c>
      <c r="K37" t="n">
        <v>981.2</v>
      </c>
      <c r="L37" t="n">
        <v>1061.9</v>
      </c>
      <c r="M37" t="n">
        <v>1212.8</v>
      </c>
      <c r="N37" t="n">
        <v>1206.5</v>
      </c>
      <c r="O37" t="n">
        <v>1271.2</v>
      </c>
      <c r="P37" t="n">
        <v>1309.9</v>
      </c>
      <c r="Q37" t="n">
        <v>1290.2</v>
      </c>
      <c r="R37" t="n">
        <v>1442.6</v>
      </c>
      <c r="S37" t="n">
        <v>1449.5</v>
      </c>
      <c r="T37" t="n">
        <v>1497.3</v>
      </c>
      <c r="U37" t="n">
        <v>1507.2</v>
      </c>
      <c r="V37" t="n">
        <v>1459.3</v>
      </c>
      <c r="W37" t="n">
        <v>1767.6</v>
      </c>
      <c r="X37" t="n">
        <v>2214.3</v>
      </c>
      <c r="Y37" t="n">
        <v>2852.3</v>
      </c>
      <c r="Z37" t="n">
        <v>3731.6</v>
      </c>
      <c r="AA37" t="n">
        <v>3464</v>
      </c>
      <c r="AB37" t="n">
        <v>3038.6</v>
      </c>
      <c r="AC37" t="n">
        <v>2839.5</v>
      </c>
      <c r="AD37" t="n">
        <v>2468.1</v>
      </c>
      <c r="AE37" t="n">
        <v>2109.9</v>
      </c>
      <c r="AF37"/>
    </row>
    <row r="38">
      <c r="A38" t="s">
        <v>126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1529.1</v>
      </c>
      <c r="H38" t="n">
        <v>1586</v>
      </c>
      <c r="I38" t="n">
        <v>1611.5</v>
      </c>
      <c r="J38" t="n">
        <v>1657.8</v>
      </c>
      <c r="K38" t="n">
        <v>1680.6</v>
      </c>
      <c r="L38" t="n">
        <v>1786.6</v>
      </c>
      <c r="M38" t="n">
        <v>1826.5</v>
      </c>
      <c r="N38" t="n">
        <v>2058.8</v>
      </c>
      <c r="O38" t="n">
        <v>2116.9</v>
      </c>
      <c r="P38" t="n">
        <v>2270.8</v>
      </c>
      <c r="Q38" t="n">
        <v>2243.3</v>
      </c>
      <c r="R38" t="n">
        <v>2437.6</v>
      </c>
      <c r="S38" t="n">
        <v>2498.6</v>
      </c>
      <c r="T38" t="n">
        <v>2559.1</v>
      </c>
      <c r="U38" t="n">
        <v>2567.9</v>
      </c>
      <c r="V38" t="n">
        <v>2558.4</v>
      </c>
      <c r="W38" t="n">
        <v>2700.2</v>
      </c>
      <c r="X38" t="n">
        <v>2785.1</v>
      </c>
      <c r="Y38" t="n">
        <v>2759.3</v>
      </c>
      <c r="Z38" t="n">
        <v>2721.3</v>
      </c>
      <c r="AA38" t="n">
        <v>2769.9</v>
      </c>
      <c r="AB38" t="n">
        <v>2849.4</v>
      </c>
      <c r="AC38" t="n">
        <v>3137.4</v>
      </c>
      <c r="AD38" t="n">
        <v>3356.8</v>
      </c>
      <c r="AE38" t="n">
        <v>3680.1</v>
      </c>
      <c r="AF38"/>
    </row>
    <row r="39">
      <c r="A39" t="s">
        <v>126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2234.3</v>
      </c>
      <c r="H39" t="n">
        <v>2202</v>
      </c>
      <c r="I39" t="n">
        <v>2060.7</v>
      </c>
      <c r="J39" t="n">
        <v>1942.7</v>
      </c>
      <c r="K39" t="n">
        <v>1870.8</v>
      </c>
      <c r="L39" t="n">
        <v>1829.4</v>
      </c>
      <c r="M39" t="n">
        <v>1832.5</v>
      </c>
      <c r="N39" t="n">
        <v>1811.1</v>
      </c>
      <c r="O39" t="n">
        <v>1847.8</v>
      </c>
      <c r="P39" t="n">
        <v>1922.5</v>
      </c>
      <c r="Q39" t="n">
        <v>1951.3</v>
      </c>
      <c r="R39" t="n">
        <v>2022.3</v>
      </c>
      <c r="S39" t="n">
        <v>2146.2</v>
      </c>
      <c r="T39" t="n">
        <v>2172</v>
      </c>
      <c r="U39" t="n">
        <v>2274.5</v>
      </c>
      <c r="V39" t="n">
        <v>2281.8</v>
      </c>
      <c r="W39" t="n">
        <v>2211.4</v>
      </c>
      <c r="X39" t="n">
        <v>2263</v>
      </c>
      <c r="Y39" t="n">
        <v>2195.6</v>
      </c>
      <c r="Z39" t="n">
        <v>2230.2</v>
      </c>
      <c r="AA39" t="n">
        <v>2241.1</v>
      </c>
      <c r="AB39" t="n">
        <v>2177.1</v>
      </c>
      <c r="AC39" t="n">
        <v>2236.3</v>
      </c>
      <c r="AD39" t="n">
        <v>2349.6</v>
      </c>
      <c r="AE39" t="n">
        <v>2442.6</v>
      </c>
      <c r="AF39" t="n">
        <v>2590.7</v>
      </c>
    </row>
    <row r="40">
      <c r="A40" t="s">
        <v>126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2005.6</v>
      </c>
      <c r="H40" t="n">
        <v>2079.2</v>
      </c>
      <c r="I40" t="n">
        <v>2152.7</v>
      </c>
      <c r="J40" t="n">
        <v>2243</v>
      </c>
      <c r="K40" t="n">
        <v>2278.5</v>
      </c>
      <c r="L40" t="n">
        <v>2380.6</v>
      </c>
      <c r="M40" t="n">
        <v>2627.5</v>
      </c>
      <c r="N40" t="n">
        <v>2729.2</v>
      </c>
      <c r="O40" t="n">
        <v>2699.9</v>
      </c>
      <c r="P40" t="n">
        <v>3010.4</v>
      </c>
      <c r="Q40" t="n">
        <v>3073.9</v>
      </c>
      <c r="R40" t="n">
        <v>3281.4</v>
      </c>
      <c r="S40" t="n">
        <v>3521.2</v>
      </c>
      <c r="T40" t="n">
        <v>3388.1</v>
      </c>
      <c r="U40" t="n">
        <v>3459.9</v>
      </c>
      <c r="V40" t="n">
        <v>3463.8</v>
      </c>
      <c r="W40" t="n">
        <v>3559.9</v>
      </c>
      <c r="X40" t="n">
        <v>3395.5</v>
      </c>
      <c r="Y40" t="n">
        <v>3244.8</v>
      </c>
      <c r="Z40" t="n">
        <v>3031.4</v>
      </c>
      <c r="AA40" t="n">
        <v>3086.1</v>
      </c>
      <c r="AB40" t="n">
        <v>2794.7</v>
      </c>
      <c r="AC40" t="n">
        <v>2947.5</v>
      </c>
      <c r="AD40" t="n">
        <v>2902.5</v>
      </c>
      <c r="AE40" t="n">
        <v>2872.6</v>
      </c>
      <c r="AF40" t="n">
        <v>2913.7</v>
      </c>
    </row>
    <row r="41">
      <c r="A41" t="s">
        <v>126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126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5596.5</v>
      </c>
      <c r="H42" t="n">
        <v>5807</v>
      </c>
      <c r="I42" t="n">
        <v>5930.5</v>
      </c>
      <c r="J42" t="n">
        <v>6109</v>
      </c>
      <c r="K42" t="n">
        <v>6405.4</v>
      </c>
      <c r="L42" t="n">
        <v>6927.2</v>
      </c>
      <c r="M42" t="n">
        <v>7283.5</v>
      </c>
      <c r="N42" t="n">
        <v>7555.8</v>
      </c>
      <c r="O42" t="n">
        <v>7731.8</v>
      </c>
      <c r="P42" t="n">
        <v>8006</v>
      </c>
      <c r="Q42" t="n">
        <v>8285.5</v>
      </c>
      <c r="R42" t="n">
        <v>8881.1</v>
      </c>
      <c r="S42" t="n">
        <v>9446.1</v>
      </c>
      <c r="T42" t="n">
        <v>9404.9</v>
      </c>
      <c r="U42" t="n">
        <v>9457.8</v>
      </c>
      <c r="V42" t="n">
        <v>9336.7</v>
      </c>
      <c r="W42" t="n">
        <v>9389.7</v>
      </c>
      <c r="X42" t="n">
        <v>9823.6</v>
      </c>
      <c r="Y42" t="n">
        <v>9751.3</v>
      </c>
      <c r="Z42" t="n">
        <v>9549.4</v>
      </c>
      <c r="AA42" t="n">
        <v>9240.6</v>
      </c>
      <c r="AB42" t="n">
        <v>8620</v>
      </c>
      <c r="AC42" t="n">
        <v>8581.8</v>
      </c>
      <c r="AD42" t="n">
        <v>8334.9</v>
      </c>
      <c r="AE42" t="n">
        <v>8328.8</v>
      </c>
      <c r="AF42" t="n">
        <v>8427</v>
      </c>
    </row>
    <row r="43">
      <c r="A43" t="s">
        <v>126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10943.3</v>
      </c>
      <c r="H43" t="n">
        <v>11358.6</v>
      </c>
      <c r="I43" t="n">
        <v>11604.1</v>
      </c>
      <c r="J43" t="n">
        <v>11997.5</v>
      </c>
      <c r="K43" t="n">
        <v>12271.7</v>
      </c>
      <c r="L43" t="n">
        <v>13336.4</v>
      </c>
      <c r="M43" t="n">
        <v>14116.5</v>
      </c>
      <c r="N43" t="n">
        <v>14653.5</v>
      </c>
      <c r="O43" t="n">
        <v>15204.1</v>
      </c>
      <c r="P43" t="n">
        <v>15683.6</v>
      </c>
      <c r="Q43" t="n">
        <v>16037.3</v>
      </c>
      <c r="R43" t="n">
        <v>17274.7</v>
      </c>
      <c r="S43" t="n">
        <v>18170.6</v>
      </c>
      <c r="T43" t="n">
        <v>18477.3</v>
      </c>
      <c r="U43" t="n">
        <v>18576.8</v>
      </c>
      <c r="V43" t="n">
        <v>18491.3</v>
      </c>
      <c r="W43" t="n">
        <v>18757.1</v>
      </c>
      <c r="X43" t="n">
        <v>19104.6</v>
      </c>
      <c r="Y43" t="n">
        <v>18618.3</v>
      </c>
      <c r="Z43" t="n">
        <v>18404.4</v>
      </c>
      <c r="AA43" t="n">
        <v>18073.9</v>
      </c>
      <c r="AB43" t="n">
        <v>16770.7</v>
      </c>
      <c r="AC43" t="n">
        <v>16653.4</v>
      </c>
      <c r="AD43" t="n">
        <v>16128</v>
      </c>
      <c r="AE43" t="n">
        <v>16440.7</v>
      </c>
      <c r="AF43" t="n">
        <v>16583.6</v>
      </c>
    </row>
    <row r="44">
      <c r="A44" t="s">
        <v>126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288980.1</v>
      </c>
      <c r="H44" t="n">
        <v>301018.7</v>
      </c>
      <c r="I44" t="n">
        <v>313090.4</v>
      </c>
      <c r="J44" t="n">
        <v>324853.8</v>
      </c>
      <c r="K44" t="n">
        <v>335889.2</v>
      </c>
      <c r="L44" t="n">
        <v>355539.1</v>
      </c>
      <c r="M44" t="n">
        <v>375727.6</v>
      </c>
      <c r="N44" t="n">
        <v>388756.6</v>
      </c>
      <c r="O44" t="n">
        <v>397661.9</v>
      </c>
      <c r="P44" t="n">
        <v>413884.8</v>
      </c>
      <c r="Q44" t="n">
        <v>426742.5</v>
      </c>
      <c r="R44" t="n">
        <v>453387.3</v>
      </c>
      <c r="S44" t="n">
        <v>471828.7</v>
      </c>
      <c r="T44" t="n">
        <v>480312.1</v>
      </c>
      <c r="U44" t="n">
        <v>481311.9</v>
      </c>
      <c r="V44" t="n">
        <v>484316.9</v>
      </c>
      <c r="W44" t="n">
        <v>487022.3</v>
      </c>
      <c r="X44" t="n">
        <v>491680.1</v>
      </c>
      <c r="Y44" t="n">
        <v>477856.1</v>
      </c>
      <c r="Z44" t="n">
        <v>474362.4</v>
      </c>
      <c r="AA44" t="n">
        <v>478509.1</v>
      </c>
      <c r="AB44" t="n">
        <v>472530.9</v>
      </c>
      <c r="AC44" t="n">
        <v>486746.3</v>
      </c>
      <c r="AD44" t="n">
        <v>490696.6</v>
      </c>
      <c r="AE44" t="n">
        <v>496795.7</v>
      </c>
      <c r="AF44" t="n">
        <v>501110.5</v>
      </c>
    </row>
    <row r="45">
      <c r="A45" t="s">
        <v>126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270719.2</v>
      </c>
      <c r="H45" t="n">
        <v>281488.9</v>
      </c>
      <c r="I45" t="n">
        <v>292383.5</v>
      </c>
      <c r="J45" t="n">
        <v>303300.3</v>
      </c>
      <c r="K45" t="n">
        <v>313241.5</v>
      </c>
      <c r="L45" t="n">
        <v>331684.7</v>
      </c>
      <c r="M45" t="n">
        <v>350528.6</v>
      </c>
      <c r="N45" t="n">
        <v>362662</v>
      </c>
      <c r="O45" t="n">
        <v>370684.6</v>
      </c>
      <c r="P45" t="n">
        <v>385417.2</v>
      </c>
      <c r="Q45" t="n">
        <v>396989.4</v>
      </c>
      <c r="R45" t="n">
        <v>422085.4</v>
      </c>
      <c r="S45" t="n">
        <v>439489</v>
      </c>
      <c r="T45" t="n">
        <v>447744.6</v>
      </c>
      <c r="U45" t="n">
        <v>447987.5</v>
      </c>
      <c r="V45" t="n">
        <v>451065.4</v>
      </c>
      <c r="W45" t="n">
        <v>453502.5</v>
      </c>
      <c r="X45" t="n">
        <v>457886</v>
      </c>
      <c r="Y45" t="n">
        <v>444878.7</v>
      </c>
      <c r="Z45" t="n">
        <v>441742</v>
      </c>
      <c r="AA45" t="n">
        <v>445604</v>
      </c>
      <c r="AB45" t="n">
        <v>439250.2</v>
      </c>
      <c r="AC45" t="n">
        <v>451847.6</v>
      </c>
      <c r="AD45" t="n">
        <v>454205</v>
      </c>
      <c r="AE45" t="n">
        <v>459147.1</v>
      </c>
      <c r="AF45" t="n">
        <v>462428.7</v>
      </c>
    </row>
    <row r="46">
      <c r="A46" t="s">
        <v>126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5346.8</v>
      </c>
      <c r="H46" t="n">
        <v>5551.6</v>
      </c>
      <c r="I46" t="n">
        <v>5673.6</v>
      </c>
      <c r="J46" t="n">
        <v>5888.5</v>
      </c>
      <c r="K46" t="n">
        <v>5866.3</v>
      </c>
      <c r="L46" t="n">
        <v>6409.2</v>
      </c>
      <c r="M46" t="n">
        <v>6833</v>
      </c>
      <c r="N46" t="n">
        <v>7097.7</v>
      </c>
      <c r="O46" t="n">
        <v>7472.3</v>
      </c>
      <c r="P46" t="n">
        <v>7677.6</v>
      </c>
      <c r="Q46" t="n">
        <v>7751.8</v>
      </c>
      <c r="R46" t="n">
        <v>8393.6</v>
      </c>
      <c r="S46" t="n">
        <v>8724.5</v>
      </c>
      <c r="T46" t="n">
        <v>9072.4</v>
      </c>
      <c r="U46" t="n">
        <v>9119</v>
      </c>
      <c r="V46" t="n">
        <v>9154.6</v>
      </c>
      <c r="W46" t="n">
        <v>9367.4</v>
      </c>
      <c r="X46" t="n">
        <v>9281</v>
      </c>
      <c r="Y46" t="n">
        <v>8867</v>
      </c>
      <c r="Z46" t="n">
        <v>8855</v>
      </c>
      <c r="AA46" t="n">
        <v>8833.3</v>
      </c>
      <c r="AB46" t="n">
        <v>8150.7</v>
      </c>
      <c r="AC46" t="n">
        <v>8071.6</v>
      </c>
      <c r="AD46" t="n">
        <v>7793.1</v>
      </c>
      <c r="AE46" t="n">
        <v>8111.9</v>
      </c>
      <c r="AF46" t="n">
        <v>8156.6</v>
      </c>
    </row>
    <row r="47">
      <c r="A47" t="s">
        <v>126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32971.8</v>
      </c>
      <c r="H47" t="n">
        <v>33756.4</v>
      </c>
      <c r="I47" t="n">
        <v>34343.6</v>
      </c>
      <c r="J47" t="n">
        <v>34976.1</v>
      </c>
      <c r="K47" t="n">
        <v>35858.3</v>
      </c>
      <c r="L47" t="n">
        <v>38574.6</v>
      </c>
      <c r="M47" t="n">
        <v>40796.8</v>
      </c>
      <c r="N47" t="n">
        <v>42318.5</v>
      </c>
      <c r="O47" t="n">
        <v>43214.3</v>
      </c>
      <c r="P47" t="n">
        <v>43288.4</v>
      </c>
      <c r="Q47" t="n">
        <v>43493.4</v>
      </c>
      <c r="R47" t="n">
        <v>44369.1</v>
      </c>
      <c r="S47" t="n">
        <v>45478.8</v>
      </c>
      <c r="T47" t="n">
        <v>51225.8</v>
      </c>
      <c r="U47" t="n">
        <v>50486.5</v>
      </c>
      <c r="V47" t="n">
        <v>52350.9</v>
      </c>
      <c r="W47" t="n">
        <v>53104.2</v>
      </c>
      <c r="X47" t="n">
        <v>52601.9</v>
      </c>
      <c r="Y47" t="n">
        <v>51452.9</v>
      </c>
      <c r="Z47" t="n">
        <v>50918.3</v>
      </c>
      <c r="AA47" t="n">
        <v>51588.6</v>
      </c>
      <c r="AB47" t="n">
        <v>51528.2</v>
      </c>
      <c r="AC47" t="n">
        <v>52249</v>
      </c>
      <c r="AD47" t="n">
        <v>54431.2</v>
      </c>
      <c r="AE47" t="n">
        <v>56420.7</v>
      </c>
      <c r="AF47" t="n">
        <v>53641.4</v>
      </c>
    </row>
    <row r="48">
      <c r="A48" t="s">
        <v>126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44462.9</v>
      </c>
      <c r="H48" t="n">
        <v>45520.9</v>
      </c>
      <c r="I48" t="n">
        <v>46588.4</v>
      </c>
      <c r="J48" t="n">
        <v>47599.6</v>
      </c>
      <c r="K48" t="n">
        <v>48863.5</v>
      </c>
      <c r="L48" t="n">
        <v>52643</v>
      </c>
      <c r="M48" t="n">
        <v>55672.6</v>
      </c>
      <c r="N48" t="n">
        <v>57906</v>
      </c>
      <c r="O48" t="n">
        <v>59248</v>
      </c>
      <c r="P48" t="n">
        <v>60057.2</v>
      </c>
      <c r="Q48" t="n">
        <v>61057.3</v>
      </c>
      <c r="R48" t="n">
        <v>63052.7</v>
      </c>
      <c r="S48" t="n">
        <v>64618.2</v>
      </c>
      <c r="T48" t="n">
        <v>71079.6</v>
      </c>
      <c r="U48" t="n">
        <v>71535.6</v>
      </c>
      <c r="V48" t="n">
        <v>73510.8</v>
      </c>
      <c r="W48" t="n">
        <v>73488.8</v>
      </c>
      <c r="X48" t="n">
        <v>72921.6</v>
      </c>
      <c r="Y48" t="n">
        <v>70664.8</v>
      </c>
      <c r="Z48" t="n">
        <v>69459.8</v>
      </c>
      <c r="AA48" t="n">
        <v>70110.6</v>
      </c>
      <c r="AB48" t="n">
        <v>70571.8</v>
      </c>
      <c r="AC48" t="n">
        <v>72203.2</v>
      </c>
      <c r="AD48" t="n">
        <v>75625.2</v>
      </c>
      <c r="AE48" t="n">
        <v>79340.4</v>
      </c>
      <c r="AF48" t="n">
        <v>78564.4</v>
      </c>
    </row>
    <row r="49">
      <c r="A49" t="s">
        <v>126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2464</v>
      </c>
      <c r="H49" t="n">
        <v>2701</v>
      </c>
      <c r="I49" t="n">
        <v>2932</v>
      </c>
      <c r="J49" t="n">
        <v>3040.9</v>
      </c>
      <c r="K49" t="n">
        <v>3120.3</v>
      </c>
      <c r="L49" t="n">
        <v>3431.9</v>
      </c>
      <c r="M49" t="n">
        <v>3828.2</v>
      </c>
      <c r="N49" t="n">
        <v>4038.5</v>
      </c>
      <c r="O49" t="n">
        <v>4210.3</v>
      </c>
      <c r="P49" t="n">
        <v>4342.5</v>
      </c>
      <c r="Q49" t="n">
        <v>4658.1</v>
      </c>
      <c r="R49" t="n">
        <v>4901.5</v>
      </c>
      <c r="S49" t="n">
        <v>4980.3</v>
      </c>
      <c r="T49" t="n">
        <v>5178.5</v>
      </c>
      <c r="U49" t="n">
        <v>5178.9</v>
      </c>
      <c r="V49" t="n">
        <v>5243.9</v>
      </c>
      <c r="W49" t="n">
        <v>4929.5</v>
      </c>
      <c r="X49" t="n">
        <v>4735.7</v>
      </c>
      <c r="Y49" t="n">
        <v>4589.1</v>
      </c>
      <c r="Z49" t="n">
        <v>3974.6</v>
      </c>
      <c r="AA49" t="n">
        <v>3715.6</v>
      </c>
      <c r="AB49" t="n">
        <v>3085.7</v>
      </c>
      <c r="AC49" t="n">
        <v>2982.9</v>
      </c>
      <c r="AD49" t="n">
        <v>2904.2</v>
      </c>
      <c r="AE49" t="n">
        <v>2798.5</v>
      </c>
      <c r="AF49" t="n">
        <v>3255</v>
      </c>
    </row>
    <row r="50">
      <c r="A50" t="s">
        <v>126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9027.1</v>
      </c>
      <c r="H50" t="n">
        <v>9063.6</v>
      </c>
      <c r="I50" t="n">
        <v>9312.8</v>
      </c>
      <c r="J50" t="n">
        <v>9582.6</v>
      </c>
      <c r="K50" t="n">
        <v>9884.8</v>
      </c>
      <c r="L50" t="n">
        <v>10636.4</v>
      </c>
      <c r="M50" t="n">
        <v>11047.7</v>
      </c>
      <c r="N50" t="n">
        <v>11549</v>
      </c>
      <c r="O50" t="n">
        <v>11823.4</v>
      </c>
      <c r="P50" t="n">
        <v>12426.4</v>
      </c>
      <c r="Q50" t="n">
        <v>12905.8</v>
      </c>
      <c r="R50" t="n">
        <v>13782.1</v>
      </c>
      <c r="S50" t="n">
        <v>14159.1</v>
      </c>
      <c r="T50" t="n">
        <v>14675.2</v>
      </c>
      <c r="U50" t="n">
        <v>15870.2</v>
      </c>
      <c r="V50" t="n">
        <v>15915.9</v>
      </c>
      <c r="W50" t="n">
        <v>15455.2</v>
      </c>
      <c r="X50" t="n">
        <v>15584</v>
      </c>
      <c r="Y50" t="n">
        <v>14622.7</v>
      </c>
      <c r="Z50" t="n">
        <v>14566.9</v>
      </c>
      <c r="AA50" t="n">
        <v>14806.5</v>
      </c>
      <c r="AB50" t="n">
        <v>15957.9</v>
      </c>
      <c r="AC50" t="n">
        <v>16971.5</v>
      </c>
      <c r="AD50" t="n">
        <v>18289.8</v>
      </c>
      <c r="AE50" t="n">
        <v>20121.2</v>
      </c>
      <c r="AF50" t="n">
        <v>21667.9</v>
      </c>
    </row>
    <row r="51">
      <c r="A51" t="s">
        <v>126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8107</v>
      </c>
      <c r="H51" t="n">
        <v>8114.3</v>
      </c>
      <c r="I51" t="n">
        <v>8323.5</v>
      </c>
      <c r="J51" t="n">
        <v>8542.2</v>
      </c>
      <c r="K51" t="n">
        <v>8803.4</v>
      </c>
      <c r="L51" t="n">
        <v>9485.3</v>
      </c>
      <c r="M51" t="n">
        <v>9856.4</v>
      </c>
      <c r="N51" t="n">
        <v>10320.2</v>
      </c>
      <c r="O51" t="n">
        <v>10555</v>
      </c>
      <c r="P51" t="n">
        <v>11110.4</v>
      </c>
      <c r="Q51" t="n">
        <v>11566</v>
      </c>
      <c r="R51" t="n">
        <v>12322.7</v>
      </c>
      <c r="S51" t="n">
        <v>12681.2</v>
      </c>
      <c r="T51" t="n">
        <v>13226.6</v>
      </c>
      <c r="U51" t="n">
        <v>14377.6</v>
      </c>
      <c r="V51" t="n">
        <v>14403.9</v>
      </c>
      <c r="W51" t="n">
        <v>13947.3</v>
      </c>
      <c r="X51" t="n">
        <v>14063.5</v>
      </c>
      <c r="Y51" t="n">
        <v>13240.2</v>
      </c>
      <c r="Z51" t="n">
        <v>13276.2</v>
      </c>
      <c r="AA51" t="n">
        <v>13540.4</v>
      </c>
      <c r="AB51" t="n">
        <v>14804.6</v>
      </c>
      <c r="AC51" t="n">
        <v>15832.8</v>
      </c>
      <c r="AD51" t="n">
        <v>17120.5</v>
      </c>
      <c r="AE51" t="n">
        <v>18933.7</v>
      </c>
      <c r="AF51"/>
    </row>
    <row r="52">
      <c r="A52" t="s">
        <v>126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920.1</v>
      </c>
      <c r="H52" t="n">
        <v>949.3</v>
      </c>
      <c r="I52" t="n">
        <v>989.3</v>
      </c>
      <c r="J52" t="n">
        <v>1040.4</v>
      </c>
      <c r="K52" t="n">
        <v>1081.4</v>
      </c>
      <c r="L52" t="n">
        <v>1151.1</v>
      </c>
      <c r="M52" t="n">
        <v>1191.3</v>
      </c>
      <c r="N52" t="n">
        <v>1228.8</v>
      </c>
      <c r="O52" t="n">
        <v>1268.4</v>
      </c>
      <c r="P52" t="n">
        <v>1316</v>
      </c>
      <c r="Q52" t="n">
        <v>1339.8</v>
      </c>
      <c r="R52" t="n">
        <v>1459.4</v>
      </c>
      <c r="S52" t="n">
        <v>1477.9</v>
      </c>
      <c r="T52" t="n">
        <v>1448.6</v>
      </c>
      <c r="U52" t="n">
        <v>1492.6</v>
      </c>
      <c r="V52" t="n">
        <v>1512</v>
      </c>
      <c r="W52" t="n">
        <v>1507.9</v>
      </c>
      <c r="X52" t="n">
        <v>1520.5</v>
      </c>
      <c r="Y52" t="n">
        <v>1382.5</v>
      </c>
      <c r="Z52" t="n">
        <v>1290.7</v>
      </c>
      <c r="AA52" t="n">
        <v>1266.1</v>
      </c>
      <c r="AB52" t="n">
        <v>1153.3</v>
      </c>
      <c r="AC52" t="n">
        <v>1138.7</v>
      </c>
      <c r="AD52" t="n">
        <v>1169.3</v>
      </c>
      <c r="AE52" t="n">
        <v>1187.5</v>
      </c>
      <c r="AF52"/>
    </row>
    <row r="53">
      <c r="A53" t="s">
        <v>126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3371.3</v>
      </c>
      <c r="H53" t="n">
        <v>3900.8</v>
      </c>
      <c r="I53" t="n">
        <v>4338.6</v>
      </c>
      <c r="J53" t="n">
        <v>4686.2</v>
      </c>
      <c r="K53" t="n">
        <v>5018.9</v>
      </c>
      <c r="L53" t="n">
        <v>5507.8</v>
      </c>
      <c r="M53" t="n">
        <v>5988.2</v>
      </c>
      <c r="N53" t="n">
        <v>6216.4</v>
      </c>
      <c r="O53" t="n">
        <v>6472.2</v>
      </c>
      <c r="P53" t="n">
        <v>6867.6</v>
      </c>
      <c r="Q53" t="n">
        <v>7093.1</v>
      </c>
      <c r="R53" t="n">
        <v>7498.9</v>
      </c>
      <c r="S53" t="n">
        <v>7433.3</v>
      </c>
      <c r="T53" t="n">
        <v>7511.3</v>
      </c>
      <c r="U53" t="n">
        <v>8083.7</v>
      </c>
      <c r="V53" t="n">
        <v>7743</v>
      </c>
      <c r="W53" t="n">
        <v>6690</v>
      </c>
      <c r="X53" t="n">
        <v>7129.1</v>
      </c>
      <c r="Y53" t="n">
        <v>6809.6</v>
      </c>
      <c r="Z53" t="n">
        <v>6795.7</v>
      </c>
      <c r="AA53" t="n">
        <v>7010.3</v>
      </c>
      <c r="AB53" t="n">
        <v>6896</v>
      </c>
      <c r="AC53" t="n">
        <v>7319.3</v>
      </c>
      <c r="AD53" t="n">
        <v>7201.7</v>
      </c>
      <c r="AE53" t="n">
        <v>7330.6</v>
      </c>
      <c r="AF53" t="n">
        <v>7192.7</v>
      </c>
    </row>
    <row r="54">
      <c r="A54" t="s">
        <v>126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5638</v>
      </c>
      <c r="H54" t="n">
        <v>6454.9</v>
      </c>
      <c r="I54" t="n">
        <v>7137.2</v>
      </c>
      <c r="J54" t="n">
        <v>7657.3</v>
      </c>
      <c r="K54" t="n">
        <v>8181.9</v>
      </c>
      <c r="L54" t="n">
        <v>8903.9</v>
      </c>
      <c r="M54" t="n">
        <v>9649.7</v>
      </c>
      <c r="N54" t="n">
        <v>10061.9</v>
      </c>
      <c r="O54" t="n">
        <v>10375.1</v>
      </c>
      <c r="P54" t="n">
        <v>11015</v>
      </c>
      <c r="Q54" t="n">
        <v>11450.8</v>
      </c>
      <c r="R54" t="n">
        <v>12072.3</v>
      </c>
      <c r="S54" t="n">
        <v>12393.9</v>
      </c>
      <c r="T54" t="n">
        <v>12380.1</v>
      </c>
      <c r="U54" t="n">
        <v>13016.6</v>
      </c>
      <c r="V54" t="n">
        <v>12692.6</v>
      </c>
      <c r="W54" t="n">
        <v>11702</v>
      </c>
      <c r="X54" t="n">
        <v>12194.1</v>
      </c>
      <c r="Y54" t="n">
        <v>11619.3</v>
      </c>
      <c r="Z54" t="n">
        <v>11469.3</v>
      </c>
      <c r="AA54" t="n">
        <v>11833.1</v>
      </c>
      <c r="AB54" t="n">
        <v>11491.5</v>
      </c>
      <c r="AC54" t="n">
        <v>11896.4</v>
      </c>
      <c r="AD54" t="n">
        <v>11735.4</v>
      </c>
      <c r="AE54" t="n">
        <v>11716.6</v>
      </c>
      <c r="AF54" t="n">
        <v>11610.4</v>
      </c>
    </row>
    <row r="55">
      <c r="A55" t="s">
        <v>126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2266.7</v>
      </c>
      <c r="H55" t="n">
        <v>2554.1</v>
      </c>
      <c r="I55" t="n">
        <v>2798.6</v>
      </c>
      <c r="J55" t="n">
        <v>2971.1</v>
      </c>
      <c r="K55" t="n">
        <v>3163</v>
      </c>
      <c r="L55" t="n">
        <v>3396.1</v>
      </c>
      <c r="M55" t="n">
        <v>3661.5</v>
      </c>
      <c r="N55" t="n">
        <v>3845.5</v>
      </c>
      <c r="O55" t="n">
        <v>3902.9</v>
      </c>
      <c r="P55" t="n">
        <v>4147.4</v>
      </c>
      <c r="Q55" t="n">
        <v>4357.7</v>
      </c>
      <c r="R55" t="n">
        <v>4573.4</v>
      </c>
      <c r="S55" t="n">
        <v>4960.6</v>
      </c>
      <c r="T55" t="n">
        <v>4868.8</v>
      </c>
      <c r="U55" t="n">
        <v>4932.9</v>
      </c>
      <c r="V55" t="n">
        <v>4949.6</v>
      </c>
      <c r="W55" t="n">
        <v>5012</v>
      </c>
      <c r="X55" t="n">
        <v>5065</v>
      </c>
      <c r="Y55" t="n">
        <v>4809.7</v>
      </c>
      <c r="Z55" t="n">
        <v>4673.6</v>
      </c>
      <c r="AA55" t="n">
        <v>4822.8</v>
      </c>
      <c r="AB55" t="n">
        <v>4595.5</v>
      </c>
      <c r="AC55" t="n">
        <v>4577.1</v>
      </c>
      <c r="AD55" t="n">
        <v>4533.7</v>
      </c>
      <c r="AE55" t="n">
        <v>4386</v>
      </c>
      <c r="AF55" t="n">
        <v>4417.7</v>
      </c>
    </row>
    <row r="56">
      <c r="A56" t="s">
        <v>126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126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335448.6</v>
      </c>
      <c r="H57" t="n">
        <v>348618.9</v>
      </c>
      <c r="I57" t="n">
        <v>361831.5</v>
      </c>
      <c r="J57" t="n">
        <v>374696.4</v>
      </c>
      <c r="K57" t="n">
        <v>387031.1</v>
      </c>
      <c r="L57" t="n">
        <v>410562.6</v>
      </c>
      <c r="M57" t="n">
        <v>434027.8</v>
      </c>
      <c r="N57" t="n">
        <v>449391.8</v>
      </c>
      <c r="O57" t="n">
        <v>459609.8</v>
      </c>
      <c r="P57" t="n">
        <v>476952.5</v>
      </c>
      <c r="Q57" t="n">
        <v>490873.7</v>
      </c>
      <c r="R57" t="n">
        <v>519721.4</v>
      </c>
      <c r="S57" t="n">
        <v>539968.1</v>
      </c>
      <c r="T57" t="n">
        <v>554779.7</v>
      </c>
      <c r="U57" t="n">
        <v>556307.4</v>
      </c>
      <c r="V57" t="n">
        <v>561291.4</v>
      </c>
      <c r="W57" t="n">
        <v>564071.1</v>
      </c>
      <c r="X57" t="n">
        <v>567997.2</v>
      </c>
      <c r="Y57" t="n">
        <v>551765.6</v>
      </c>
      <c r="Z57" t="n">
        <v>546853.6</v>
      </c>
      <c r="AA57" t="n">
        <v>551705.9</v>
      </c>
      <c r="AB57" t="n">
        <v>545897.4</v>
      </c>
      <c r="AC57" t="n">
        <v>561897.2</v>
      </c>
      <c r="AD57" t="n">
        <v>569224.3</v>
      </c>
      <c r="AE57" t="n">
        <v>579008.7</v>
      </c>
      <c r="AF57" t="n">
        <v>582588.5</v>
      </c>
    </row>
    <row r="58">
      <c r="A58" t="s">
        <v>126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335448.6</v>
      </c>
      <c r="H58" t="n">
        <v>348618.9</v>
      </c>
      <c r="I58" t="n">
        <v>361831.5</v>
      </c>
      <c r="J58" t="n">
        <v>374696.4</v>
      </c>
      <c r="K58" t="n">
        <v>387031.1</v>
      </c>
      <c r="L58" t="n">
        <v>410562.6</v>
      </c>
      <c r="M58" t="n">
        <v>434027.8</v>
      </c>
      <c r="N58" t="n">
        <v>449391.8</v>
      </c>
      <c r="O58" t="n">
        <v>459609.8</v>
      </c>
      <c r="P58" t="n">
        <v>476952.5</v>
      </c>
      <c r="Q58" t="n">
        <v>490873.7</v>
      </c>
      <c r="R58" t="n">
        <v>519721.4</v>
      </c>
      <c r="S58" t="n">
        <v>539968.1</v>
      </c>
      <c r="T58" t="n">
        <v>554779.7</v>
      </c>
      <c r="U58" t="n">
        <v>556307.4</v>
      </c>
      <c r="V58" t="n">
        <v>561291.4</v>
      </c>
      <c r="W58" t="n">
        <v>564071.1</v>
      </c>
      <c r="X58" t="n">
        <v>567997.2</v>
      </c>
      <c r="Y58" t="n">
        <v>551765.6</v>
      </c>
      <c r="Z58" t="n">
        <v>546853.6</v>
      </c>
      <c r="AA58" t="n">
        <v>551705.9</v>
      </c>
      <c r="AB58" t="n">
        <v>545897.4</v>
      </c>
      <c r="AC58" t="n">
        <v>561897.2</v>
      </c>
      <c r="AD58" t="n">
        <v>569224.3</v>
      </c>
      <c r="AE58" t="n">
        <v>579008.7</v>
      </c>
      <c r="AF58" t="n">
        <v>582588.5</v>
      </c>
    </row>
    <row r="59">
      <c r="A59" t="s">
        <v>126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128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106035.1</v>
      </c>
      <c r="H2" t="n">
        <v>106346.5</v>
      </c>
      <c r="I2" t="n">
        <v>107410.5</v>
      </c>
      <c r="J2" t="n">
        <v>108193.4</v>
      </c>
      <c r="K2" t="n">
        <v>107598.9</v>
      </c>
      <c r="L2" t="n">
        <v>109781.7</v>
      </c>
      <c r="M2" t="n">
        <v>111066.5</v>
      </c>
      <c r="N2" t="n">
        <v>113339.4</v>
      </c>
      <c r="O2" t="n">
        <v>114636.6</v>
      </c>
      <c r="P2" t="n">
        <v>117923.2</v>
      </c>
      <c r="Q2" t="n">
        <v>121519.7</v>
      </c>
      <c r="R2" t="n">
        <v>123550.4</v>
      </c>
      <c r="S2" t="n">
        <v>125798.6</v>
      </c>
      <c r="T2" t="n">
        <v>127487.6</v>
      </c>
      <c r="U2" t="n">
        <v>126360</v>
      </c>
      <c r="V2" t="n">
        <v>127912.1</v>
      </c>
      <c r="W2" t="n">
        <v>130543</v>
      </c>
      <c r="X2" t="n">
        <v>127353.9</v>
      </c>
      <c r="Y2" t="n">
        <v>122824.3</v>
      </c>
      <c r="Z2" t="n">
        <v>118690.5</v>
      </c>
      <c r="AA2" t="n">
        <v>114879.5</v>
      </c>
      <c r="AB2" t="n">
        <v>112010</v>
      </c>
      <c r="AC2" t="n">
        <v>110328.3</v>
      </c>
      <c r="AD2" t="n">
        <v>109979.8</v>
      </c>
      <c r="AE2" t="n">
        <v>107829.8</v>
      </c>
      <c r="AF2" t="n">
        <v>105824.6</v>
      </c>
    </row>
    <row r="3">
      <c r="A3" t="s">
        <v>128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12720.4</v>
      </c>
      <c r="H3" t="n">
        <v>13191.8</v>
      </c>
      <c r="I3" t="n">
        <v>13823.4</v>
      </c>
      <c r="J3" t="n">
        <v>14306.1</v>
      </c>
      <c r="K3" t="n">
        <v>14795.1</v>
      </c>
      <c r="L3" t="n">
        <v>15836</v>
      </c>
      <c r="M3" t="n">
        <v>16480.1</v>
      </c>
      <c r="N3" t="n">
        <v>17425.2</v>
      </c>
      <c r="O3" t="n">
        <v>18483.8</v>
      </c>
      <c r="P3" t="n">
        <v>19831.8</v>
      </c>
      <c r="Q3" t="n">
        <v>21007.6</v>
      </c>
      <c r="R3" t="n">
        <v>22074.2</v>
      </c>
      <c r="S3" t="n">
        <v>22974.8</v>
      </c>
      <c r="T3" t="n">
        <v>23862.8</v>
      </c>
      <c r="U3" t="n">
        <v>24533.8</v>
      </c>
      <c r="V3" t="n">
        <v>25627.1</v>
      </c>
      <c r="W3" t="n">
        <v>26816.1</v>
      </c>
      <c r="X3" t="n">
        <v>26840.4</v>
      </c>
      <c r="Y3" t="n">
        <v>27381.3</v>
      </c>
      <c r="Z3" t="n">
        <v>27671.9</v>
      </c>
      <c r="AA3" t="n">
        <v>26848.9</v>
      </c>
      <c r="AB3" t="n">
        <v>25963.3</v>
      </c>
      <c r="AC3" t="n">
        <v>26385.7</v>
      </c>
      <c r="AD3" t="n">
        <v>26687.1</v>
      </c>
      <c r="AE3" t="n">
        <v>26149.8</v>
      </c>
      <c r="AF3" t="n">
        <v>25668.6</v>
      </c>
    </row>
    <row r="4">
      <c r="A4" t="s">
        <v>128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86793.4</v>
      </c>
      <c r="H4" t="n">
        <v>88517.7</v>
      </c>
      <c r="I4" t="n">
        <v>90476.8</v>
      </c>
      <c r="J4" t="n">
        <v>92662.9</v>
      </c>
      <c r="K4" t="n">
        <v>93854.9</v>
      </c>
      <c r="L4" t="n">
        <v>97811.8</v>
      </c>
      <c r="M4" t="n">
        <v>101470.6</v>
      </c>
      <c r="N4" t="n">
        <v>105916.5</v>
      </c>
      <c r="O4" t="n">
        <v>109917.3</v>
      </c>
      <c r="P4" t="n">
        <v>115425.7</v>
      </c>
      <c r="Q4" t="n">
        <v>121089.8</v>
      </c>
      <c r="R4" t="n">
        <v>125519.3</v>
      </c>
      <c r="S4" t="n">
        <v>130349.8</v>
      </c>
      <c r="T4" t="n">
        <v>134294.1</v>
      </c>
      <c r="U4" t="n">
        <v>136086.5</v>
      </c>
      <c r="V4" t="n">
        <v>140038.1</v>
      </c>
      <c r="W4" t="n">
        <v>145023.8</v>
      </c>
      <c r="X4" t="n">
        <v>143012.8</v>
      </c>
      <c r="Y4" t="n">
        <v>139503.5</v>
      </c>
      <c r="Z4" t="n">
        <v>137197.1</v>
      </c>
      <c r="AA4" t="n">
        <v>135866.7</v>
      </c>
      <c r="AB4" t="n">
        <v>134292.4</v>
      </c>
      <c r="AC4" t="n">
        <v>133813.3</v>
      </c>
      <c r="AD4" t="n">
        <v>134048.9</v>
      </c>
      <c r="AE4" t="n">
        <v>132816.9</v>
      </c>
      <c r="AF4" t="n">
        <v>130629.9</v>
      </c>
    </row>
    <row r="5">
      <c r="A5" t="s">
        <v>128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6802</v>
      </c>
      <c r="H5" t="n">
        <v>6990.3</v>
      </c>
      <c r="I5" t="n">
        <v>7326</v>
      </c>
      <c r="J5" t="n">
        <v>7621.8</v>
      </c>
      <c r="K5" t="n">
        <v>7882.4</v>
      </c>
      <c r="L5" t="n">
        <v>8427.3</v>
      </c>
      <c r="M5" t="n">
        <v>8982.2</v>
      </c>
      <c r="N5" t="n">
        <v>9529.5</v>
      </c>
      <c r="O5" t="n">
        <v>10048.4</v>
      </c>
      <c r="P5" t="n">
        <v>10721.4</v>
      </c>
      <c r="Q5" t="n">
        <v>11484.3</v>
      </c>
      <c r="R5" t="n">
        <v>12064.9</v>
      </c>
      <c r="S5" t="n">
        <v>12684.9</v>
      </c>
      <c r="T5" t="n">
        <v>13095.3</v>
      </c>
      <c r="U5" t="n">
        <v>13438.9</v>
      </c>
      <c r="V5" t="n">
        <v>13977</v>
      </c>
      <c r="W5" t="n">
        <v>15081.2</v>
      </c>
      <c r="X5" t="n">
        <v>15237</v>
      </c>
      <c r="Y5" t="n">
        <v>15211.8</v>
      </c>
      <c r="Z5" t="n">
        <v>15355.5</v>
      </c>
      <c r="AA5" t="n">
        <v>15554.1</v>
      </c>
      <c r="AB5" t="n">
        <v>15672.6</v>
      </c>
      <c r="AC5" t="n">
        <v>15775.1</v>
      </c>
      <c r="AD5" t="n">
        <v>16165</v>
      </c>
      <c r="AE5" t="n">
        <v>16013</v>
      </c>
      <c r="AF5"/>
    </row>
    <row r="6">
      <c r="A6" t="s">
        <v>128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8043.9</v>
      </c>
      <c r="H6" t="n">
        <v>7921.7</v>
      </c>
      <c r="I6" t="n">
        <v>7856.6</v>
      </c>
      <c r="J6" t="n">
        <v>7746.4</v>
      </c>
      <c r="K6" t="n">
        <v>7542</v>
      </c>
      <c r="L6" t="n">
        <v>7532.2</v>
      </c>
      <c r="M6" t="n">
        <v>7502.6</v>
      </c>
      <c r="N6" t="n">
        <v>7554.4</v>
      </c>
      <c r="O6" t="n">
        <v>7541.3</v>
      </c>
      <c r="P6" t="n">
        <v>7618.2</v>
      </c>
      <c r="Q6" t="n">
        <v>7703.4</v>
      </c>
      <c r="R6" t="n">
        <v>7680.5</v>
      </c>
      <c r="S6" t="n">
        <v>7684</v>
      </c>
      <c r="T6" t="n">
        <v>7683.6</v>
      </c>
      <c r="U6" t="n">
        <v>7528.5</v>
      </c>
      <c r="V6" t="n">
        <v>7495.6</v>
      </c>
      <c r="W6" t="n">
        <v>7713.3</v>
      </c>
      <c r="X6" t="n">
        <v>7484.4</v>
      </c>
      <c r="Y6" t="n">
        <v>7232.5</v>
      </c>
      <c r="Z6" t="n">
        <v>6998.2</v>
      </c>
      <c r="AA6" t="n">
        <v>6791.9</v>
      </c>
      <c r="AB6" t="n">
        <v>6523.8</v>
      </c>
      <c r="AC6" t="n">
        <v>6447.3</v>
      </c>
      <c r="AD6" t="n">
        <v>6295.4</v>
      </c>
      <c r="AE6" t="n">
        <v>6048.7</v>
      </c>
      <c r="AF6"/>
    </row>
    <row r="7">
      <c r="A7" t="s">
        <v>128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6730.8</v>
      </c>
      <c r="H7" t="n">
        <v>6651.7</v>
      </c>
      <c r="I7" t="n">
        <v>6613.2</v>
      </c>
      <c r="J7" t="n">
        <v>6558.5</v>
      </c>
      <c r="K7" t="n">
        <v>6468.5</v>
      </c>
      <c r="L7" t="n">
        <v>6500.1</v>
      </c>
      <c r="M7" t="n">
        <v>6528.1</v>
      </c>
      <c r="N7" t="n">
        <v>6620.6</v>
      </c>
      <c r="O7" t="n">
        <v>6625.9</v>
      </c>
      <c r="P7" t="n">
        <v>6750.3</v>
      </c>
      <c r="Q7" t="n">
        <v>6890.3</v>
      </c>
      <c r="R7" t="n">
        <v>6936.8</v>
      </c>
      <c r="S7" t="n">
        <v>7027.9</v>
      </c>
      <c r="T7" t="n">
        <v>7049.4</v>
      </c>
      <c r="U7" t="n">
        <v>6997.2</v>
      </c>
      <c r="V7" t="n">
        <v>7057.3</v>
      </c>
      <c r="W7" t="n">
        <v>7134</v>
      </c>
      <c r="X7" t="n">
        <v>7006.1</v>
      </c>
      <c r="Y7" t="n">
        <v>6721.4</v>
      </c>
      <c r="Z7" t="n">
        <v>6596.7</v>
      </c>
      <c r="AA7" t="n">
        <v>6660.7</v>
      </c>
      <c r="AB7" t="n">
        <v>6645.6</v>
      </c>
      <c r="AC7" t="n">
        <v>6700.1</v>
      </c>
      <c r="AD7" t="n">
        <v>6591.4</v>
      </c>
      <c r="AE7" t="n">
        <v>6494.8</v>
      </c>
      <c r="AF7"/>
    </row>
    <row r="8">
      <c r="A8" t="s">
        <v>128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3764.5</v>
      </c>
      <c r="H8" t="n">
        <v>4460.6</v>
      </c>
      <c r="I8" t="n">
        <v>5236.1</v>
      </c>
      <c r="J8" t="n">
        <v>6235.3</v>
      </c>
      <c r="K8" t="n">
        <v>7170</v>
      </c>
      <c r="L8" t="n">
        <v>8492.9</v>
      </c>
      <c r="M8" t="n">
        <v>9505</v>
      </c>
      <c r="N8" t="n">
        <v>10782.3</v>
      </c>
      <c r="O8" t="n">
        <v>12261</v>
      </c>
      <c r="P8" t="n">
        <v>13922.2</v>
      </c>
      <c r="Q8" t="n">
        <v>15420.1</v>
      </c>
      <c r="R8" t="n">
        <v>16838</v>
      </c>
      <c r="S8" t="n">
        <v>18097</v>
      </c>
      <c r="T8" t="n">
        <v>19059.2</v>
      </c>
      <c r="U8" t="n">
        <v>19975.8</v>
      </c>
      <c r="V8" t="n">
        <v>21228.4</v>
      </c>
      <c r="W8" t="n">
        <v>22421.4</v>
      </c>
      <c r="X8" t="n">
        <v>22214.9</v>
      </c>
      <c r="Y8" t="n">
        <v>21717.9</v>
      </c>
      <c r="Z8" t="n">
        <v>21140.1</v>
      </c>
      <c r="AA8" t="n">
        <v>20763.3</v>
      </c>
      <c r="AB8" t="n">
        <v>20881.1</v>
      </c>
      <c r="AC8" t="n">
        <v>21099.9</v>
      </c>
      <c r="AD8" t="n">
        <v>21472.4</v>
      </c>
      <c r="AE8" t="n">
        <v>21069.8</v>
      </c>
      <c r="AF8"/>
    </row>
    <row r="9">
      <c r="A9" t="s">
        <v>128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6823.4</v>
      </c>
      <c r="H9" t="n">
        <v>6860.6</v>
      </c>
      <c r="I9" t="n">
        <v>6925</v>
      </c>
      <c r="J9" t="n">
        <v>6993.9</v>
      </c>
      <c r="K9" t="n">
        <v>7049.1</v>
      </c>
      <c r="L9" t="n">
        <v>7287.6</v>
      </c>
      <c r="M9" t="n">
        <v>7504.2</v>
      </c>
      <c r="N9" t="n">
        <v>7851</v>
      </c>
      <c r="O9" t="n">
        <v>8054.2</v>
      </c>
      <c r="P9" t="n">
        <v>8357</v>
      </c>
      <c r="Q9" t="n">
        <v>8715.8</v>
      </c>
      <c r="R9" t="n">
        <v>8991.9</v>
      </c>
      <c r="S9" t="n">
        <v>9313.2</v>
      </c>
      <c r="T9" t="n">
        <v>9553.1</v>
      </c>
      <c r="U9" t="n">
        <v>9657.2</v>
      </c>
      <c r="V9" t="n">
        <v>9912</v>
      </c>
      <c r="W9" t="n">
        <v>10163.3</v>
      </c>
      <c r="X9" t="n">
        <v>9828.8</v>
      </c>
      <c r="Y9" t="n">
        <v>9423.2</v>
      </c>
      <c r="Z9" t="n">
        <v>9239</v>
      </c>
      <c r="AA9" t="n">
        <v>8987.5</v>
      </c>
      <c r="AB9" t="n">
        <v>8678.2</v>
      </c>
      <c r="AC9" t="n">
        <v>8406</v>
      </c>
      <c r="AD9" t="n">
        <v>8163.5</v>
      </c>
      <c r="AE9" t="n">
        <v>7905</v>
      </c>
      <c r="AF9"/>
    </row>
    <row r="10">
      <c r="A10" t="s">
        <v>128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7804.3</v>
      </c>
      <c r="H10" t="n">
        <v>7867.4</v>
      </c>
      <c r="I10" t="n">
        <v>7978.1</v>
      </c>
      <c r="J10" t="n">
        <v>8085.8</v>
      </c>
      <c r="K10" t="n">
        <v>8180.6</v>
      </c>
      <c r="L10" t="n">
        <v>8486.1</v>
      </c>
      <c r="M10" t="n">
        <v>8774.8</v>
      </c>
      <c r="N10" t="n">
        <v>9201.8</v>
      </c>
      <c r="O10" t="n">
        <v>9496.2</v>
      </c>
      <c r="P10" t="n">
        <v>9886.8</v>
      </c>
      <c r="Q10" t="n">
        <v>10339.7</v>
      </c>
      <c r="R10" t="n">
        <v>10704.7</v>
      </c>
      <c r="S10" t="n">
        <v>11114.2</v>
      </c>
      <c r="T10" t="n">
        <v>11453.2</v>
      </c>
      <c r="U10" t="n">
        <v>11611</v>
      </c>
      <c r="V10" t="n">
        <v>11947.2</v>
      </c>
      <c r="W10" t="n">
        <v>12294.2</v>
      </c>
      <c r="X10" t="n">
        <v>11976.4</v>
      </c>
      <c r="Y10" t="n">
        <v>11572.6</v>
      </c>
      <c r="Z10" t="n">
        <v>11377</v>
      </c>
      <c r="AA10" t="n">
        <v>11091.8</v>
      </c>
      <c r="AB10" t="n">
        <v>10762.8</v>
      </c>
      <c r="AC10" t="n">
        <v>10468.4</v>
      </c>
      <c r="AD10" t="n">
        <v>10206.2</v>
      </c>
      <c r="AE10" t="n">
        <v>9920.8</v>
      </c>
      <c r="AF10"/>
    </row>
    <row r="11">
      <c r="A11" t="s">
        <v>128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980.9</v>
      </c>
      <c r="H11" t="n">
        <v>1006.8</v>
      </c>
      <c r="I11" t="n">
        <v>1053.1</v>
      </c>
      <c r="J11" t="n">
        <v>1091.9</v>
      </c>
      <c r="K11" t="n">
        <v>1131.5</v>
      </c>
      <c r="L11" t="n">
        <v>1198.5</v>
      </c>
      <c r="M11" t="n">
        <v>1270.6</v>
      </c>
      <c r="N11" t="n">
        <v>1350.8</v>
      </c>
      <c r="O11" t="n">
        <v>1442</v>
      </c>
      <c r="P11" t="n">
        <v>1529.8</v>
      </c>
      <c r="Q11" t="n">
        <v>1623.9</v>
      </c>
      <c r="R11" t="n">
        <v>1712.8</v>
      </c>
      <c r="S11" t="n">
        <v>1801</v>
      </c>
      <c r="T11" t="n">
        <v>1900.1</v>
      </c>
      <c r="U11" t="n">
        <v>1953.8</v>
      </c>
      <c r="V11" t="n">
        <v>2035.2</v>
      </c>
      <c r="W11" t="n">
        <v>2130.9</v>
      </c>
      <c r="X11" t="n">
        <v>2147.6</v>
      </c>
      <c r="Y11" t="n">
        <v>2149.4</v>
      </c>
      <c r="Z11" t="n">
        <v>2138</v>
      </c>
      <c r="AA11" t="n">
        <v>2104.3</v>
      </c>
      <c r="AB11" t="n">
        <v>2084.6</v>
      </c>
      <c r="AC11" t="n">
        <v>2062.4</v>
      </c>
      <c r="AD11" t="n">
        <v>2042.7</v>
      </c>
      <c r="AE11" t="n">
        <v>2015.8</v>
      </c>
      <c r="AF11"/>
    </row>
    <row r="12">
      <c r="A12" t="s">
        <v>128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10982</v>
      </c>
      <c r="H12" t="n">
        <v>10961.4</v>
      </c>
      <c r="I12" t="n">
        <v>11032.6</v>
      </c>
      <c r="J12" t="n">
        <v>11002.7</v>
      </c>
      <c r="K12" t="n">
        <v>10902</v>
      </c>
      <c r="L12" t="n">
        <v>11084.7</v>
      </c>
      <c r="M12" t="n">
        <v>11294.2</v>
      </c>
      <c r="N12" t="n">
        <v>11537.7</v>
      </c>
      <c r="O12" t="n">
        <v>11727.5</v>
      </c>
      <c r="P12" t="n">
        <v>12095.8</v>
      </c>
      <c r="Q12" t="n">
        <v>12530.5</v>
      </c>
      <c r="R12" t="n">
        <v>12760.1</v>
      </c>
      <c r="S12" t="n">
        <v>13170.4</v>
      </c>
      <c r="T12" t="n">
        <v>13393.5</v>
      </c>
      <c r="U12" t="n">
        <v>13416.3</v>
      </c>
      <c r="V12" t="n">
        <v>13657.2</v>
      </c>
      <c r="W12" t="n">
        <v>13875.2</v>
      </c>
      <c r="X12" t="n">
        <v>13642.7</v>
      </c>
      <c r="Y12" t="n">
        <v>13166.8</v>
      </c>
      <c r="Z12" t="n">
        <v>12651.3</v>
      </c>
      <c r="AA12" t="n">
        <v>12287.4</v>
      </c>
      <c r="AB12" t="n">
        <v>11972.7</v>
      </c>
      <c r="AC12" t="n">
        <v>11902.4</v>
      </c>
      <c r="AD12" t="n">
        <v>11685.1</v>
      </c>
      <c r="AE12" t="n">
        <v>11318.8</v>
      </c>
      <c r="AF12"/>
    </row>
    <row r="13">
      <c r="A13" t="s">
        <v>128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16108.3</v>
      </c>
      <c r="H13" t="n">
        <v>16243.2</v>
      </c>
      <c r="I13" t="n">
        <v>16370.7</v>
      </c>
      <c r="J13" t="n">
        <v>16307.6</v>
      </c>
      <c r="K13" t="n">
        <v>16185.9</v>
      </c>
      <c r="L13" t="n">
        <v>16552.7</v>
      </c>
      <c r="M13" t="n">
        <v>16845.1</v>
      </c>
      <c r="N13" t="n">
        <v>17234.4</v>
      </c>
      <c r="O13" t="n">
        <v>17579.6</v>
      </c>
      <c r="P13" t="n">
        <v>18010.5</v>
      </c>
      <c r="Q13" t="n">
        <v>18512.8</v>
      </c>
      <c r="R13" t="n">
        <v>18919.5</v>
      </c>
      <c r="S13" t="n">
        <v>19386.6</v>
      </c>
      <c r="T13" t="n">
        <v>19859.3</v>
      </c>
      <c r="U13" t="n">
        <v>19905.2</v>
      </c>
      <c r="V13" t="n">
        <v>20272.8</v>
      </c>
      <c r="W13" t="n">
        <v>20931.1</v>
      </c>
      <c r="X13" t="n">
        <v>20615.6</v>
      </c>
      <c r="Y13" t="n">
        <v>20037.4</v>
      </c>
      <c r="Z13" t="n">
        <v>19523</v>
      </c>
      <c r="AA13" t="n">
        <v>18811</v>
      </c>
      <c r="AB13" t="n">
        <v>18379.5</v>
      </c>
      <c r="AC13" t="n">
        <v>18161</v>
      </c>
      <c r="AD13" t="n">
        <v>17810.9</v>
      </c>
      <c r="AE13" t="n">
        <v>17308.9</v>
      </c>
      <c r="AF13"/>
    </row>
    <row r="14">
      <c r="A14" t="s">
        <v>128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954.1</v>
      </c>
      <c r="H14" t="n">
        <v>1100.8</v>
      </c>
      <c r="I14" t="n">
        <v>1188.9</v>
      </c>
      <c r="J14" t="n">
        <v>1338.3</v>
      </c>
      <c r="K14" t="n">
        <v>1437.7</v>
      </c>
      <c r="L14" t="n">
        <v>1581.6</v>
      </c>
      <c r="M14" t="n">
        <v>1749.1</v>
      </c>
      <c r="N14" t="n">
        <v>1950.3</v>
      </c>
      <c r="O14" t="n">
        <v>2091</v>
      </c>
      <c r="P14" t="n">
        <v>2286.6</v>
      </c>
      <c r="Q14" t="n">
        <v>2493.8</v>
      </c>
      <c r="R14" t="n">
        <v>2691.3</v>
      </c>
      <c r="S14" t="n">
        <v>2911.8</v>
      </c>
      <c r="T14" t="n">
        <v>3116.5</v>
      </c>
      <c r="U14" t="n">
        <v>3241.1</v>
      </c>
      <c r="V14" t="n">
        <v>3416.7</v>
      </c>
      <c r="W14" t="n">
        <v>3725.6</v>
      </c>
      <c r="X14" t="n">
        <v>3700.9</v>
      </c>
      <c r="Y14" t="n">
        <v>3795.8</v>
      </c>
      <c r="Z14" t="n">
        <v>3950.3</v>
      </c>
      <c r="AA14" t="n">
        <v>4454.8</v>
      </c>
      <c r="AB14" t="n">
        <v>4682.8</v>
      </c>
      <c r="AC14" t="n">
        <v>4631.5</v>
      </c>
      <c r="AD14" t="n">
        <v>4626.5</v>
      </c>
      <c r="AE14" t="n">
        <v>4735.2</v>
      </c>
      <c r="AF14"/>
    </row>
    <row r="15">
      <c r="A15" t="s">
        <v>128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2335.6</v>
      </c>
      <c r="H15" t="n">
        <v>2634.8</v>
      </c>
      <c r="I15" t="n">
        <v>2893.3</v>
      </c>
      <c r="J15" t="n">
        <v>3195.9</v>
      </c>
      <c r="K15" t="n">
        <v>3467.4</v>
      </c>
      <c r="L15" t="n">
        <v>3867.6</v>
      </c>
      <c r="M15" t="n">
        <v>4286.3</v>
      </c>
      <c r="N15" t="n">
        <v>4759.1</v>
      </c>
      <c r="O15" t="n">
        <v>5173.5</v>
      </c>
      <c r="P15" t="n">
        <v>5700.7</v>
      </c>
      <c r="Q15" t="n">
        <v>6235.6</v>
      </c>
      <c r="R15" t="n">
        <v>6728.8</v>
      </c>
      <c r="S15" t="n">
        <v>7243.9</v>
      </c>
      <c r="T15" t="n">
        <v>7687</v>
      </c>
      <c r="U15" t="n">
        <v>8005.5</v>
      </c>
      <c r="V15" t="n">
        <v>8443.7</v>
      </c>
      <c r="W15" t="n">
        <v>8986.5</v>
      </c>
      <c r="X15" t="n">
        <v>8995.7</v>
      </c>
      <c r="Y15" t="n">
        <v>9075.8</v>
      </c>
      <c r="Z15" t="n">
        <v>9275.8</v>
      </c>
      <c r="AA15" t="n">
        <v>9768.3</v>
      </c>
      <c r="AB15" t="n">
        <v>10020.7</v>
      </c>
      <c r="AC15" t="n">
        <v>10004.3</v>
      </c>
      <c r="AD15" t="n">
        <v>10168.1</v>
      </c>
      <c r="AE15" t="n">
        <v>10314.1</v>
      </c>
      <c r="AF15"/>
    </row>
    <row r="16">
      <c r="A16" t="s">
        <v>128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1381.5</v>
      </c>
      <c r="H16" t="n">
        <v>1534</v>
      </c>
      <c r="I16" t="n">
        <v>1704.4</v>
      </c>
      <c r="J16" t="n">
        <v>1857.6</v>
      </c>
      <c r="K16" t="n">
        <v>2029.7</v>
      </c>
      <c r="L16" t="n">
        <v>2286</v>
      </c>
      <c r="M16" t="n">
        <v>2537.2</v>
      </c>
      <c r="N16" t="n">
        <v>2808.8</v>
      </c>
      <c r="O16" t="n">
        <v>3082.5</v>
      </c>
      <c r="P16" t="n">
        <v>3414.1</v>
      </c>
      <c r="Q16" t="n">
        <v>3741.8</v>
      </c>
      <c r="R16" t="n">
        <v>4037.5</v>
      </c>
      <c r="S16" t="n">
        <v>4332.1</v>
      </c>
      <c r="T16" t="n">
        <v>4570.5</v>
      </c>
      <c r="U16" t="n">
        <v>4764.4</v>
      </c>
      <c r="V16" t="n">
        <v>5027</v>
      </c>
      <c r="W16" t="n">
        <v>5260.9</v>
      </c>
      <c r="X16" t="n">
        <v>5294.8</v>
      </c>
      <c r="Y16" t="n">
        <v>5280</v>
      </c>
      <c r="Z16" t="n">
        <v>5325.5</v>
      </c>
      <c r="AA16" t="n">
        <v>5313.5</v>
      </c>
      <c r="AB16" t="n">
        <v>5337.9</v>
      </c>
      <c r="AC16" t="n">
        <v>5372.8</v>
      </c>
      <c r="AD16" t="n">
        <v>5541.6</v>
      </c>
      <c r="AE16" t="n">
        <v>5578.9</v>
      </c>
      <c r="AF16"/>
    </row>
    <row r="17">
      <c r="A17" t="s">
        <v>128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7892.9</v>
      </c>
      <c r="H17" t="n">
        <v>8355.2</v>
      </c>
      <c r="I17" t="n">
        <v>8548.5</v>
      </c>
      <c r="J17" t="n">
        <v>9040.2</v>
      </c>
      <c r="K17" t="n">
        <v>9185.6</v>
      </c>
      <c r="L17" t="n">
        <v>9545</v>
      </c>
      <c r="M17" t="n">
        <v>9949.5</v>
      </c>
      <c r="N17" t="n">
        <v>10397.1</v>
      </c>
      <c r="O17" t="n">
        <v>10805.2</v>
      </c>
      <c r="P17" t="n">
        <v>11412.4</v>
      </c>
      <c r="Q17" t="n">
        <v>11979.6</v>
      </c>
      <c r="R17" t="n">
        <v>12396.2</v>
      </c>
      <c r="S17" t="n">
        <v>12932.6</v>
      </c>
      <c r="T17" t="n">
        <v>13305.9</v>
      </c>
      <c r="U17" t="n">
        <v>13526.1</v>
      </c>
      <c r="V17" t="n">
        <v>13956</v>
      </c>
      <c r="W17" t="n">
        <v>14350.4</v>
      </c>
      <c r="X17" t="n">
        <v>14069.4</v>
      </c>
      <c r="Y17" t="n">
        <v>13771.3</v>
      </c>
      <c r="Z17" t="n">
        <v>13749.5</v>
      </c>
      <c r="AA17" t="n">
        <v>13905.8</v>
      </c>
      <c r="AB17" t="n">
        <v>13720.2</v>
      </c>
      <c r="AC17" t="n">
        <v>13836.2</v>
      </c>
      <c r="AD17" t="n">
        <v>14129.9</v>
      </c>
      <c r="AE17" t="n">
        <v>14149.7</v>
      </c>
      <c r="AF17"/>
    </row>
    <row r="18">
      <c r="A18" t="s">
        <v>128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4463.5</v>
      </c>
      <c r="H18" t="n">
        <v>4561.8</v>
      </c>
      <c r="I18" t="n">
        <v>4612.2</v>
      </c>
      <c r="J18" t="n">
        <v>4749.7</v>
      </c>
      <c r="K18" t="n">
        <v>4752.8</v>
      </c>
      <c r="L18" t="n">
        <v>4923.8</v>
      </c>
      <c r="M18" t="n">
        <v>5056</v>
      </c>
      <c r="N18" t="n">
        <v>5189.1</v>
      </c>
      <c r="O18" t="n">
        <v>5314.3</v>
      </c>
      <c r="P18" t="n">
        <v>5534.9</v>
      </c>
      <c r="Q18" t="n">
        <v>5739.9</v>
      </c>
      <c r="R18" t="n">
        <v>5913.6</v>
      </c>
      <c r="S18" t="n">
        <v>6163.6</v>
      </c>
      <c r="T18" t="n">
        <v>6360.5</v>
      </c>
      <c r="U18" t="n">
        <v>6380.6</v>
      </c>
      <c r="V18" t="n">
        <v>6497</v>
      </c>
      <c r="W18" t="n">
        <v>6612.2</v>
      </c>
      <c r="X18" t="n">
        <v>6653.2</v>
      </c>
      <c r="Y18" t="n">
        <v>6560.5</v>
      </c>
      <c r="Z18" t="n">
        <v>6663</v>
      </c>
      <c r="AA18" t="n">
        <v>6778.1</v>
      </c>
      <c r="AB18" t="n">
        <v>6713.9</v>
      </c>
      <c r="AC18" t="n">
        <v>6850.5</v>
      </c>
      <c r="AD18" t="n">
        <v>7192.9</v>
      </c>
      <c r="AE18" t="n">
        <v>7938.2</v>
      </c>
      <c r="AF18"/>
    </row>
    <row r="19">
      <c r="A19" t="s">
        <v>128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11865.6</v>
      </c>
      <c r="H19" t="n">
        <v>11869.6</v>
      </c>
      <c r="I19" t="n">
        <v>12009.5</v>
      </c>
      <c r="J19" t="n">
        <v>12119</v>
      </c>
      <c r="K19" t="n">
        <v>12117.7</v>
      </c>
      <c r="L19" t="n">
        <v>12399.4</v>
      </c>
      <c r="M19" t="n">
        <v>12746.8</v>
      </c>
      <c r="N19" t="n">
        <v>13110.5</v>
      </c>
      <c r="O19" t="n">
        <v>13344.4</v>
      </c>
      <c r="P19" t="n">
        <v>13772.5</v>
      </c>
      <c r="Q19" t="n">
        <v>14253.6</v>
      </c>
      <c r="R19" t="n">
        <v>14576.2</v>
      </c>
      <c r="S19" t="n">
        <v>14844.7</v>
      </c>
      <c r="T19" t="n">
        <v>15347.2</v>
      </c>
      <c r="U19" t="n">
        <v>15301.4</v>
      </c>
      <c r="V19" t="n">
        <v>15505.9</v>
      </c>
      <c r="W19" t="n">
        <v>15624.3</v>
      </c>
      <c r="X19" t="n">
        <v>15117.4</v>
      </c>
      <c r="Y19" t="n">
        <v>14435.5</v>
      </c>
      <c r="Z19" t="n">
        <v>13867</v>
      </c>
      <c r="AA19" t="n">
        <v>13454.3</v>
      </c>
      <c r="AB19" t="n">
        <v>12999.5</v>
      </c>
      <c r="AC19" t="n">
        <v>12568.1</v>
      </c>
      <c r="AD19" t="n">
        <v>12331.6</v>
      </c>
      <c r="AE19" t="n">
        <v>12240.1</v>
      </c>
      <c r="AF19"/>
    </row>
    <row r="20">
      <c r="A20" t="s">
        <v>128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67605.5</v>
      </c>
      <c r="H20" t="n">
        <v>73201.9</v>
      </c>
      <c r="I20" t="n">
        <v>79749.3</v>
      </c>
      <c r="J20" t="n">
        <v>85600.6</v>
      </c>
      <c r="K20" t="n">
        <v>91337.2</v>
      </c>
      <c r="L20" t="n">
        <v>100035.7</v>
      </c>
      <c r="M20" t="n">
        <v>108844.3</v>
      </c>
      <c r="N20" t="n">
        <v>120670.4</v>
      </c>
      <c r="O20" t="n">
        <v>130856.5</v>
      </c>
      <c r="P20" t="n">
        <v>141407.8</v>
      </c>
      <c r="Q20" t="n">
        <v>152216.2</v>
      </c>
      <c r="R20" t="n">
        <v>163233.2</v>
      </c>
      <c r="S20" t="n">
        <v>175450.3</v>
      </c>
      <c r="T20" t="n">
        <v>185100.6</v>
      </c>
      <c r="U20" t="n">
        <v>185678.9</v>
      </c>
      <c r="V20" t="n">
        <v>192949</v>
      </c>
      <c r="W20" t="n">
        <v>198525.5</v>
      </c>
      <c r="X20" t="n">
        <v>196999</v>
      </c>
      <c r="Y20" t="n">
        <v>193432.6</v>
      </c>
      <c r="Z20" t="n">
        <v>188657.5</v>
      </c>
      <c r="AA20" t="n">
        <v>184205.5</v>
      </c>
      <c r="AB20" t="n">
        <v>180548.8</v>
      </c>
      <c r="AC20" t="n">
        <v>178541.3</v>
      </c>
      <c r="AD20" t="n">
        <v>179666.3</v>
      </c>
      <c r="AE20" t="n">
        <v>177391.1</v>
      </c>
      <c r="AF20" t="n">
        <v>175248.8</v>
      </c>
    </row>
    <row r="21">
      <c r="A21" t="s">
        <v>128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85076.9</v>
      </c>
      <c r="H21" t="n">
        <v>90885</v>
      </c>
      <c r="I21" t="n">
        <v>97826.9</v>
      </c>
      <c r="J21" t="n">
        <v>104067.5</v>
      </c>
      <c r="K21" t="n">
        <v>110056.8</v>
      </c>
      <c r="L21" t="n">
        <v>119537.1</v>
      </c>
      <c r="M21" t="n">
        <v>128975.6</v>
      </c>
      <c r="N21" t="n">
        <v>141799.7</v>
      </c>
      <c r="O21" t="n">
        <v>152658.7</v>
      </c>
      <c r="P21" t="n">
        <v>164109.5</v>
      </c>
      <c r="Q21" t="n">
        <v>175877.2</v>
      </c>
      <c r="R21" t="n">
        <v>187605.8</v>
      </c>
      <c r="S21" t="n">
        <v>200351.1</v>
      </c>
      <c r="T21" t="n">
        <v>210658.6</v>
      </c>
      <c r="U21" t="n">
        <v>211498.7</v>
      </c>
      <c r="V21" t="n">
        <v>219414.6</v>
      </c>
      <c r="W21" t="n">
        <v>225736.5</v>
      </c>
      <c r="X21" t="n">
        <v>223825.2</v>
      </c>
      <c r="Y21" t="n">
        <v>219602.3</v>
      </c>
      <c r="Z21" t="n">
        <v>214367.5</v>
      </c>
      <c r="AA21" t="n">
        <v>209734</v>
      </c>
      <c r="AB21" t="n">
        <v>206277.5</v>
      </c>
      <c r="AC21" t="n">
        <v>204133.5</v>
      </c>
      <c r="AD21" t="n">
        <v>205487</v>
      </c>
      <c r="AE21" t="n">
        <v>202784.2</v>
      </c>
      <c r="AF21" t="n">
        <v>200964.1</v>
      </c>
    </row>
    <row r="22">
      <c r="A22" t="s">
        <v>128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17471.4</v>
      </c>
      <c r="H22" t="n">
        <v>17683.1</v>
      </c>
      <c r="I22" t="n">
        <v>18077.6</v>
      </c>
      <c r="J22" t="n">
        <v>18466.9</v>
      </c>
      <c r="K22" t="n">
        <v>18719.6</v>
      </c>
      <c r="L22" t="n">
        <v>19501.4</v>
      </c>
      <c r="M22" t="n">
        <v>20131.3</v>
      </c>
      <c r="N22" t="n">
        <v>21129.3</v>
      </c>
      <c r="O22" t="n">
        <v>21802.2</v>
      </c>
      <c r="P22" t="n">
        <v>22701.7</v>
      </c>
      <c r="Q22" t="n">
        <v>23661</v>
      </c>
      <c r="R22" t="n">
        <v>24372.6</v>
      </c>
      <c r="S22" t="n">
        <v>24900.8</v>
      </c>
      <c r="T22" t="n">
        <v>25558</v>
      </c>
      <c r="U22" t="n">
        <v>25819.8</v>
      </c>
      <c r="V22" t="n">
        <v>26465.6</v>
      </c>
      <c r="W22" t="n">
        <v>27211</v>
      </c>
      <c r="X22" t="n">
        <v>26826.2</v>
      </c>
      <c r="Y22" t="n">
        <v>26169.7</v>
      </c>
      <c r="Z22" t="n">
        <v>25710</v>
      </c>
      <c r="AA22" t="n">
        <v>25528.5</v>
      </c>
      <c r="AB22" t="n">
        <v>25728.7</v>
      </c>
      <c r="AC22" t="n">
        <v>25592.2</v>
      </c>
      <c r="AD22" t="n">
        <v>25820.7</v>
      </c>
      <c r="AE22" t="n">
        <v>25393.1</v>
      </c>
      <c r="AF22" t="n">
        <v>25715.3</v>
      </c>
    </row>
    <row r="23">
      <c r="A23" t="s">
        <v>128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19346.8</v>
      </c>
      <c r="H23" t="n">
        <v>19833.6</v>
      </c>
      <c r="I23" t="n">
        <v>20448.1</v>
      </c>
      <c r="J23" t="n">
        <v>21028.7</v>
      </c>
      <c r="K23" t="n">
        <v>21479.4</v>
      </c>
      <c r="L23" t="n">
        <v>22423.7</v>
      </c>
      <c r="M23" t="n">
        <v>23522.9</v>
      </c>
      <c r="N23" t="n">
        <v>25050.1</v>
      </c>
      <c r="O23" t="n">
        <v>26014.7</v>
      </c>
      <c r="P23" t="n">
        <v>27606.8</v>
      </c>
      <c r="Q23" t="n">
        <v>29070.2</v>
      </c>
      <c r="R23" t="n">
        <v>30418</v>
      </c>
      <c r="S23" t="n">
        <v>31970.9</v>
      </c>
      <c r="T23" t="n">
        <v>33124.3</v>
      </c>
      <c r="U23" t="n">
        <v>33819.7</v>
      </c>
      <c r="V23" t="n">
        <v>35008.2</v>
      </c>
      <c r="W23" t="n">
        <v>36584.1</v>
      </c>
      <c r="X23" t="n">
        <v>36034.7</v>
      </c>
      <c r="Y23" t="n">
        <v>35390.5</v>
      </c>
      <c r="Z23" t="n">
        <v>34840.5</v>
      </c>
      <c r="AA23" t="n">
        <v>34097.5</v>
      </c>
      <c r="AB23" t="n">
        <v>33665.5</v>
      </c>
      <c r="AC23" t="n">
        <v>33282.8</v>
      </c>
      <c r="AD23" t="n">
        <v>33589.6</v>
      </c>
      <c r="AE23" t="n">
        <v>33757.8</v>
      </c>
      <c r="AF23" t="n">
        <v>36223.2</v>
      </c>
    </row>
    <row r="24">
      <c r="A24" t="s">
        <v>128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43155.3</v>
      </c>
      <c r="H24" t="n">
        <v>45319.6</v>
      </c>
      <c r="I24" t="n">
        <v>48105</v>
      </c>
      <c r="J24" t="n">
        <v>51394.2</v>
      </c>
      <c r="K24" t="n">
        <v>53407.1</v>
      </c>
      <c r="L24" t="n">
        <v>57067.1</v>
      </c>
      <c r="M24" t="n">
        <v>61103.1</v>
      </c>
      <c r="N24" t="n">
        <v>65741.3</v>
      </c>
      <c r="O24" t="n">
        <v>69862.2</v>
      </c>
      <c r="P24" t="n">
        <v>75277.7</v>
      </c>
      <c r="Q24" t="n">
        <v>80863.1</v>
      </c>
      <c r="R24" t="n">
        <v>85619</v>
      </c>
      <c r="S24" t="n">
        <v>90161.5</v>
      </c>
      <c r="T24" t="n">
        <v>95031</v>
      </c>
      <c r="U24" t="n">
        <v>98317.2</v>
      </c>
      <c r="V24" t="n">
        <v>103126.3</v>
      </c>
      <c r="W24" t="n">
        <v>108655.7</v>
      </c>
      <c r="X24" t="n">
        <v>110771.2</v>
      </c>
      <c r="Y24" t="n">
        <v>110843.3</v>
      </c>
      <c r="Z24" t="n">
        <v>111322.8</v>
      </c>
      <c r="AA24" t="n">
        <v>112552.1</v>
      </c>
      <c r="AB24" t="n">
        <v>113999.8</v>
      </c>
      <c r="AC24" t="n">
        <v>116203.8</v>
      </c>
      <c r="AD24" t="n">
        <v>119660.5</v>
      </c>
      <c r="AE24" t="n">
        <v>120847.5</v>
      </c>
      <c r="AF24" t="n">
        <v>121604.9</v>
      </c>
    </row>
    <row r="25">
      <c r="A25" t="s">
        <v>128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128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128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128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114504.7</v>
      </c>
      <c r="H28" t="n">
        <v>117075</v>
      </c>
      <c r="I28" t="n">
        <v>120524.5</v>
      </c>
      <c r="J28" t="n">
        <v>123754.4</v>
      </c>
      <c r="K28" t="n">
        <v>125136.5</v>
      </c>
      <c r="L28" t="n">
        <v>131959.3</v>
      </c>
      <c r="M28" t="n">
        <v>137679.1</v>
      </c>
      <c r="N28" t="n">
        <v>144672</v>
      </c>
      <c r="O28" t="n">
        <v>151916.4</v>
      </c>
      <c r="P28" t="n">
        <v>162235</v>
      </c>
      <c r="Q28" t="n">
        <v>173275.2</v>
      </c>
      <c r="R28" t="n">
        <v>182917.8</v>
      </c>
      <c r="S28" t="n">
        <v>192215.7</v>
      </c>
      <c r="T28" t="n">
        <v>201625.6</v>
      </c>
      <c r="U28" t="n">
        <v>207187.3</v>
      </c>
      <c r="V28" t="n">
        <v>216327.5</v>
      </c>
      <c r="W28" t="n">
        <v>227418.9</v>
      </c>
      <c r="X28" t="n">
        <v>229973.6</v>
      </c>
      <c r="Y28" t="n">
        <v>229633.4</v>
      </c>
      <c r="Z28" t="n">
        <v>230769.9</v>
      </c>
      <c r="AA28" t="n">
        <v>232967.6</v>
      </c>
      <c r="AB28" t="n">
        <v>233298</v>
      </c>
      <c r="AC28" t="n">
        <v>236550.5</v>
      </c>
      <c r="AD28" t="n">
        <v>240989.5</v>
      </c>
      <c r="AE28" t="n">
        <v>242153.1</v>
      </c>
      <c r="AF28" t="n">
        <v>247510.5</v>
      </c>
    </row>
    <row r="29">
      <c r="A29" t="s">
        <v>128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128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128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128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128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128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43236.6</v>
      </c>
      <c r="H34" t="n">
        <v>45017.5</v>
      </c>
      <c r="I34" t="n">
        <v>47080.6</v>
      </c>
      <c r="J34" t="n">
        <v>48794.5</v>
      </c>
      <c r="K34" t="n">
        <v>50261.2</v>
      </c>
      <c r="L34" t="n">
        <v>53331.5</v>
      </c>
      <c r="M34" t="n">
        <v>55684.9</v>
      </c>
      <c r="N34" t="n">
        <v>58917</v>
      </c>
      <c r="O34" t="n">
        <v>61472.3</v>
      </c>
      <c r="P34" t="n">
        <v>64919</v>
      </c>
      <c r="Q34" t="n">
        <v>68976.3</v>
      </c>
      <c r="R34" t="n">
        <v>72029.5</v>
      </c>
      <c r="S34" t="n">
        <v>76309.3</v>
      </c>
      <c r="T34" t="n">
        <v>79285.2</v>
      </c>
      <c r="U34" t="n">
        <v>81011.2</v>
      </c>
      <c r="V34" t="n">
        <v>83968.8</v>
      </c>
      <c r="W34" t="n">
        <v>86821.4</v>
      </c>
      <c r="X34" t="n">
        <v>85743.1</v>
      </c>
      <c r="Y34" t="n">
        <v>84266.7</v>
      </c>
      <c r="Z34" t="n">
        <v>83741.1</v>
      </c>
      <c r="AA34" t="n">
        <v>82323.2</v>
      </c>
      <c r="AB34" t="n">
        <v>82099.4</v>
      </c>
      <c r="AC34" t="n">
        <v>81561.3</v>
      </c>
      <c r="AD34" t="n">
        <v>81496.5</v>
      </c>
      <c r="AE34" t="n">
        <v>79939</v>
      </c>
      <c r="AF34" t="n">
        <v>79343.8</v>
      </c>
    </row>
    <row r="35">
      <c r="A35" t="s">
        <v>128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16015.7</v>
      </c>
      <c r="H35" t="n">
        <v>17262.3</v>
      </c>
      <c r="I35" t="n">
        <v>18576.2</v>
      </c>
      <c r="J35" t="n">
        <v>19904.6</v>
      </c>
      <c r="K35" t="n">
        <v>20904.5</v>
      </c>
      <c r="L35" t="n">
        <v>22938.2</v>
      </c>
      <c r="M35" t="n">
        <v>24354.6</v>
      </c>
      <c r="N35" t="n">
        <v>26072.9</v>
      </c>
      <c r="O35" t="n">
        <v>27730.1</v>
      </c>
      <c r="P35" t="n">
        <v>30128.4</v>
      </c>
      <c r="Q35" t="n">
        <v>32470.8</v>
      </c>
      <c r="R35" t="n">
        <v>34538.8</v>
      </c>
      <c r="S35" t="n">
        <v>36502.2</v>
      </c>
      <c r="T35" t="n">
        <v>38085.7</v>
      </c>
      <c r="U35" t="n">
        <v>39289.9</v>
      </c>
      <c r="V35" t="n">
        <v>41124.3</v>
      </c>
      <c r="W35" t="n">
        <v>43222.3</v>
      </c>
      <c r="X35" t="n">
        <v>43449.6</v>
      </c>
      <c r="Y35" t="n">
        <v>43770.1</v>
      </c>
      <c r="Z35" t="n">
        <v>44072.1</v>
      </c>
      <c r="AA35" t="n">
        <v>44892.6</v>
      </c>
      <c r="AB35" t="n">
        <v>46085.1</v>
      </c>
      <c r="AC35" t="n">
        <v>47410.5</v>
      </c>
      <c r="AD35" t="n">
        <v>49620.9</v>
      </c>
      <c r="AE35" t="n">
        <v>50742.7</v>
      </c>
      <c r="AF35" t="n">
        <v>51090</v>
      </c>
    </row>
    <row r="36">
      <c r="A36" t="s">
        <v>128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3093</v>
      </c>
      <c r="H36" t="n">
        <v>3290.7</v>
      </c>
      <c r="I36" t="n">
        <v>3540.4</v>
      </c>
      <c r="J36" t="n">
        <v>3767.8</v>
      </c>
      <c r="K36" t="n">
        <v>3984.4</v>
      </c>
      <c r="L36" t="n">
        <v>4330.1</v>
      </c>
      <c r="M36" t="n">
        <v>4698.8</v>
      </c>
      <c r="N36" t="n">
        <v>5119.7</v>
      </c>
      <c r="O36" t="n">
        <v>5482.3</v>
      </c>
      <c r="P36" t="n">
        <v>5948.1</v>
      </c>
      <c r="Q36" t="n">
        <v>6403.8</v>
      </c>
      <c r="R36" t="n">
        <v>6843</v>
      </c>
      <c r="S36" t="n">
        <v>7394.3</v>
      </c>
      <c r="T36" t="n">
        <v>7735.6</v>
      </c>
      <c r="U36" t="n">
        <v>8028.6</v>
      </c>
      <c r="V36" t="n">
        <v>8443.9</v>
      </c>
      <c r="W36" t="n">
        <v>8839.2</v>
      </c>
      <c r="X36" t="n">
        <v>8942.8</v>
      </c>
      <c r="Y36" t="n">
        <v>8878.3</v>
      </c>
      <c r="Z36" t="n">
        <v>8856.3</v>
      </c>
      <c r="AA36" t="n">
        <v>8833.4</v>
      </c>
      <c r="AB36" t="n">
        <v>8912.4</v>
      </c>
      <c r="AC36" t="n">
        <v>8988.3</v>
      </c>
      <c r="AD36" t="n">
        <v>9180.7</v>
      </c>
      <c r="AE36" t="n">
        <v>9217.7</v>
      </c>
      <c r="AF36"/>
    </row>
    <row r="37">
      <c r="A37" t="s">
        <v>128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11153.6</v>
      </c>
      <c r="H37" t="n">
        <v>11997.9</v>
      </c>
      <c r="I37" t="n">
        <v>12917</v>
      </c>
      <c r="J37" t="n">
        <v>13801.9</v>
      </c>
      <c r="K37" t="n">
        <v>14451.3</v>
      </c>
      <c r="L37" t="n">
        <v>15946</v>
      </c>
      <c r="M37" t="n">
        <v>16756.1</v>
      </c>
      <c r="N37" t="n">
        <v>17830.3</v>
      </c>
      <c r="O37" t="n">
        <v>18887.1</v>
      </c>
      <c r="P37" t="n">
        <v>20524</v>
      </c>
      <c r="Q37" t="n">
        <v>22150.7</v>
      </c>
      <c r="R37" t="n">
        <v>23398.2</v>
      </c>
      <c r="S37" t="n">
        <v>24593.6</v>
      </c>
      <c r="T37" t="n">
        <v>25582.6</v>
      </c>
      <c r="U37" t="n">
        <v>26323.2</v>
      </c>
      <c r="V37" t="n">
        <v>27507.5</v>
      </c>
      <c r="W37" t="n">
        <v>29005.9</v>
      </c>
      <c r="X37" t="n">
        <v>28994.7</v>
      </c>
      <c r="Y37" t="n">
        <v>29396.7</v>
      </c>
      <c r="Z37" t="n">
        <v>29747.1</v>
      </c>
      <c r="AA37" t="n">
        <v>30500.8</v>
      </c>
      <c r="AB37" t="n">
        <v>31543.7</v>
      </c>
      <c r="AC37" t="n">
        <v>32747.3</v>
      </c>
      <c r="AD37" t="n">
        <v>34701.1</v>
      </c>
      <c r="AE37" t="n">
        <v>35749.5</v>
      </c>
      <c r="AF37"/>
    </row>
    <row r="38">
      <c r="A38" t="s">
        <v>128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1769.1</v>
      </c>
      <c r="H38" t="n">
        <v>1973.7</v>
      </c>
      <c r="I38" t="n">
        <v>2118.8</v>
      </c>
      <c r="J38" t="n">
        <v>2334.9</v>
      </c>
      <c r="K38" t="n">
        <v>2468.8</v>
      </c>
      <c r="L38" t="n">
        <v>2662.1</v>
      </c>
      <c r="M38" t="n">
        <v>2899.7</v>
      </c>
      <c r="N38" t="n">
        <v>3122.9</v>
      </c>
      <c r="O38" t="n">
        <v>3360.7</v>
      </c>
      <c r="P38" t="n">
        <v>3656.3</v>
      </c>
      <c r="Q38" t="n">
        <v>3916.3</v>
      </c>
      <c r="R38" t="n">
        <v>4297.6</v>
      </c>
      <c r="S38" t="n">
        <v>4514.3</v>
      </c>
      <c r="T38" t="n">
        <v>4767.5</v>
      </c>
      <c r="U38" t="n">
        <v>4938.1</v>
      </c>
      <c r="V38" t="n">
        <v>5172.9</v>
      </c>
      <c r="W38" t="n">
        <v>5377.2</v>
      </c>
      <c r="X38" t="n">
        <v>5512.1</v>
      </c>
      <c r="Y38" t="n">
        <v>5495.1</v>
      </c>
      <c r="Z38" t="n">
        <v>5468.7</v>
      </c>
      <c r="AA38" t="n">
        <v>5558.4</v>
      </c>
      <c r="AB38" t="n">
        <v>5629</v>
      </c>
      <c r="AC38" t="n">
        <v>5674.9</v>
      </c>
      <c r="AD38" t="n">
        <v>5739.1</v>
      </c>
      <c r="AE38" t="n">
        <v>5775.5</v>
      </c>
      <c r="AF38"/>
    </row>
    <row r="39">
      <c r="A39" t="s">
        <v>128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48144.9</v>
      </c>
      <c r="H39" t="n">
        <v>51092.6</v>
      </c>
      <c r="I39" t="n">
        <v>54486.7</v>
      </c>
      <c r="J39" t="n">
        <v>56310.5</v>
      </c>
      <c r="K39" t="n">
        <v>57975.4</v>
      </c>
      <c r="L39" t="n">
        <v>61519.3</v>
      </c>
      <c r="M39" t="n">
        <v>64746.6</v>
      </c>
      <c r="N39" t="n">
        <v>67270.4</v>
      </c>
      <c r="O39" t="n">
        <v>69820.5</v>
      </c>
      <c r="P39" t="n">
        <v>72612.5</v>
      </c>
      <c r="Q39" t="n">
        <v>75590</v>
      </c>
      <c r="R39" t="n">
        <v>78924.3</v>
      </c>
      <c r="S39" t="n">
        <v>81942</v>
      </c>
      <c r="T39" t="n">
        <v>84578.4</v>
      </c>
      <c r="U39" t="n">
        <v>86319.8</v>
      </c>
      <c r="V39" t="n">
        <v>88963.1</v>
      </c>
      <c r="W39" t="n">
        <v>91947.9</v>
      </c>
      <c r="X39" t="n">
        <v>91615.1</v>
      </c>
      <c r="Y39" t="n">
        <v>90945.7</v>
      </c>
      <c r="Z39" t="n">
        <v>90374.7</v>
      </c>
      <c r="AA39" t="n">
        <v>89820.7</v>
      </c>
      <c r="AB39" t="n">
        <v>90623.4</v>
      </c>
      <c r="AC39" t="n">
        <v>91992.9</v>
      </c>
      <c r="AD39" t="n">
        <v>94513.1</v>
      </c>
      <c r="AE39" t="n">
        <v>95333.8</v>
      </c>
      <c r="AF39" t="n">
        <v>96941.6</v>
      </c>
    </row>
    <row r="40">
      <c r="A40" t="s">
        <v>128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63416.8</v>
      </c>
      <c r="H40" t="n">
        <v>68889.7</v>
      </c>
      <c r="I40" t="n">
        <v>74692.9</v>
      </c>
      <c r="J40" t="n">
        <v>81073</v>
      </c>
      <c r="K40" t="n">
        <v>86561.9</v>
      </c>
      <c r="L40" t="n">
        <v>94670.6</v>
      </c>
      <c r="M40" t="n">
        <v>103214.4</v>
      </c>
      <c r="N40" t="n">
        <v>112584.6</v>
      </c>
      <c r="O40" t="n">
        <v>121517.7</v>
      </c>
      <c r="P40" t="n">
        <v>132908.3</v>
      </c>
      <c r="Q40" t="n">
        <v>145003.2</v>
      </c>
      <c r="R40" t="n">
        <v>156050.9</v>
      </c>
      <c r="S40" t="n">
        <v>167443.1</v>
      </c>
      <c r="T40" t="n">
        <v>178679.9</v>
      </c>
      <c r="U40" t="n">
        <v>186226.7</v>
      </c>
      <c r="V40" t="n">
        <v>196462.7</v>
      </c>
      <c r="W40" t="n">
        <v>209866.9</v>
      </c>
      <c r="X40" t="n">
        <v>215411.8</v>
      </c>
      <c r="Y40" t="n">
        <v>218758.4</v>
      </c>
      <c r="Z40" t="n">
        <v>220623.8</v>
      </c>
      <c r="AA40" t="n">
        <v>222911.4</v>
      </c>
      <c r="AB40" t="n">
        <v>226905.1</v>
      </c>
      <c r="AC40" t="n">
        <v>232565.3</v>
      </c>
      <c r="AD40" t="n">
        <v>241561.7</v>
      </c>
      <c r="AE40" t="n">
        <v>245661.8</v>
      </c>
      <c r="AF40" t="n">
        <v>250576.9</v>
      </c>
    </row>
    <row r="41">
      <c r="A41" t="s">
        <v>128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128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13874.3</v>
      </c>
      <c r="H42" t="n">
        <v>14970.8</v>
      </c>
      <c r="I42" t="n">
        <v>16024.3</v>
      </c>
      <c r="J42" t="n">
        <v>17337.1</v>
      </c>
      <c r="K42" t="n">
        <v>18424.5</v>
      </c>
      <c r="L42" t="n">
        <v>19926.6</v>
      </c>
      <c r="M42" t="n">
        <v>21448.4</v>
      </c>
      <c r="N42" t="n">
        <v>23183.5</v>
      </c>
      <c r="O42" t="n">
        <v>24607.1</v>
      </c>
      <c r="P42" t="n">
        <v>26604.6</v>
      </c>
      <c r="Q42" t="n">
        <v>28510.7</v>
      </c>
      <c r="R42" t="n">
        <v>30319.8</v>
      </c>
      <c r="S42" t="n">
        <v>32079.1</v>
      </c>
      <c r="T42" t="n">
        <v>33850.1</v>
      </c>
      <c r="U42" t="n">
        <v>34899.1</v>
      </c>
      <c r="V42" t="n">
        <v>36502</v>
      </c>
      <c r="W42" t="n">
        <v>38793</v>
      </c>
      <c r="X42" t="n">
        <v>39723.9</v>
      </c>
      <c r="Y42" t="n">
        <v>39997.8</v>
      </c>
      <c r="Z42" t="n">
        <v>39872.9</v>
      </c>
      <c r="AA42" t="n">
        <v>39883.5</v>
      </c>
      <c r="AB42" t="n">
        <v>39948</v>
      </c>
      <c r="AC42" t="n">
        <v>40504.6</v>
      </c>
      <c r="AD42" t="n">
        <v>41400.9</v>
      </c>
      <c r="AE42" t="n">
        <v>41435.9</v>
      </c>
      <c r="AF42" t="n">
        <v>41947.4</v>
      </c>
    </row>
    <row r="43">
      <c r="A43" t="s">
        <v>128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20158.7</v>
      </c>
      <c r="H43" t="n">
        <v>22135.6</v>
      </c>
      <c r="I43" t="n">
        <v>23853.4</v>
      </c>
      <c r="J43" t="n">
        <v>26112.4</v>
      </c>
      <c r="K43" t="n">
        <v>27972</v>
      </c>
      <c r="L43" t="n">
        <v>30459.6</v>
      </c>
      <c r="M43" t="n">
        <v>33058.5</v>
      </c>
      <c r="N43" t="n">
        <v>36072.3</v>
      </c>
      <c r="O43" t="n">
        <v>38553</v>
      </c>
      <c r="P43" t="n">
        <v>41970.5</v>
      </c>
      <c r="Q43" t="n">
        <v>45303.8</v>
      </c>
      <c r="R43" t="n">
        <v>48464.7</v>
      </c>
      <c r="S43" t="n">
        <v>51799.4</v>
      </c>
      <c r="T43" t="n">
        <v>54726.7</v>
      </c>
      <c r="U43" t="n">
        <v>56782.1</v>
      </c>
      <c r="V43" t="n">
        <v>59758.1</v>
      </c>
      <c r="W43" t="n">
        <v>63177.6</v>
      </c>
      <c r="X43" t="n">
        <v>64305.1</v>
      </c>
      <c r="Y43" t="n">
        <v>64999.5</v>
      </c>
      <c r="Z43" t="n">
        <v>64851.6</v>
      </c>
      <c r="AA43" t="n">
        <v>65025.8</v>
      </c>
      <c r="AB43" t="n">
        <v>65388.6</v>
      </c>
      <c r="AC43" t="n">
        <v>66537.6</v>
      </c>
      <c r="AD43" t="n">
        <v>67958.9</v>
      </c>
      <c r="AE43" t="n">
        <v>68253</v>
      </c>
      <c r="AF43" t="n">
        <v>69257.8</v>
      </c>
    </row>
    <row r="44">
      <c r="A44" t="s">
        <v>128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608897.7</v>
      </c>
      <c r="H44" t="n">
        <v>631135.4</v>
      </c>
      <c r="I44" t="n">
        <v>658041.8</v>
      </c>
      <c r="J44" t="n">
        <v>682934.5</v>
      </c>
      <c r="K44" t="n">
        <v>700597.5</v>
      </c>
      <c r="L44" t="n">
        <v>741174.8</v>
      </c>
      <c r="M44" t="n">
        <v>778007.9</v>
      </c>
      <c r="N44" t="n">
        <v>823692.8</v>
      </c>
      <c r="O44" t="n">
        <v>863767.4</v>
      </c>
      <c r="P44" t="n">
        <v>916535.1</v>
      </c>
      <c r="Q44" t="n">
        <v>971298.6</v>
      </c>
      <c r="R44" t="n">
        <v>1019561.1</v>
      </c>
      <c r="S44" t="n">
        <v>1069765.7</v>
      </c>
      <c r="T44" t="n">
        <v>1113772.9</v>
      </c>
      <c r="U44" t="n">
        <v>1133385.3</v>
      </c>
      <c r="V44" t="n">
        <v>1174968.6</v>
      </c>
      <c r="W44" t="n">
        <v>1220897.8</v>
      </c>
      <c r="X44" t="n">
        <v>1217641.7</v>
      </c>
      <c r="Y44" t="n">
        <v>1203874.8</v>
      </c>
      <c r="Z44" t="n">
        <v>1192481</v>
      </c>
      <c r="AA44" t="n">
        <v>1183515.1</v>
      </c>
      <c r="AB44" t="n">
        <v>1178604.3</v>
      </c>
      <c r="AC44" t="n">
        <v>1183210.1</v>
      </c>
      <c r="AD44" t="n">
        <v>1199194.9</v>
      </c>
      <c r="AE44" t="n">
        <v>1195272.8</v>
      </c>
      <c r="AF44" t="n">
        <v>1199996.9</v>
      </c>
    </row>
    <row r="45">
      <c r="A45" t="s">
        <v>128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502862.6</v>
      </c>
      <c r="H45" t="n">
        <v>524788.9</v>
      </c>
      <c r="I45" t="n">
        <v>550631.3</v>
      </c>
      <c r="J45" t="n">
        <v>574741.1</v>
      </c>
      <c r="K45" t="n">
        <v>592998.6</v>
      </c>
      <c r="L45" t="n">
        <v>631393.1</v>
      </c>
      <c r="M45" t="n">
        <v>666941.4</v>
      </c>
      <c r="N45" t="n">
        <v>710353.4</v>
      </c>
      <c r="O45" t="n">
        <v>749130.8</v>
      </c>
      <c r="P45" t="n">
        <v>798611.9</v>
      </c>
      <c r="Q45" t="n">
        <v>849778.9</v>
      </c>
      <c r="R45" t="n">
        <v>896010.7</v>
      </c>
      <c r="S45" t="n">
        <v>943967.1</v>
      </c>
      <c r="T45" t="n">
        <v>986285.3</v>
      </c>
      <c r="U45" t="n">
        <v>1007025.3</v>
      </c>
      <c r="V45" t="n">
        <v>1047056.5</v>
      </c>
      <c r="W45" t="n">
        <v>1090354.8</v>
      </c>
      <c r="X45" t="n">
        <v>1090287.8</v>
      </c>
      <c r="Y45" t="n">
        <v>1081050.5</v>
      </c>
      <c r="Z45" t="n">
        <v>1073790.5</v>
      </c>
      <c r="AA45" t="n">
        <v>1068635.6</v>
      </c>
      <c r="AB45" t="n">
        <v>1066594.3</v>
      </c>
      <c r="AC45" t="n">
        <v>1072881.8</v>
      </c>
      <c r="AD45" t="n">
        <v>1089215.1</v>
      </c>
      <c r="AE45" t="n">
        <v>1087443</v>
      </c>
      <c r="AF45" t="n">
        <v>1094172.3</v>
      </c>
    </row>
    <row r="46">
      <c r="A46" t="s">
        <v>128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6284.4</v>
      </c>
      <c r="H46" t="n">
        <v>7164.8</v>
      </c>
      <c r="I46" t="n">
        <v>7829.1</v>
      </c>
      <c r="J46" t="n">
        <v>8775.3</v>
      </c>
      <c r="K46" t="n">
        <v>9547.5</v>
      </c>
      <c r="L46" t="n">
        <v>10533</v>
      </c>
      <c r="M46" t="n">
        <v>11610.1</v>
      </c>
      <c r="N46" t="n">
        <v>12888.8</v>
      </c>
      <c r="O46" t="n">
        <v>13945.9</v>
      </c>
      <c r="P46" t="n">
        <v>15365.9</v>
      </c>
      <c r="Q46" t="n">
        <v>16793.1</v>
      </c>
      <c r="R46" t="n">
        <v>18144.9</v>
      </c>
      <c r="S46" t="n">
        <v>19720.3</v>
      </c>
      <c r="T46" t="n">
        <v>20876.6</v>
      </c>
      <c r="U46" t="n">
        <v>21883</v>
      </c>
      <c r="V46" t="n">
        <v>23256.1</v>
      </c>
      <c r="W46" t="n">
        <v>24384.6</v>
      </c>
      <c r="X46" t="n">
        <v>24581.2</v>
      </c>
      <c r="Y46" t="n">
        <v>25001.7</v>
      </c>
      <c r="Z46" t="n">
        <v>24978.7</v>
      </c>
      <c r="AA46" t="n">
        <v>25142.3</v>
      </c>
      <c r="AB46" t="n">
        <v>25440.6</v>
      </c>
      <c r="AC46" t="n">
        <v>26033</v>
      </c>
      <c r="AD46" t="n">
        <v>26558</v>
      </c>
      <c r="AE46" t="n">
        <v>26817.1</v>
      </c>
      <c r="AF46" t="n">
        <v>27310.4</v>
      </c>
    </row>
    <row r="47">
      <c r="A47" t="s">
        <v>128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325466.5</v>
      </c>
      <c r="H47" t="n">
        <v>337326.3</v>
      </c>
      <c r="I47" t="n">
        <v>353173.3</v>
      </c>
      <c r="J47" t="n">
        <v>368543.9</v>
      </c>
      <c r="K47" t="n">
        <v>377285.5</v>
      </c>
      <c r="L47" t="n">
        <v>398168.3</v>
      </c>
      <c r="M47" t="n">
        <v>416491.3</v>
      </c>
      <c r="N47" t="n">
        <v>438996.5</v>
      </c>
      <c r="O47" t="n">
        <v>461928.8</v>
      </c>
      <c r="P47" t="n">
        <v>489870.7</v>
      </c>
      <c r="Q47" t="n">
        <v>517970.1</v>
      </c>
      <c r="R47" t="n">
        <v>541404.7</v>
      </c>
      <c r="S47" t="n">
        <v>566546.7</v>
      </c>
      <c r="T47" t="n">
        <v>593884.5</v>
      </c>
      <c r="U47" t="n">
        <v>604897.1</v>
      </c>
      <c r="V47" t="n">
        <v>623722.7</v>
      </c>
      <c r="W47" t="n">
        <v>648601.5</v>
      </c>
      <c r="X47" t="n">
        <v>648583.7</v>
      </c>
      <c r="Y47" t="n">
        <v>642277.7</v>
      </c>
      <c r="Z47" t="n">
        <v>636954.9</v>
      </c>
      <c r="AA47" t="n">
        <v>629252.6</v>
      </c>
      <c r="AB47" t="n">
        <v>621617.7</v>
      </c>
      <c r="AC47" t="n">
        <v>617548.4</v>
      </c>
      <c r="AD47" t="n">
        <v>621343.6</v>
      </c>
      <c r="AE47" t="n">
        <v>615082.9</v>
      </c>
      <c r="AF47" t="n">
        <v>612546</v>
      </c>
    </row>
    <row r="48">
      <c r="A48" t="s">
        <v>128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364295.3</v>
      </c>
      <c r="H48" t="n">
        <v>378523.7</v>
      </c>
      <c r="I48" t="n">
        <v>397261.8</v>
      </c>
      <c r="J48" t="n">
        <v>415584.1</v>
      </c>
      <c r="K48" t="n">
        <v>427029.4</v>
      </c>
      <c r="L48" t="n">
        <v>452033.3</v>
      </c>
      <c r="M48" t="n">
        <v>474308.3</v>
      </c>
      <c r="N48" t="n">
        <v>501344.9</v>
      </c>
      <c r="O48" t="n">
        <v>528141.6</v>
      </c>
      <c r="P48" t="n">
        <v>561314</v>
      </c>
      <c r="Q48" t="n">
        <v>595083.3</v>
      </c>
      <c r="R48" t="n">
        <v>623320.8</v>
      </c>
      <c r="S48" t="n">
        <v>652808.2</v>
      </c>
      <c r="T48" t="n">
        <v>685165.1</v>
      </c>
      <c r="U48" t="n">
        <v>699535.9</v>
      </c>
      <c r="V48" t="n">
        <v>722279.9</v>
      </c>
      <c r="W48" t="n">
        <v>751655.1</v>
      </c>
      <c r="X48" t="n">
        <v>751820.7</v>
      </c>
      <c r="Y48" t="n">
        <v>743839.1</v>
      </c>
      <c r="Z48" t="n">
        <v>736554.1</v>
      </c>
      <c r="AA48" t="n">
        <v>726694.3</v>
      </c>
      <c r="AB48" t="n">
        <v>717120.4</v>
      </c>
      <c r="AC48" t="n">
        <v>711319.4</v>
      </c>
      <c r="AD48" t="n">
        <v>714378.7</v>
      </c>
      <c r="AE48" t="n">
        <v>705933.9</v>
      </c>
      <c r="AF48" t="n">
        <v>702296.5</v>
      </c>
    </row>
    <row r="49">
      <c r="A49" t="s">
        <v>128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15163.2</v>
      </c>
      <c r="H49" t="n">
        <v>15828.4</v>
      </c>
      <c r="I49" t="n">
        <v>16798.1</v>
      </c>
      <c r="J49" t="n">
        <v>17789.2</v>
      </c>
      <c r="K49" t="n">
        <v>18466.9</v>
      </c>
      <c r="L49" t="n">
        <v>19641.2</v>
      </c>
      <c r="M49" t="n">
        <v>20801.6</v>
      </c>
      <c r="N49" t="n">
        <v>22104.2</v>
      </c>
      <c r="O49" t="n">
        <v>23324.9</v>
      </c>
      <c r="P49" t="n">
        <v>24839.6</v>
      </c>
      <c r="Q49" t="n">
        <v>26349.9</v>
      </c>
      <c r="R49" t="n">
        <v>27591</v>
      </c>
      <c r="S49" t="n">
        <v>28772.5</v>
      </c>
      <c r="T49" t="n">
        <v>29972.1</v>
      </c>
      <c r="U49" t="n">
        <v>30424.7</v>
      </c>
      <c r="V49" t="n">
        <v>31290.8</v>
      </c>
      <c r="W49" t="n">
        <v>32389.6</v>
      </c>
      <c r="X49" t="n">
        <v>32455.7</v>
      </c>
      <c r="Y49" t="n">
        <v>32237.4</v>
      </c>
      <c r="Z49" t="n">
        <v>31945.4</v>
      </c>
      <c r="AA49" t="n">
        <v>31666.1</v>
      </c>
      <c r="AB49" t="n">
        <v>31355.3</v>
      </c>
      <c r="AC49" t="n">
        <v>31089.9</v>
      </c>
      <c r="AD49" t="n">
        <v>31182.9</v>
      </c>
      <c r="AE49" t="n">
        <v>30791.2</v>
      </c>
      <c r="AF49" t="n">
        <v>30636.9</v>
      </c>
    </row>
    <row r="50">
      <c r="A50" t="s">
        <v>128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23665.6</v>
      </c>
      <c r="H50" t="n">
        <v>25369</v>
      </c>
      <c r="I50" t="n">
        <v>27290.3</v>
      </c>
      <c r="J50" t="n">
        <v>29251</v>
      </c>
      <c r="K50" t="n">
        <v>31277</v>
      </c>
      <c r="L50" t="n">
        <v>34223.9</v>
      </c>
      <c r="M50" t="n">
        <v>37015.3</v>
      </c>
      <c r="N50" t="n">
        <v>40244.2</v>
      </c>
      <c r="O50" t="n">
        <v>42887.8</v>
      </c>
      <c r="P50" t="n">
        <v>46603.8</v>
      </c>
      <c r="Q50" t="n">
        <v>50763.3</v>
      </c>
      <c r="R50" t="n">
        <v>54325.2</v>
      </c>
      <c r="S50" t="n">
        <v>57489</v>
      </c>
      <c r="T50" t="n">
        <v>61308.5</v>
      </c>
      <c r="U50" t="n">
        <v>64214.1</v>
      </c>
      <c r="V50" t="n">
        <v>67266.4</v>
      </c>
      <c r="W50" t="n">
        <v>70664</v>
      </c>
      <c r="X50" t="n">
        <v>70781.5</v>
      </c>
      <c r="Y50" t="n">
        <v>69324</v>
      </c>
      <c r="Z50" t="n">
        <v>67653.8</v>
      </c>
      <c r="AA50" t="n">
        <v>65775.7</v>
      </c>
      <c r="AB50" t="n">
        <v>64147.3</v>
      </c>
      <c r="AC50" t="n">
        <v>62681.1</v>
      </c>
      <c r="AD50" t="n">
        <v>61852.2</v>
      </c>
      <c r="AE50" t="n">
        <v>60059.8</v>
      </c>
      <c r="AF50" t="n">
        <v>59113.6</v>
      </c>
    </row>
    <row r="51">
      <c r="A51" t="s">
        <v>128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20186.4</v>
      </c>
      <c r="H51" t="n">
        <v>21725.9</v>
      </c>
      <c r="I51" t="n">
        <v>23500.9</v>
      </c>
      <c r="J51" t="n">
        <v>25337.2</v>
      </c>
      <c r="K51" t="n">
        <v>27254.4</v>
      </c>
      <c r="L51" t="n">
        <v>29952.6</v>
      </c>
      <c r="M51" t="n">
        <v>32570.9</v>
      </c>
      <c r="N51" t="n">
        <v>35573.7</v>
      </c>
      <c r="O51" t="n">
        <v>37985.7</v>
      </c>
      <c r="P51" t="n">
        <v>41422.1</v>
      </c>
      <c r="Q51" t="n">
        <v>45279.6</v>
      </c>
      <c r="R51" t="n">
        <v>48571</v>
      </c>
      <c r="S51" t="n">
        <v>51505.5</v>
      </c>
      <c r="T51" t="n">
        <v>55036.3</v>
      </c>
      <c r="U51" t="n">
        <v>57789.2</v>
      </c>
      <c r="V51" t="n">
        <v>60582.9</v>
      </c>
      <c r="W51" t="n">
        <v>63712.8</v>
      </c>
      <c r="X51" t="n">
        <v>63611.2</v>
      </c>
      <c r="Y51" t="n">
        <v>62129.6</v>
      </c>
      <c r="Z51" t="n">
        <v>60506.9</v>
      </c>
      <c r="AA51" t="n">
        <v>58563.9</v>
      </c>
      <c r="AB51" t="n">
        <v>56778.9</v>
      </c>
      <c r="AC51" t="n">
        <v>55292</v>
      </c>
      <c r="AD51" t="n">
        <v>54240</v>
      </c>
      <c r="AE51" t="n">
        <v>52434.4</v>
      </c>
      <c r="AF51"/>
    </row>
    <row r="52">
      <c r="A52" t="s">
        <v>128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3479.2</v>
      </c>
      <c r="H52" t="n">
        <v>3643.1</v>
      </c>
      <c r="I52" t="n">
        <v>3789.4</v>
      </c>
      <c r="J52" t="n">
        <v>3913.8</v>
      </c>
      <c r="K52" t="n">
        <v>4022.6</v>
      </c>
      <c r="L52" t="n">
        <v>4271.3</v>
      </c>
      <c r="M52" t="n">
        <v>4444.4</v>
      </c>
      <c r="N52" t="n">
        <v>4670.5</v>
      </c>
      <c r="O52" t="n">
        <v>4902.1</v>
      </c>
      <c r="P52" t="n">
        <v>5181.7</v>
      </c>
      <c r="Q52" t="n">
        <v>5483.7</v>
      </c>
      <c r="R52" t="n">
        <v>5754.2</v>
      </c>
      <c r="S52" t="n">
        <v>5983.5</v>
      </c>
      <c r="T52" t="n">
        <v>6272.2</v>
      </c>
      <c r="U52" t="n">
        <v>6424.9</v>
      </c>
      <c r="V52" t="n">
        <v>6683.5</v>
      </c>
      <c r="W52" t="n">
        <v>6951.2</v>
      </c>
      <c r="X52" t="n">
        <v>7170.3</v>
      </c>
      <c r="Y52" t="n">
        <v>7194.4</v>
      </c>
      <c r="Z52" t="n">
        <v>7146.9</v>
      </c>
      <c r="AA52" t="n">
        <v>7211.8</v>
      </c>
      <c r="AB52" t="n">
        <v>7368.4</v>
      </c>
      <c r="AC52" t="n">
        <v>7389.1</v>
      </c>
      <c r="AD52" t="n">
        <v>7612.2</v>
      </c>
      <c r="AE52" t="n">
        <v>7625.4</v>
      </c>
      <c r="AF52"/>
    </row>
    <row r="53">
      <c r="A53" t="s">
        <v>128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9290.2</v>
      </c>
      <c r="H53" t="n">
        <v>9724.6</v>
      </c>
      <c r="I53" t="n">
        <v>10300.1</v>
      </c>
      <c r="J53" t="n">
        <v>10867.6</v>
      </c>
      <c r="K53" t="n">
        <v>11223.5</v>
      </c>
      <c r="L53" t="n">
        <v>11963.6</v>
      </c>
      <c r="M53" t="n">
        <v>12723.9</v>
      </c>
      <c r="N53" t="n">
        <v>13508.9</v>
      </c>
      <c r="O53" t="n">
        <v>14140</v>
      </c>
      <c r="P53" t="n">
        <v>15186.6</v>
      </c>
      <c r="Q53" t="n">
        <v>16168</v>
      </c>
      <c r="R53" t="n">
        <v>17033.9</v>
      </c>
      <c r="S53" t="n">
        <v>17874</v>
      </c>
      <c r="T53" t="n">
        <v>18815.9</v>
      </c>
      <c r="U53" t="n">
        <v>19406.4</v>
      </c>
      <c r="V53" t="n">
        <v>20165.5</v>
      </c>
      <c r="W53" t="n">
        <v>20826.8</v>
      </c>
      <c r="X53" t="n">
        <v>20704.2</v>
      </c>
      <c r="Y53" t="n">
        <v>20485.5</v>
      </c>
      <c r="Z53" t="n">
        <v>20380.2</v>
      </c>
      <c r="AA53" t="n">
        <v>20260.9</v>
      </c>
      <c r="AB53" t="n">
        <v>20152.1</v>
      </c>
      <c r="AC53" t="n">
        <v>20326.3</v>
      </c>
      <c r="AD53" t="n">
        <v>20462.6</v>
      </c>
      <c r="AE53" t="n">
        <v>20249.1</v>
      </c>
      <c r="AF53" t="n">
        <v>20481.2</v>
      </c>
    </row>
    <row r="54">
      <c r="A54" t="s">
        <v>128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13709.2</v>
      </c>
      <c r="H54" t="n">
        <v>14458.2</v>
      </c>
      <c r="I54" t="n">
        <v>15429.7</v>
      </c>
      <c r="J54" t="n">
        <v>16405.3</v>
      </c>
      <c r="K54" t="n">
        <v>17155.7</v>
      </c>
      <c r="L54" t="n">
        <v>18509.5</v>
      </c>
      <c r="M54" t="n">
        <v>19865.4</v>
      </c>
      <c r="N54" t="n">
        <v>21416</v>
      </c>
      <c r="O54" t="n">
        <v>22701.8</v>
      </c>
      <c r="P54" t="n">
        <v>24495</v>
      </c>
      <c r="Q54" t="n">
        <v>26254.9</v>
      </c>
      <c r="R54" t="n">
        <v>27899.3</v>
      </c>
      <c r="S54" t="n">
        <v>29390.4</v>
      </c>
      <c r="T54" t="n">
        <v>31012.9</v>
      </c>
      <c r="U54" t="n">
        <v>32179.1</v>
      </c>
      <c r="V54" t="n">
        <v>33700.4</v>
      </c>
      <c r="W54" t="n">
        <v>34950.5</v>
      </c>
      <c r="X54" t="n">
        <v>34717</v>
      </c>
      <c r="Y54" t="n">
        <v>34714.2</v>
      </c>
      <c r="Z54" t="n">
        <v>34581.3</v>
      </c>
      <c r="AA54" t="n">
        <v>34506.5</v>
      </c>
      <c r="AB54" t="n">
        <v>34901.3</v>
      </c>
      <c r="AC54" t="n">
        <v>35009.9</v>
      </c>
      <c r="AD54" t="n">
        <v>35163.1</v>
      </c>
      <c r="AE54" t="n">
        <v>34665.2</v>
      </c>
      <c r="AF54" t="n">
        <v>34937.9</v>
      </c>
    </row>
    <row r="55">
      <c r="A55" t="s">
        <v>128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4419</v>
      </c>
      <c r="H55" t="n">
        <v>4733.6</v>
      </c>
      <c r="I55" t="n">
        <v>5129.6</v>
      </c>
      <c r="J55" t="n">
        <v>5537.7</v>
      </c>
      <c r="K55" t="n">
        <v>5932.2</v>
      </c>
      <c r="L55" t="n">
        <v>6545.9</v>
      </c>
      <c r="M55" t="n">
        <v>7141.5</v>
      </c>
      <c r="N55" t="n">
        <v>7907.1</v>
      </c>
      <c r="O55" t="n">
        <v>8561.8</v>
      </c>
      <c r="P55" t="n">
        <v>9308.4</v>
      </c>
      <c r="Q55" t="n">
        <v>10086.9</v>
      </c>
      <c r="R55" t="n">
        <v>10865.4</v>
      </c>
      <c r="S55" t="n">
        <v>11516.4</v>
      </c>
      <c r="T55" t="n">
        <v>12197</v>
      </c>
      <c r="U55" t="n">
        <v>12772.7</v>
      </c>
      <c r="V55" t="n">
        <v>13534.9</v>
      </c>
      <c r="W55" t="n">
        <v>14123.7</v>
      </c>
      <c r="X55" t="n">
        <v>14012.8</v>
      </c>
      <c r="Y55" t="n">
        <v>14228.7</v>
      </c>
      <c r="Z55" t="n">
        <v>14201.1</v>
      </c>
      <c r="AA55" t="n">
        <v>14245.6</v>
      </c>
      <c r="AB55" t="n">
        <v>14749.2</v>
      </c>
      <c r="AC55" t="n">
        <v>14683.6</v>
      </c>
      <c r="AD55" t="n">
        <v>14700.5</v>
      </c>
      <c r="AE55" t="n">
        <v>14416.1</v>
      </c>
      <c r="AF55" t="n">
        <v>14456.7</v>
      </c>
    </row>
    <row r="56">
      <c r="A56" t="s">
        <v>128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128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1036609.8</v>
      </c>
      <c r="H57" t="n">
        <v>1078548.8</v>
      </c>
      <c r="I57" t="n">
        <v>1129996.4</v>
      </c>
      <c r="J57" t="n">
        <v>1179591.6</v>
      </c>
      <c r="K57" t="n">
        <v>1214188.8</v>
      </c>
      <c r="L57" t="n">
        <v>1287878.8</v>
      </c>
      <c r="M57" t="n">
        <v>1355530.5</v>
      </c>
      <c r="N57" t="n">
        <v>1437622.3</v>
      </c>
      <c r="O57" t="n">
        <v>1513426.6</v>
      </c>
      <c r="P57" t="n">
        <v>1610757.5</v>
      </c>
      <c r="Q57" t="n">
        <v>1711385.1</v>
      </c>
      <c r="R57" t="n">
        <v>1798932.9</v>
      </c>
      <c r="S57" t="n">
        <v>1890017</v>
      </c>
      <c r="T57" t="n">
        <v>1977617.9</v>
      </c>
      <c r="U57" t="n">
        <v>2019147.9</v>
      </c>
      <c r="V57" t="n">
        <v>2093711.2</v>
      </c>
      <c r="W57" t="n">
        <v>2182419.8</v>
      </c>
      <c r="X57" t="n">
        <v>2184874.4</v>
      </c>
      <c r="Y57" t="n">
        <v>2166472.3</v>
      </c>
      <c r="Z57" t="n">
        <v>2149658.9</v>
      </c>
      <c r="AA57" t="n">
        <v>2133120.9</v>
      </c>
      <c r="AB57" t="n">
        <v>2122629.7</v>
      </c>
      <c r="AC57" t="n">
        <v>2127094.8</v>
      </c>
      <c r="AD57" t="n">
        <v>2155135.3</v>
      </c>
      <c r="AE57" t="n">
        <v>2146868.5</v>
      </c>
      <c r="AF57" t="n">
        <v>2152870.3</v>
      </c>
    </row>
    <row r="58">
      <c r="A58" t="s">
        <v>128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1036609.8</v>
      </c>
      <c r="H58" t="n">
        <v>1078548.8</v>
      </c>
      <c r="I58" t="n">
        <v>1129996.4</v>
      </c>
      <c r="J58" t="n">
        <v>1179591.6</v>
      </c>
      <c r="K58" t="n">
        <v>1214188.8</v>
      </c>
      <c r="L58" t="n">
        <v>1287878.8</v>
      </c>
      <c r="M58" t="n">
        <v>1355530.5</v>
      </c>
      <c r="N58" t="n">
        <v>1437622.3</v>
      </c>
      <c r="O58" t="n">
        <v>1513426.6</v>
      </c>
      <c r="P58" t="n">
        <v>1610757.5</v>
      </c>
      <c r="Q58" t="n">
        <v>1711385.1</v>
      </c>
      <c r="R58" t="n">
        <v>1798932.9</v>
      </c>
      <c r="S58" t="n">
        <v>1890017</v>
      </c>
      <c r="T58" t="n">
        <v>1977617.9</v>
      </c>
      <c r="U58" t="n">
        <v>2019147.9</v>
      </c>
      <c r="V58" t="n">
        <v>2093711.2</v>
      </c>
      <c r="W58" t="n">
        <v>2182419.8</v>
      </c>
      <c r="X58" t="n">
        <v>2184874.4</v>
      </c>
      <c r="Y58" t="n">
        <v>2166472.3</v>
      </c>
      <c r="Z58" t="n">
        <v>2149658.9</v>
      </c>
      <c r="AA58" t="n">
        <v>2133120.9</v>
      </c>
      <c r="AB58" t="n">
        <v>2122629.7</v>
      </c>
      <c r="AC58" t="n">
        <v>2127094.8</v>
      </c>
      <c r="AD58" t="n">
        <v>2155135.3</v>
      </c>
      <c r="AE58" t="n">
        <v>2146868.5</v>
      </c>
      <c r="AF58" t="n">
        <v>2152870.3</v>
      </c>
    </row>
    <row r="59">
      <c r="A59" t="s">
        <v>128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130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130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130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130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130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130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130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130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130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130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130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130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130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130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130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130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130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130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130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130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130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130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130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130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130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130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130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130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130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130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130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130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130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130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130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130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130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130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130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1341862.4</v>
      </c>
      <c r="H40" t="n">
        <v>1397180</v>
      </c>
      <c r="I40" t="n">
        <v>1457873.2</v>
      </c>
      <c r="J40" t="n">
        <v>1508853.5</v>
      </c>
      <c r="K40" t="n">
        <v>1553185.2</v>
      </c>
      <c r="L40" t="n">
        <v>1631857.2</v>
      </c>
      <c r="M40" t="n">
        <v>1693592.9</v>
      </c>
      <c r="N40" t="n">
        <v>1789347.3</v>
      </c>
      <c r="O40" t="n">
        <v>1860194.5</v>
      </c>
      <c r="P40" t="n">
        <v>1964393.8</v>
      </c>
      <c r="Q40" t="n">
        <v>2094128.3</v>
      </c>
      <c r="R40" t="n">
        <v>2203717.1</v>
      </c>
      <c r="S40" t="n">
        <v>2331751.3</v>
      </c>
      <c r="T40" t="n">
        <v>2439412.8</v>
      </c>
      <c r="U40" t="n">
        <v>2519262.6</v>
      </c>
      <c r="V40" t="n">
        <v>2595144</v>
      </c>
      <c r="W40" t="n">
        <v>2695962.5</v>
      </c>
      <c r="X40" t="n">
        <v>2750991.4</v>
      </c>
      <c r="Y40" t="n">
        <v>2764655.1</v>
      </c>
      <c r="Z40" t="n">
        <v>2770684.4</v>
      </c>
      <c r="AA40" t="n">
        <v>2787518.6</v>
      </c>
      <c r="AB40" t="n">
        <v>2811853.1</v>
      </c>
      <c r="AC40" t="n">
        <v>2843685.3</v>
      </c>
      <c r="AD40" t="n">
        <v>2900921.2</v>
      </c>
      <c r="AE40" t="n">
        <v>2901927.8</v>
      </c>
      <c r="AF40" t="n">
        <v>2956695.6</v>
      </c>
    </row>
    <row r="41">
      <c r="A41" t="s">
        <v>130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130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130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130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130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130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130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130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130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130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130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130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130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130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130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130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130</v>
      </c>
      <c r="B57" t="s">
        <v>384</v>
      </c>
      <c r="C57" t="s">
        <v>246</v>
      </c>
      <c r="D57" t="s">
        <v>385</v>
      </c>
      <c r="E57" t="s">
        <v>247</v>
      </c>
      <c r="F57" t="n">
        <v>0</v>
      </c>
      <c r="G57" t="n">
        <v>1341862.4</v>
      </c>
      <c r="H57" t="n">
        <v>1397180</v>
      </c>
      <c r="I57" t="n">
        <v>1457873.2</v>
      </c>
      <c r="J57" t="n">
        <v>1508853.5</v>
      </c>
      <c r="K57" t="n">
        <v>1553185.2</v>
      </c>
      <c r="L57" t="n">
        <v>1631857.2</v>
      </c>
      <c r="M57" t="n">
        <v>1693592.9</v>
      </c>
      <c r="N57" t="n">
        <v>1789347.3</v>
      </c>
      <c r="O57" t="n">
        <v>1860194.5</v>
      </c>
      <c r="P57" t="n">
        <v>1964393.8</v>
      </c>
      <c r="Q57" t="n">
        <v>2094128.3</v>
      </c>
      <c r="R57" t="n">
        <v>2203717.1</v>
      </c>
      <c r="S57" t="n">
        <v>2331751.3</v>
      </c>
      <c r="T57" t="n">
        <v>2439412.8</v>
      </c>
      <c r="U57" t="n">
        <v>2519262.6</v>
      </c>
      <c r="V57" t="n">
        <v>2595144</v>
      </c>
      <c r="W57" t="n">
        <v>2695962.5</v>
      </c>
      <c r="X57" t="n">
        <v>2750991.4</v>
      </c>
      <c r="Y57" t="n">
        <v>2764655.1</v>
      </c>
      <c r="Z57" t="n">
        <v>2770684.4</v>
      </c>
      <c r="AA57" t="n">
        <v>2787518.6</v>
      </c>
      <c r="AB57" t="n">
        <v>2811853.1</v>
      </c>
      <c r="AC57" t="n">
        <v>2843685.3</v>
      </c>
      <c r="AD57" t="n">
        <v>2900921.2</v>
      </c>
      <c r="AE57" t="n">
        <v>2901927.8</v>
      </c>
      <c r="AF57" t="n">
        <v>2956695.6</v>
      </c>
    </row>
    <row r="58">
      <c r="A58" t="s">
        <v>130</v>
      </c>
      <c r="B58" t="s">
        <v>386</v>
      </c>
      <c r="C58" t="s">
        <v>246</v>
      </c>
      <c r="D58" t="s">
        <v>387</v>
      </c>
      <c r="E58" t="s">
        <v>247</v>
      </c>
      <c r="F58" t="n">
        <v>0</v>
      </c>
      <c r="G58" t="n">
        <v>1341862.4</v>
      </c>
      <c r="H58" t="n">
        <v>1397180</v>
      </c>
      <c r="I58" t="n">
        <v>1457873.2</v>
      </c>
      <c r="J58" t="n">
        <v>1508853.5</v>
      </c>
      <c r="K58" t="n">
        <v>1553185.2</v>
      </c>
      <c r="L58" t="n">
        <v>1631857.2</v>
      </c>
      <c r="M58" t="n">
        <v>1693592.9</v>
      </c>
      <c r="N58" t="n">
        <v>1789347.3</v>
      </c>
      <c r="O58" t="n">
        <v>1860194.5</v>
      </c>
      <c r="P58" t="n">
        <v>1964393.8</v>
      </c>
      <c r="Q58" t="n">
        <v>2094128.3</v>
      </c>
      <c r="R58" t="n">
        <v>2203717.1</v>
      </c>
      <c r="S58" t="n">
        <v>2331751.3</v>
      </c>
      <c r="T58" t="n">
        <v>2439412.8</v>
      </c>
      <c r="U58" t="n">
        <v>2519262.6</v>
      </c>
      <c r="V58" t="n">
        <v>2595144</v>
      </c>
      <c r="W58" t="n">
        <v>2695962.5</v>
      </c>
      <c r="X58" t="n">
        <v>2750991.4</v>
      </c>
      <c r="Y58" t="n">
        <v>2764655.1</v>
      </c>
      <c r="Z58" t="n">
        <v>2770684.4</v>
      </c>
      <c r="AA58" t="n">
        <v>2787518.6</v>
      </c>
      <c r="AB58" t="n">
        <v>2811853.1</v>
      </c>
      <c r="AC58" t="n">
        <v>2843685.3</v>
      </c>
      <c r="AD58" t="n">
        <v>2900921.2</v>
      </c>
      <c r="AE58" t="n">
        <v>2901927.8</v>
      </c>
      <c r="AF58" t="n">
        <v>2956695.6</v>
      </c>
    </row>
    <row r="59">
      <c r="A59" t="s">
        <v>130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132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4477.7</v>
      </c>
      <c r="H2" t="n">
        <v>4414.9</v>
      </c>
      <c r="I2" t="n">
        <v>4470.1</v>
      </c>
      <c r="J2" t="n">
        <v>4537.8</v>
      </c>
      <c r="K2" t="n">
        <v>4532.2</v>
      </c>
      <c r="L2" t="n">
        <v>4324.1</v>
      </c>
      <c r="M2" t="n">
        <v>4467.8</v>
      </c>
      <c r="N2" t="n">
        <v>4547.5</v>
      </c>
      <c r="O2" t="n">
        <v>4719.3</v>
      </c>
      <c r="P2" t="n">
        <v>4745.6</v>
      </c>
      <c r="Q2" t="n">
        <v>4694.6</v>
      </c>
      <c r="R2" t="n">
        <v>4989.6</v>
      </c>
      <c r="S2" t="n">
        <v>4899.4</v>
      </c>
      <c r="T2" t="n">
        <v>4682.8</v>
      </c>
      <c r="U2" t="n">
        <v>5041.2</v>
      </c>
      <c r="V2" t="n">
        <v>5500.6</v>
      </c>
      <c r="W2" t="n">
        <v>5312.3</v>
      </c>
      <c r="X2" t="n">
        <v>5320.7</v>
      </c>
      <c r="Y2" t="n">
        <v>5246.5</v>
      </c>
      <c r="Z2" t="n">
        <v>5230.2</v>
      </c>
      <c r="AA2" t="n">
        <v>5193</v>
      </c>
      <c r="AB2" t="n">
        <v>5277</v>
      </c>
      <c r="AC2" t="n">
        <v>5234.6</v>
      </c>
      <c r="AD2" t="n">
        <v>5136</v>
      </c>
      <c r="AE2" t="n">
        <v>5066.2</v>
      </c>
      <c r="AF2" t="n">
        <v>4805.1</v>
      </c>
    </row>
    <row r="3">
      <c r="A3" t="s">
        <v>132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132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132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132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132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132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132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132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132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132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132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132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132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132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132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132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132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132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132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132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132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132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132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132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132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132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132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132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132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132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132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132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132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132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132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132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132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132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132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132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132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132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4507.8</v>
      </c>
      <c r="H44" t="n">
        <v>4455.4</v>
      </c>
      <c r="I44" t="n">
        <v>4520</v>
      </c>
      <c r="J44" t="n">
        <v>4599</v>
      </c>
      <c r="K44" t="n">
        <v>4653.4</v>
      </c>
      <c r="L44" t="n">
        <v>4523.2</v>
      </c>
      <c r="M44" t="n">
        <v>4756.6</v>
      </c>
      <c r="N44" t="n">
        <v>4879.9</v>
      </c>
      <c r="O44" t="n">
        <v>5122.9</v>
      </c>
      <c r="P44" t="n">
        <v>5191.2</v>
      </c>
      <c r="Q44" t="n">
        <v>5154.1</v>
      </c>
      <c r="R44" t="n">
        <v>5538.5</v>
      </c>
      <c r="S44" t="n">
        <v>5400.6</v>
      </c>
      <c r="T44" t="n">
        <v>5255</v>
      </c>
      <c r="U44" t="n">
        <v>5616.2</v>
      </c>
      <c r="V44" t="n">
        <v>6063.2</v>
      </c>
      <c r="W44" t="n">
        <v>5857.2</v>
      </c>
      <c r="X44" t="n">
        <v>5899.9</v>
      </c>
      <c r="Y44" t="n">
        <v>5811.5</v>
      </c>
      <c r="Z44" t="n">
        <v>5799.2</v>
      </c>
      <c r="AA44" t="n">
        <v>5689.1</v>
      </c>
      <c r="AB44" t="n">
        <v>5742.6</v>
      </c>
      <c r="AC44" t="n">
        <v>5685.3</v>
      </c>
      <c r="AD44" t="n">
        <v>5569.9</v>
      </c>
      <c r="AE44" t="n">
        <v>5482.7</v>
      </c>
      <c r="AF44" t="n">
        <v>5145.6</v>
      </c>
    </row>
    <row r="45">
      <c r="A45" t="s">
        <v>132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132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132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132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132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132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132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132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132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132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132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132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132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4507.8</v>
      </c>
      <c r="H57" t="n">
        <v>4455.4</v>
      </c>
      <c r="I57" t="n">
        <v>4520</v>
      </c>
      <c r="J57" t="n">
        <v>4599</v>
      </c>
      <c r="K57" t="n">
        <v>4653.4</v>
      </c>
      <c r="L57" t="n">
        <v>4523.2</v>
      </c>
      <c r="M57" t="n">
        <v>4756.6</v>
      </c>
      <c r="N57" t="n">
        <v>4879.9</v>
      </c>
      <c r="O57" t="n">
        <v>5122.9</v>
      </c>
      <c r="P57" t="n">
        <v>5191.2</v>
      </c>
      <c r="Q57" t="n">
        <v>5154.1</v>
      </c>
      <c r="R57" t="n">
        <v>5538.5</v>
      </c>
      <c r="S57" t="n">
        <v>5400.6</v>
      </c>
      <c r="T57" t="n">
        <v>5255</v>
      </c>
      <c r="U57" t="n">
        <v>5616.2</v>
      </c>
      <c r="V57" t="n">
        <v>6063.2</v>
      </c>
      <c r="W57" t="n">
        <v>5857.2</v>
      </c>
      <c r="X57" t="n">
        <v>5899.9</v>
      </c>
      <c r="Y57" t="n">
        <v>5811.5</v>
      </c>
      <c r="Z57" t="n">
        <v>5799.2</v>
      </c>
      <c r="AA57" t="n">
        <v>5689.1</v>
      </c>
      <c r="AB57" t="n">
        <v>5742.6</v>
      </c>
      <c r="AC57" t="n">
        <v>5685.3</v>
      </c>
      <c r="AD57" t="n">
        <v>5569.9</v>
      </c>
      <c r="AE57" t="n">
        <v>5482.7</v>
      </c>
      <c r="AF57" t="n">
        <v>5145.6</v>
      </c>
    </row>
    <row r="58">
      <c r="A58" t="s">
        <v>132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4507.8</v>
      </c>
      <c r="H58" t="n">
        <v>4455.4</v>
      </c>
      <c r="I58" t="n">
        <v>4520</v>
      </c>
      <c r="J58" t="n">
        <v>4599</v>
      </c>
      <c r="K58" t="n">
        <v>4653.4</v>
      </c>
      <c r="L58" t="n">
        <v>4523.2</v>
      </c>
      <c r="M58" t="n">
        <v>4756.6</v>
      </c>
      <c r="N58" t="n">
        <v>4879.9</v>
      </c>
      <c r="O58" t="n">
        <v>5122.9</v>
      </c>
      <c r="P58" t="n">
        <v>5191.2</v>
      </c>
      <c r="Q58" t="n">
        <v>5154.1</v>
      </c>
      <c r="R58" t="n">
        <v>5538.5</v>
      </c>
      <c r="S58" t="n">
        <v>5400.6</v>
      </c>
      <c r="T58" t="n">
        <v>5255</v>
      </c>
      <c r="U58" t="n">
        <v>5616.2</v>
      </c>
      <c r="V58" t="n">
        <v>6063.2</v>
      </c>
      <c r="W58" t="n">
        <v>5857.2</v>
      </c>
      <c r="X58" t="n">
        <v>5899.9</v>
      </c>
      <c r="Y58" t="n">
        <v>5811.5</v>
      </c>
      <c r="Z58" t="n">
        <v>5799.2</v>
      </c>
      <c r="AA58" t="n">
        <v>5689.1</v>
      </c>
      <c r="AB58" t="n">
        <v>5742.6</v>
      </c>
      <c r="AC58" t="n">
        <v>5685.3</v>
      </c>
      <c r="AD58" t="n">
        <v>5569.9</v>
      </c>
      <c r="AE58" t="n">
        <v>5482.7</v>
      </c>
      <c r="AF58" t="n">
        <v>5145.6</v>
      </c>
    </row>
    <row r="59">
      <c r="A59" t="s">
        <v>132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134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4.6</v>
      </c>
      <c r="H2" t="n">
        <v>4.7</v>
      </c>
      <c r="I2" t="n">
        <v>5</v>
      </c>
      <c r="J2" t="n">
        <v>5.3</v>
      </c>
      <c r="K2" t="n">
        <v>5.6</v>
      </c>
      <c r="L2" t="n">
        <v>6</v>
      </c>
      <c r="M2" t="n">
        <v>6.3</v>
      </c>
      <c r="N2" t="n">
        <v>6.7</v>
      </c>
      <c r="O2" t="n">
        <v>7.1</v>
      </c>
      <c r="P2" t="n">
        <v>7.5</v>
      </c>
      <c r="Q2" t="n">
        <v>8</v>
      </c>
      <c r="R2" t="n">
        <v>8.5</v>
      </c>
      <c r="S2" t="n">
        <v>9</v>
      </c>
      <c r="T2" t="n">
        <v>11</v>
      </c>
      <c r="U2" t="n">
        <v>16.1</v>
      </c>
      <c r="V2" t="n">
        <v>20.9</v>
      </c>
      <c r="W2" t="n">
        <v>24</v>
      </c>
      <c r="X2" t="n">
        <v>26.3</v>
      </c>
      <c r="Y2" t="n">
        <v>32.4</v>
      </c>
      <c r="Z2" t="n">
        <v>39.2</v>
      </c>
      <c r="AA2" t="n">
        <v>51.7</v>
      </c>
      <c r="AB2" t="n">
        <v>63.2</v>
      </c>
      <c r="AC2" t="n">
        <v>76.7</v>
      </c>
      <c r="AD2" t="n">
        <v>99.5</v>
      </c>
      <c r="AE2" t="n">
        <v>121.2</v>
      </c>
      <c r="AF2" t="n">
        <v>139.9</v>
      </c>
    </row>
    <row r="3">
      <c r="A3" t="s">
        <v>134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662.8</v>
      </c>
      <c r="H3" t="n">
        <v>656.5</v>
      </c>
      <c r="I3" t="n">
        <v>672.7</v>
      </c>
      <c r="J3" t="n">
        <v>703</v>
      </c>
      <c r="K3" t="n">
        <v>721.8</v>
      </c>
      <c r="L3" t="n">
        <v>767.2</v>
      </c>
      <c r="M3" t="n">
        <v>797.7</v>
      </c>
      <c r="N3" t="n">
        <v>849.4</v>
      </c>
      <c r="O3" t="n">
        <v>888.6</v>
      </c>
      <c r="P3" t="n">
        <v>943.7</v>
      </c>
      <c r="Q3" t="n">
        <v>997.9</v>
      </c>
      <c r="R3" t="n">
        <v>1051.7</v>
      </c>
      <c r="S3" t="n">
        <v>1119</v>
      </c>
      <c r="T3" t="n">
        <v>1164.9</v>
      </c>
      <c r="U3" t="n">
        <v>1153.3</v>
      </c>
      <c r="V3" t="n">
        <v>1151.3</v>
      </c>
      <c r="W3" t="n">
        <v>1114.6</v>
      </c>
      <c r="X3" t="n">
        <v>1046.4</v>
      </c>
      <c r="Y3" t="n">
        <v>978.4</v>
      </c>
      <c r="Z3" t="n">
        <v>901.7</v>
      </c>
      <c r="AA3" t="n">
        <v>870.6</v>
      </c>
      <c r="AB3" t="n">
        <v>836</v>
      </c>
      <c r="AC3" t="n">
        <v>842</v>
      </c>
      <c r="AD3" t="n">
        <v>853</v>
      </c>
      <c r="AE3" t="n">
        <v>846.7</v>
      </c>
      <c r="AF3" t="n">
        <v>881.5</v>
      </c>
    </row>
    <row r="4">
      <c r="A4" t="s">
        <v>134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20419.1</v>
      </c>
      <c r="H4" t="n">
        <v>20368.9</v>
      </c>
      <c r="I4" t="n">
        <v>20989.5</v>
      </c>
      <c r="J4" t="n">
        <v>22027</v>
      </c>
      <c r="K4" t="n">
        <v>22693.9</v>
      </c>
      <c r="L4" t="n">
        <v>24186.3</v>
      </c>
      <c r="M4" t="n">
        <v>25198.9</v>
      </c>
      <c r="N4" t="n">
        <v>26870.3</v>
      </c>
      <c r="O4" t="n">
        <v>28144.8</v>
      </c>
      <c r="P4" t="n">
        <v>29914.5</v>
      </c>
      <c r="Q4" t="n">
        <v>31656.4</v>
      </c>
      <c r="R4" t="n">
        <v>33379.9</v>
      </c>
      <c r="S4" t="n">
        <v>35530.5</v>
      </c>
      <c r="T4" t="n">
        <v>37733</v>
      </c>
      <c r="U4" t="n">
        <v>38774.9</v>
      </c>
      <c r="V4" t="n">
        <v>41351.1</v>
      </c>
      <c r="W4" t="n">
        <v>42116.6</v>
      </c>
      <c r="X4" t="n">
        <v>41976.7</v>
      </c>
      <c r="Y4" t="n">
        <v>43505.4</v>
      </c>
      <c r="Z4" t="n">
        <v>46498.9</v>
      </c>
      <c r="AA4" t="n">
        <v>50411.2</v>
      </c>
      <c r="AB4" t="n">
        <v>51852.9</v>
      </c>
      <c r="AC4" t="n">
        <v>54064.7</v>
      </c>
      <c r="AD4" t="n">
        <v>56762.4</v>
      </c>
      <c r="AE4" t="n">
        <v>58059.8</v>
      </c>
      <c r="AF4" t="n">
        <v>58900.4</v>
      </c>
    </row>
    <row r="5">
      <c r="A5" t="s">
        <v>134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680.3</v>
      </c>
      <c r="H5" t="n">
        <v>677.7</v>
      </c>
      <c r="I5" t="n">
        <v>697.5</v>
      </c>
      <c r="J5" t="n">
        <v>731.4</v>
      </c>
      <c r="K5" t="n">
        <v>753</v>
      </c>
      <c r="L5" t="n">
        <v>802.1</v>
      </c>
      <c r="M5" t="n">
        <v>835.4</v>
      </c>
      <c r="N5" t="n">
        <v>890.5</v>
      </c>
      <c r="O5" t="n">
        <v>932.5</v>
      </c>
      <c r="P5" t="n">
        <v>991</v>
      </c>
      <c r="Q5" t="n">
        <v>1048.6</v>
      </c>
      <c r="R5" t="n">
        <v>1105.5</v>
      </c>
      <c r="S5" t="n">
        <v>1176.7</v>
      </c>
      <c r="T5" t="n">
        <v>1248.9</v>
      </c>
      <c r="U5" t="n">
        <v>1264</v>
      </c>
      <c r="V5" t="n">
        <v>1327.8</v>
      </c>
      <c r="W5" t="n">
        <v>1347.5</v>
      </c>
      <c r="X5" t="n">
        <v>1350.2</v>
      </c>
      <c r="Y5" t="n">
        <v>1396.8</v>
      </c>
      <c r="Z5" t="n">
        <v>1485.8</v>
      </c>
      <c r="AA5" t="n">
        <v>1618.3</v>
      </c>
      <c r="AB5" t="n">
        <v>1613.1</v>
      </c>
      <c r="AC5" t="n">
        <v>1670.5</v>
      </c>
      <c r="AD5" t="n">
        <v>1744</v>
      </c>
      <c r="AE5" t="n">
        <v>1811</v>
      </c>
      <c r="AF5"/>
    </row>
    <row r="6">
      <c r="A6" t="s">
        <v>134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1060.7</v>
      </c>
      <c r="H6" t="n">
        <v>1064.1</v>
      </c>
      <c r="I6" t="n">
        <v>1101.2</v>
      </c>
      <c r="J6" t="n">
        <v>1159.4</v>
      </c>
      <c r="K6" t="n">
        <v>1197.6</v>
      </c>
      <c r="L6" t="n">
        <v>1278.9</v>
      </c>
      <c r="M6" t="n">
        <v>1334.5</v>
      </c>
      <c r="N6" t="n">
        <v>1424.6</v>
      </c>
      <c r="O6" t="n">
        <v>1493.5</v>
      </c>
      <c r="P6" t="n">
        <v>1588.4</v>
      </c>
      <c r="Q6" t="n">
        <v>1681.8</v>
      </c>
      <c r="R6" t="n">
        <v>1774</v>
      </c>
      <c r="S6" t="n">
        <v>1889</v>
      </c>
      <c r="T6" t="n">
        <v>2085.3</v>
      </c>
      <c r="U6" t="n">
        <v>2227.8</v>
      </c>
      <c r="V6" t="n">
        <v>2432.9</v>
      </c>
      <c r="W6" t="n">
        <v>2547.4</v>
      </c>
      <c r="X6" t="n">
        <v>2571.5</v>
      </c>
      <c r="Y6" t="n">
        <v>2714.7</v>
      </c>
      <c r="Z6" t="n">
        <v>2935.2</v>
      </c>
      <c r="AA6" t="n">
        <v>3216.9</v>
      </c>
      <c r="AB6" t="n">
        <v>3402.4</v>
      </c>
      <c r="AC6" t="n">
        <v>3666.5</v>
      </c>
      <c r="AD6" t="n">
        <v>3962.3</v>
      </c>
      <c r="AE6" t="n">
        <v>4017.1</v>
      </c>
      <c r="AF6"/>
    </row>
    <row r="7">
      <c r="A7" t="s">
        <v>134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226</v>
      </c>
      <c r="H7" t="n">
        <v>225.5</v>
      </c>
      <c r="I7" t="n">
        <v>232.3</v>
      </c>
      <c r="J7" t="n">
        <v>243.8</v>
      </c>
      <c r="K7" t="n">
        <v>251.2</v>
      </c>
      <c r="L7" t="n">
        <v>267.8</v>
      </c>
      <c r="M7" t="n">
        <v>279</v>
      </c>
      <c r="N7" t="n">
        <v>297.5</v>
      </c>
      <c r="O7" t="n">
        <v>311.6</v>
      </c>
      <c r="P7" t="n">
        <v>331.2</v>
      </c>
      <c r="Q7" t="n">
        <v>350.5</v>
      </c>
      <c r="R7" t="n">
        <v>369.6</v>
      </c>
      <c r="S7" t="n">
        <v>393.4</v>
      </c>
      <c r="T7" t="n">
        <v>438.3</v>
      </c>
      <c r="U7" t="n">
        <v>442.4</v>
      </c>
      <c r="V7" t="n">
        <v>457.7</v>
      </c>
      <c r="W7" t="n">
        <v>451.7</v>
      </c>
      <c r="X7" t="n">
        <v>449.4</v>
      </c>
      <c r="Y7" t="n">
        <v>468.2</v>
      </c>
      <c r="Z7" t="n">
        <v>503.3</v>
      </c>
      <c r="AA7" t="n">
        <v>567</v>
      </c>
      <c r="AB7" t="n">
        <v>593</v>
      </c>
      <c r="AC7" t="n">
        <v>636.8</v>
      </c>
      <c r="AD7" t="n">
        <v>708.4</v>
      </c>
      <c r="AE7" t="n">
        <v>756.2</v>
      </c>
      <c r="AF7"/>
    </row>
    <row r="8">
      <c r="A8" t="s">
        <v>134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13.7</v>
      </c>
      <c r="H8" t="n">
        <v>13.8</v>
      </c>
      <c r="I8" t="n">
        <v>14.3</v>
      </c>
      <c r="J8" t="n">
        <v>15</v>
      </c>
      <c r="K8" t="n">
        <v>15.5</v>
      </c>
      <c r="L8" t="n">
        <v>16.6</v>
      </c>
      <c r="M8" t="n">
        <v>17.3</v>
      </c>
      <c r="N8" t="n">
        <v>18.5</v>
      </c>
      <c r="O8" t="n">
        <v>19.4</v>
      </c>
      <c r="P8" t="n">
        <v>20.6</v>
      </c>
      <c r="Q8" t="n">
        <v>21.8</v>
      </c>
      <c r="R8" t="n">
        <v>23</v>
      </c>
      <c r="S8" t="n">
        <v>24.5</v>
      </c>
      <c r="T8" t="n">
        <v>25.2</v>
      </c>
      <c r="U8" t="n">
        <v>24.4</v>
      </c>
      <c r="V8" t="n">
        <v>36.5</v>
      </c>
      <c r="W8" t="n">
        <v>41.1</v>
      </c>
      <c r="X8" t="n">
        <v>44.6</v>
      </c>
      <c r="Y8" t="n">
        <v>51.4</v>
      </c>
      <c r="Z8" t="n">
        <v>58.3</v>
      </c>
      <c r="AA8" t="n">
        <v>64.8</v>
      </c>
      <c r="AB8" t="n">
        <v>83.3</v>
      </c>
      <c r="AC8" t="n">
        <v>117.7</v>
      </c>
      <c r="AD8" t="n">
        <v>119.9</v>
      </c>
      <c r="AE8" t="n">
        <v>113.8</v>
      </c>
      <c r="AF8"/>
    </row>
    <row r="9">
      <c r="A9" t="s">
        <v>134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1154.7</v>
      </c>
      <c r="H9" t="n">
        <v>1147.6</v>
      </c>
      <c r="I9" t="n">
        <v>1179.3</v>
      </c>
      <c r="J9" t="n">
        <v>1234.8</v>
      </c>
      <c r="K9" t="n">
        <v>1270</v>
      </c>
      <c r="L9" t="n">
        <v>1351.7</v>
      </c>
      <c r="M9" t="n">
        <v>1406.9</v>
      </c>
      <c r="N9" t="n">
        <v>1499</v>
      </c>
      <c r="O9" t="n">
        <v>1569.2</v>
      </c>
      <c r="P9" t="n">
        <v>1667.1</v>
      </c>
      <c r="Q9" t="n">
        <v>1763.6</v>
      </c>
      <c r="R9" t="n">
        <v>1859.1</v>
      </c>
      <c r="S9" t="n">
        <v>1978.4</v>
      </c>
      <c r="T9" t="n">
        <v>2064.8</v>
      </c>
      <c r="U9" t="n">
        <v>2095.1</v>
      </c>
      <c r="V9" t="n">
        <v>2146.8</v>
      </c>
      <c r="W9" t="n">
        <v>2140.9</v>
      </c>
      <c r="X9" t="n">
        <v>2087.7</v>
      </c>
      <c r="Y9" t="n">
        <v>2099.1</v>
      </c>
      <c r="Z9" t="n">
        <v>2129.6</v>
      </c>
      <c r="AA9" t="n">
        <v>2304.7</v>
      </c>
      <c r="AB9" t="n">
        <v>2348.5</v>
      </c>
      <c r="AC9" t="n">
        <v>2444.1</v>
      </c>
      <c r="AD9" t="n">
        <v>2501.3</v>
      </c>
      <c r="AE9" t="n">
        <v>2575.9</v>
      </c>
      <c r="AF9"/>
    </row>
    <row r="10">
      <c r="A10" t="s">
        <v>134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2768.8</v>
      </c>
      <c r="H10" t="n">
        <v>2760.6</v>
      </c>
      <c r="I10" t="n">
        <v>2843.6</v>
      </c>
      <c r="J10" t="n">
        <v>2983.2</v>
      </c>
      <c r="K10" t="n">
        <v>3072.8</v>
      </c>
      <c r="L10" t="n">
        <v>3274.2</v>
      </c>
      <c r="M10" t="n">
        <v>3410.8</v>
      </c>
      <c r="N10" t="n">
        <v>3636.6</v>
      </c>
      <c r="O10" t="n">
        <v>3808.8</v>
      </c>
      <c r="P10" t="n">
        <v>4048.1</v>
      </c>
      <c r="Q10" t="n">
        <v>4283.6</v>
      </c>
      <c r="R10" t="n">
        <v>4516.6</v>
      </c>
      <c r="S10" t="n">
        <v>4807.4</v>
      </c>
      <c r="T10" t="n">
        <v>5128.8</v>
      </c>
      <c r="U10" t="n">
        <v>5314.7</v>
      </c>
      <c r="V10" t="n">
        <v>5518.9</v>
      </c>
      <c r="W10" t="n">
        <v>5538.4</v>
      </c>
      <c r="X10" t="n">
        <v>5413.6</v>
      </c>
      <c r="Y10" t="n">
        <v>5350.6</v>
      </c>
      <c r="Z10" t="n">
        <v>5507.3</v>
      </c>
      <c r="AA10" t="n">
        <v>5934.9</v>
      </c>
      <c r="AB10" t="n">
        <v>5898.1</v>
      </c>
      <c r="AC10" t="n">
        <v>5943.4</v>
      </c>
      <c r="AD10" t="n">
        <v>6005.9</v>
      </c>
      <c r="AE10" t="n">
        <v>6241.9</v>
      </c>
      <c r="AF10"/>
    </row>
    <row r="11">
      <c r="A11" t="s">
        <v>134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1614.1</v>
      </c>
      <c r="H11" t="n">
        <v>1613</v>
      </c>
      <c r="I11" t="n">
        <v>1664.3</v>
      </c>
      <c r="J11" t="n">
        <v>1748.4</v>
      </c>
      <c r="K11" t="n">
        <v>1802.8</v>
      </c>
      <c r="L11" t="n">
        <v>1922.5</v>
      </c>
      <c r="M11" t="n">
        <v>2003.9</v>
      </c>
      <c r="N11" t="n">
        <v>2137.6</v>
      </c>
      <c r="O11" t="n">
        <v>2239.6</v>
      </c>
      <c r="P11" t="n">
        <v>2381</v>
      </c>
      <c r="Q11" t="n">
        <v>2520</v>
      </c>
      <c r="R11" t="n">
        <v>2657.5</v>
      </c>
      <c r="S11" t="n">
        <v>2829</v>
      </c>
      <c r="T11" t="n">
        <v>3064</v>
      </c>
      <c r="U11" t="n">
        <v>3219.6</v>
      </c>
      <c r="V11" t="n">
        <v>3372.1</v>
      </c>
      <c r="W11" t="n">
        <v>3397.5</v>
      </c>
      <c r="X11" t="n">
        <v>3325.9</v>
      </c>
      <c r="Y11" t="n">
        <v>3251.5</v>
      </c>
      <c r="Z11" t="n">
        <v>3377.7</v>
      </c>
      <c r="AA11" t="n">
        <v>3630.2</v>
      </c>
      <c r="AB11" t="n">
        <v>3549.6</v>
      </c>
      <c r="AC11" t="n">
        <v>3499.3</v>
      </c>
      <c r="AD11" t="n">
        <v>3504.6</v>
      </c>
      <c r="AE11" t="n">
        <v>3666</v>
      </c>
      <c r="AF11"/>
    </row>
    <row r="12">
      <c r="A12" t="s">
        <v>134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801</v>
      </c>
      <c r="H12" t="n">
        <v>796.4</v>
      </c>
      <c r="I12" t="n">
        <v>818.7</v>
      </c>
      <c r="J12" t="n">
        <v>857.5</v>
      </c>
      <c r="K12" t="n">
        <v>882.2</v>
      </c>
      <c r="L12" t="n">
        <v>939.1</v>
      </c>
      <c r="M12" t="n">
        <v>977.5</v>
      </c>
      <c r="N12" t="n">
        <v>1041.7</v>
      </c>
      <c r="O12" t="n">
        <v>1090.5</v>
      </c>
      <c r="P12" t="n">
        <v>1158.6</v>
      </c>
      <c r="Q12" t="n">
        <v>1225.7</v>
      </c>
      <c r="R12" t="n">
        <v>1292.2</v>
      </c>
      <c r="S12" t="n">
        <v>1375.1</v>
      </c>
      <c r="T12" t="n">
        <v>1449.5</v>
      </c>
      <c r="U12" t="n">
        <v>1476.7</v>
      </c>
      <c r="V12" t="n">
        <v>1504.7</v>
      </c>
      <c r="W12" t="n">
        <v>1535</v>
      </c>
      <c r="X12" t="n">
        <v>1524.1</v>
      </c>
      <c r="Y12" t="n">
        <v>1579.3</v>
      </c>
      <c r="Z12" t="n">
        <v>1813.6</v>
      </c>
      <c r="AA12" t="n">
        <v>2121.6</v>
      </c>
      <c r="AB12" t="n">
        <v>2308.5</v>
      </c>
      <c r="AC12" t="n">
        <v>2453.8</v>
      </c>
      <c r="AD12" t="n">
        <v>2586.2</v>
      </c>
      <c r="AE12" t="n">
        <v>2620.8</v>
      </c>
      <c r="AF12"/>
    </row>
    <row r="13">
      <c r="A13" t="s">
        <v>134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959.4</v>
      </c>
      <c r="H13" t="n">
        <v>956.2</v>
      </c>
      <c r="I13" t="n">
        <v>984.7</v>
      </c>
      <c r="J13" t="n">
        <v>1032.9</v>
      </c>
      <c r="K13" t="n">
        <v>1063.7</v>
      </c>
      <c r="L13" t="n">
        <v>1133.3</v>
      </c>
      <c r="M13" t="n">
        <v>1180.5</v>
      </c>
      <c r="N13" t="n">
        <v>1258.6</v>
      </c>
      <c r="O13" t="n">
        <v>1318.1</v>
      </c>
      <c r="P13" t="n">
        <v>1400.8</v>
      </c>
      <c r="Q13" t="n">
        <v>1482.3</v>
      </c>
      <c r="R13" t="n">
        <v>1562.9</v>
      </c>
      <c r="S13" t="n">
        <v>1663.5</v>
      </c>
      <c r="T13" t="n">
        <v>1766.8</v>
      </c>
      <c r="U13" t="n">
        <v>1798.6</v>
      </c>
      <c r="V13" t="n">
        <v>1899.2</v>
      </c>
      <c r="W13" t="n">
        <v>1930.2</v>
      </c>
      <c r="X13" t="n">
        <v>1942.6</v>
      </c>
      <c r="Y13" t="n">
        <v>1977.1</v>
      </c>
      <c r="Z13" t="n">
        <v>2066.1</v>
      </c>
      <c r="AA13" t="n">
        <v>2308.6</v>
      </c>
      <c r="AB13" t="n">
        <v>2473.5</v>
      </c>
      <c r="AC13" t="n">
        <v>2710.8</v>
      </c>
      <c r="AD13" t="n">
        <v>2897.6</v>
      </c>
      <c r="AE13" t="n">
        <v>2895.6</v>
      </c>
      <c r="AF13"/>
    </row>
    <row r="14">
      <c r="A14" t="s">
        <v>134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2665.5</v>
      </c>
      <c r="H14" t="n">
        <v>2662.8</v>
      </c>
      <c r="I14" t="n">
        <v>2747</v>
      </c>
      <c r="J14" t="n">
        <v>2885.3</v>
      </c>
      <c r="K14" t="n">
        <v>2974.6</v>
      </c>
      <c r="L14" t="n">
        <v>3171.9</v>
      </c>
      <c r="M14" t="n">
        <v>3306</v>
      </c>
      <c r="N14" t="n">
        <v>3526.3</v>
      </c>
      <c r="O14" t="n">
        <v>3694.4</v>
      </c>
      <c r="P14" t="n">
        <v>3927.4</v>
      </c>
      <c r="Q14" t="n">
        <v>4156.6</v>
      </c>
      <c r="R14" t="n">
        <v>4383.4</v>
      </c>
      <c r="S14" t="n">
        <v>4666.2</v>
      </c>
      <c r="T14" t="n">
        <v>4989.3</v>
      </c>
      <c r="U14" t="n">
        <v>5206.5</v>
      </c>
      <c r="V14" t="n">
        <v>5542.9</v>
      </c>
      <c r="W14" t="n">
        <v>5585.3</v>
      </c>
      <c r="X14" t="n">
        <v>5442.2</v>
      </c>
      <c r="Y14" t="n">
        <v>5819.3</v>
      </c>
      <c r="Z14" t="n">
        <v>6303.9</v>
      </c>
      <c r="AA14" t="n">
        <v>6302.6</v>
      </c>
      <c r="AB14" t="n">
        <v>6080.9</v>
      </c>
      <c r="AC14" t="n">
        <v>5978.4</v>
      </c>
      <c r="AD14" t="n">
        <v>5993.2</v>
      </c>
      <c r="AE14" t="n">
        <v>6285.8</v>
      </c>
      <c r="AF14"/>
    </row>
    <row r="15">
      <c r="A15" t="s">
        <v>134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3853.7</v>
      </c>
      <c r="H15" t="n">
        <v>3852.4</v>
      </c>
      <c r="I15" t="n">
        <v>3976.3</v>
      </c>
      <c r="J15" t="n">
        <v>4178.2</v>
      </c>
      <c r="K15" t="n">
        <v>4308.9</v>
      </c>
      <c r="L15" t="n">
        <v>4595.8</v>
      </c>
      <c r="M15" t="n">
        <v>4791</v>
      </c>
      <c r="N15" t="n">
        <v>5111</v>
      </c>
      <c r="O15" t="n">
        <v>5355.2</v>
      </c>
      <c r="P15" t="n">
        <v>5693.4</v>
      </c>
      <c r="Q15" t="n">
        <v>6026</v>
      </c>
      <c r="R15" t="n">
        <v>6355.1</v>
      </c>
      <c r="S15" t="n">
        <v>6765.4</v>
      </c>
      <c r="T15" t="n">
        <v>7319.5</v>
      </c>
      <c r="U15" t="n">
        <v>7605</v>
      </c>
      <c r="V15" t="n">
        <v>8139.6</v>
      </c>
      <c r="W15" t="n">
        <v>8240</v>
      </c>
      <c r="X15" t="n">
        <v>8011.3</v>
      </c>
      <c r="Y15" t="n">
        <v>8371.5</v>
      </c>
      <c r="Z15" t="n">
        <v>8961.4</v>
      </c>
      <c r="AA15" t="n">
        <v>9209.5</v>
      </c>
      <c r="AB15" t="n">
        <v>9040</v>
      </c>
      <c r="AC15" t="n">
        <v>9068.6</v>
      </c>
      <c r="AD15" t="n">
        <v>9283.7</v>
      </c>
      <c r="AE15" t="n">
        <v>9620.4</v>
      </c>
      <c r="AF15"/>
    </row>
    <row r="16">
      <c r="A16" t="s">
        <v>134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1188.2</v>
      </c>
      <c r="H16" t="n">
        <v>1189.6</v>
      </c>
      <c r="I16" t="n">
        <v>1229.3</v>
      </c>
      <c r="J16" t="n">
        <v>1292.9</v>
      </c>
      <c r="K16" t="n">
        <v>1334.3</v>
      </c>
      <c r="L16" t="n">
        <v>1423.9</v>
      </c>
      <c r="M16" t="n">
        <v>1485</v>
      </c>
      <c r="N16" t="n">
        <v>1584.7</v>
      </c>
      <c r="O16" t="n">
        <v>1660.8</v>
      </c>
      <c r="P16" t="n">
        <v>1766</v>
      </c>
      <c r="Q16" t="n">
        <v>1869.4</v>
      </c>
      <c r="R16" t="n">
        <v>1971.7</v>
      </c>
      <c r="S16" t="n">
        <v>2099.2</v>
      </c>
      <c r="T16" t="n">
        <v>2330.2</v>
      </c>
      <c r="U16" t="n">
        <v>2398.5</v>
      </c>
      <c r="V16" t="n">
        <v>2596.7</v>
      </c>
      <c r="W16" t="n">
        <v>2654.7</v>
      </c>
      <c r="X16" t="n">
        <v>2569.1</v>
      </c>
      <c r="Y16" t="n">
        <v>2552.2</v>
      </c>
      <c r="Z16" t="n">
        <v>2657.5</v>
      </c>
      <c r="AA16" t="n">
        <v>2906.9</v>
      </c>
      <c r="AB16" t="n">
        <v>2959.1</v>
      </c>
      <c r="AC16" t="n">
        <v>3090.2</v>
      </c>
      <c r="AD16" t="n">
        <v>3290.5</v>
      </c>
      <c r="AE16" t="n">
        <v>3334.6</v>
      </c>
      <c r="AF16"/>
    </row>
    <row r="17">
      <c r="A17" t="s">
        <v>134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3232.5</v>
      </c>
      <c r="H17" t="n">
        <v>3224.7</v>
      </c>
      <c r="I17" t="n">
        <v>3323.2</v>
      </c>
      <c r="J17" t="n">
        <v>3487.6</v>
      </c>
      <c r="K17" t="n">
        <v>3593.3</v>
      </c>
      <c r="L17" t="n">
        <v>3829.7</v>
      </c>
      <c r="M17" t="n">
        <v>3990.1</v>
      </c>
      <c r="N17" t="n">
        <v>4254.8</v>
      </c>
      <c r="O17" t="n">
        <v>4456.7</v>
      </c>
      <c r="P17" t="n">
        <v>4737</v>
      </c>
      <c r="Q17" t="n">
        <v>5012.8</v>
      </c>
      <c r="R17" t="n">
        <v>5285.8</v>
      </c>
      <c r="S17" t="n">
        <v>5626.4</v>
      </c>
      <c r="T17" t="n">
        <v>5956.7</v>
      </c>
      <c r="U17" t="n">
        <v>6094.3</v>
      </c>
      <c r="V17" t="n">
        <v>6527.7</v>
      </c>
      <c r="W17" t="n">
        <v>6690.3</v>
      </c>
      <c r="X17" t="n">
        <v>6787.2</v>
      </c>
      <c r="Y17" t="n">
        <v>7115.8</v>
      </c>
      <c r="Z17" t="n">
        <v>7482.4</v>
      </c>
      <c r="AA17" t="n">
        <v>8063.1</v>
      </c>
      <c r="AB17" t="n">
        <v>8350.1</v>
      </c>
      <c r="AC17" t="n">
        <v>8885.3</v>
      </c>
      <c r="AD17" t="n">
        <v>9361.3</v>
      </c>
      <c r="AE17" t="n">
        <v>9702.6</v>
      </c>
      <c r="AF17"/>
    </row>
    <row r="18">
      <c r="A18" t="s">
        <v>134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6109.7</v>
      </c>
      <c r="H18" t="n">
        <v>6088.6</v>
      </c>
      <c r="I18" t="n">
        <v>6269.4</v>
      </c>
      <c r="J18" t="n">
        <v>6575.4</v>
      </c>
      <c r="K18" t="n">
        <v>6771.4</v>
      </c>
      <c r="L18" t="n">
        <v>7214.1</v>
      </c>
      <c r="M18" t="n">
        <v>7514</v>
      </c>
      <c r="N18" t="n">
        <v>8010.8</v>
      </c>
      <c r="O18" t="n">
        <v>8389.5</v>
      </c>
      <c r="P18" t="n">
        <v>8916</v>
      </c>
      <c r="Q18" t="n">
        <v>9434.3</v>
      </c>
      <c r="R18" t="n">
        <v>9947.2</v>
      </c>
      <c r="S18" t="n">
        <v>10587.5</v>
      </c>
      <c r="T18" t="n">
        <v>11027</v>
      </c>
      <c r="U18" t="n">
        <v>11218.9</v>
      </c>
      <c r="V18" t="n">
        <v>12171.5</v>
      </c>
      <c r="W18" t="n">
        <v>12474.5</v>
      </c>
      <c r="X18" t="n">
        <v>12594.1</v>
      </c>
      <c r="Y18" t="n">
        <v>13155.8</v>
      </c>
      <c r="Z18" t="n">
        <v>14308.2</v>
      </c>
      <c r="AA18" t="n">
        <v>15674.8</v>
      </c>
      <c r="AB18" t="n">
        <v>16360.9</v>
      </c>
      <c r="AC18" t="n">
        <v>17053.1</v>
      </c>
      <c r="AD18" t="n">
        <v>18104.2</v>
      </c>
      <c r="AE18" t="n">
        <v>18272.1</v>
      </c>
      <c r="AF18"/>
    </row>
    <row r="19">
      <c r="A19" t="s">
        <v>134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713.3</v>
      </c>
      <c r="H19" t="n">
        <v>708.9</v>
      </c>
      <c r="I19" t="n">
        <v>728.3</v>
      </c>
      <c r="J19" t="n">
        <v>762.6</v>
      </c>
      <c r="K19" t="n">
        <v>784.3</v>
      </c>
      <c r="L19" t="n">
        <v>834.7</v>
      </c>
      <c r="M19" t="n">
        <v>868.8</v>
      </c>
      <c r="N19" t="n">
        <v>925.7</v>
      </c>
      <c r="O19" t="n">
        <v>969</v>
      </c>
      <c r="P19" t="n">
        <v>1029.4</v>
      </c>
      <c r="Q19" t="n">
        <v>1089</v>
      </c>
      <c r="R19" t="n">
        <v>1148</v>
      </c>
      <c r="S19" t="n">
        <v>1221.6</v>
      </c>
      <c r="T19" t="n">
        <v>1287</v>
      </c>
      <c r="U19" t="n">
        <v>1308.1</v>
      </c>
      <c r="V19" t="n">
        <v>1334.6</v>
      </c>
      <c r="W19" t="n">
        <v>1320.5</v>
      </c>
      <c r="X19" t="n">
        <v>1288.1</v>
      </c>
      <c r="Y19" t="n">
        <v>1324.2</v>
      </c>
      <c r="Z19" t="n">
        <v>1377.3</v>
      </c>
      <c r="AA19" t="n">
        <v>1631.7</v>
      </c>
      <c r="AB19" t="n">
        <v>1730</v>
      </c>
      <c r="AC19" t="n">
        <v>1858.2</v>
      </c>
      <c r="AD19" t="n">
        <v>1988.9</v>
      </c>
      <c r="AE19" t="n">
        <v>2008.3</v>
      </c>
      <c r="AF19"/>
    </row>
    <row r="20">
      <c r="A20" t="s">
        <v>134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174.5</v>
      </c>
      <c r="H20" t="n">
        <v>165.3</v>
      </c>
      <c r="I20" t="n">
        <v>163.4</v>
      </c>
      <c r="J20" t="n">
        <v>165.8</v>
      </c>
      <c r="K20" t="n">
        <v>166.3</v>
      </c>
      <c r="L20" t="n">
        <v>173.4</v>
      </c>
      <c r="M20" t="n">
        <v>177.7</v>
      </c>
      <c r="N20" t="n">
        <v>187.1</v>
      </c>
      <c r="O20" t="n">
        <v>194.1</v>
      </c>
      <c r="P20" t="n">
        <v>204.7</v>
      </c>
      <c r="Q20" t="n">
        <v>215.4</v>
      </c>
      <c r="R20" t="n">
        <v>226.1</v>
      </c>
      <c r="S20" t="n">
        <v>239.7</v>
      </c>
      <c r="T20" t="n">
        <v>204.6</v>
      </c>
      <c r="U20" t="n">
        <v>180.5</v>
      </c>
      <c r="V20" t="n">
        <v>170.4</v>
      </c>
      <c r="W20" t="n">
        <v>167.8</v>
      </c>
      <c r="X20" t="n">
        <v>167.4</v>
      </c>
      <c r="Y20" t="n">
        <v>150.8</v>
      </c>
      <c r="Z20" t="n">
        <v>147.7</v>
      </c>
      <c r="AA20" t="n">
        <v>159.5</v>
      </c>
      <c r="AB20" t="n">
        <v>228.4</v>
      </c>
      <c r="AC20" t="n">
        <v>277.6</v>
      </c>
      <c r="AD20" t="n">
        <v>299</v>
      </c>
      <c r="AE20" t="n">
        <v>327.4</v>
      </c>
      <c r="AF20" t="n">
        <v>322.4</v>
      </c>
    </row>
    <row r="21">
      <c r="A21" t="s">
        <v>134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207.1</v>
      </c>
      <c r="H21" t="n">
        <v>197.4</v>
      </c>
      <c r="I21" t="n">
        <v>196.2</v>
      </c>
      <c r="J21" t="n">
        <v>200</v>
      </c>
      <c r="K21" t="n">
        <v>201.3</v>
      </c>
      <c r="L21" t="n">
        <v>210.6</v>
      </c>
      <c r="M21" t="n">
        <v>216.3</v>
      </c>
      <c r="N21" t="n">
        <v>228.2</v>
      </c>
      <c r="O21" t="n">
        <v>237</v>
      </c>
      <c r="P21" t="n">
        <v>250.3</v>
      </c>
      <c r="Q21" t="n">
        <v>263.6</v>
      </c>
      <c r="R21" t="n">
        <v>276.9</v>
      </c>
      <c r="S21" t="n">
        <v>293.7</v>
      </c>
      <c r="T21" t="n">
        <v>268.9</v>
      </c>
      <c r="U21" t="n">
        <v>240.8</v>
      </c>
      <c r="V21" t="n">
        <v>229.1</v>
      </c>
      <c r="W21" t="n">
        <v>225.8</v>
      </c>
      <c r="X21" t="n">
        <v>223.2</v>
      </c>
      <c r="Y21" t="n">
        <v>209.7</v>
      </c>
      <c r="Z21" t="n">
        <v>215.8</v>
      </c>
      <c r="AA21" t="n">
        <v>249.4</v>
      </c>
      <c r="AB21" t="n">
        <v>344.2</v>
      </c>
      <c r="AC21" t="n">
        <v>433.9</v>
      </c>
      <c r="AD21" t="n">
        <v>497.9</v>
      </c>
      <c r="AE21" t="n">
        <v>548.9</v>
      </c>
      <c r="AF21" t="n">
        <v>556.4</v>
      </c>
    </row>
    <row r="22">
      <c r="A22" t="s">
        <v>134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32.6</v>
      </c>
      <c r="H22" t="n">
        <v>32.1</v>
      </c>
      <c r="I22" t="n">
        <v>32.8</v>
      </c>
      <c r="J22" t="n">
        <v>34.2</v>
      </c>
      <c r="K22" t="n">
        <v>35</v>
      </c>
      <c r="L22" t="n">
        <v>37.2</v>
      </c>
      <c r="M22" t="n">
        <v>38.6</v>
      </c>
      <c r="N22" t="n">
        <v>41.1</v>
      </c>
      <c r="O22" t="n">
        <v>42.9</v>
      </c>
      <c r="P22" t="n">
        <v>45.6</v>
      </c>
      <c r="Q22" t="n">
        <v>48.2</v>
      </c>
      <c r="R22" t="n">
        <v>50.8</v>
      </c>
      <c r="S22" t="n">
        <v>54</v>
      </c>
      <c r="T22" t="n">
        <v>64.3</v>
      </c>
      <c r="U22" t="n">
        <v>60.3</v>
      </c>
      <c r="V22" t="n">
        <v>58.7</v>
      </c>
      <c r="W22" t="n">
        <v>58</v>
      </c>
      <c r="X22" t="n">
        <v>55.8</v>
      </c>
      <c r="Y22" t="n">
        <v>58.9</v>
      </c>
      <c r="Z22" t="n">
        <v>68.1</v>
      </c>
      <c r="AA22" t="n">
        <v>89.9</v>
      </c>
      <c r="AB22" t="n">
        <v>115.8</v>
      </c>
      <c r="AC22" t="n">
        <v>156.3</v>
      </c>
      <c r="AD22" t="n">
        <v>198.9</v>
      </c>
      <c r="AE22" t="n">
        <v>221.5</v>
      </c>
      <c r="AF22" t="n">
        <v>234</v>
      </c>
    </row>
    <row r="23">
      <c r="A23" t="s">
        <v>134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157.7</v>
      </c>
      <c r="H23" t="n">
        <v>156.9</v>
      </c>
      <c r="I23" t="n">
        <v>161.3</v>
      </c>
      <c r="J23" t="n">
        <v>169</v>
      </c>
      <c r="K23" t="n">
        <v>173.8</v>
      </c>
      <c r="L23" t="n">
        <v>185.1</v>
      </c>
      <c r="M23" t="n">
        <v>192.7</v>
      </c>
      <c r="N23" t="n">
        <v>205.3</v>
      </c>
      <c r="O23" t="n">
        <v>215</v>
      </c>
      <c r="P23" t="n">
        <v>228.4</v>
      </c>
      <c r="Q23" t="n">
        <v>241.6</v>
      </c>
      <c r="R23" t="n">
        <v>254.7</v>
      </c>
      <c r="S23" t="n">
        <v>271.1</v>
      </c>
      <c r="T23" t="n">
        <v>322.8</v>
      </c>
      <c r="U23" t="n">
        <v>316.2</v>
      </c>
      <c r="V23" t="n">
        <v>308.6</v>
      </c>
      <c r="W23" t="n">
        <v>298.9</v>
      </c>
      <c r="X23" t="n">
        <v>516.4</v>
      </c>
      <c r="Y23" t="n">
        <v>464.2</v>
      </c>
      <c r="Z23" t="n">
        <v>480.8</v>
      </c>
      <c r="AA23" t="n">
        <v>518.4</v>
      </c>
      <c r="AB23" t="n">
        <v>638.8</v>
      </c>
      <c r="AC23" t="n">
        <v>732.7</v>
      </c>
      <c r="AD23" t="n">
        <v>861.8</v>
      </c>
      <c r="AE23" t="n">
        <v>995.6</v>
      </c>
      <c r="AF23" t="n">
        <v>1124.7</v>
      </c>
    </row>
    <row r="24">
      <c r="A24" t="s">
        <v>134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1000.6</v>
      </c>
      <c r="H24" t="n">
        <v>987.5</v>
      </c>
      <c r="I24" t="n">
        <v>1009.2</v>
      </c>
      <c r="J24" t="n">
        <v>1052.2</v>
      </c>
      <c r="K24" t="n">
        <v>1078.7</v>
      </c>
      <c r="L24" t="n">
        <v>1145</v>
      </c>
      <c r="M24" t="n">
        <v>1189.3</v>
      </c>
      <c r="N24" t="n">
        <v>1265.2</v>
      </c>
      <c r="O24" t="n">
        <v>1323</v>
      </c>
      <c r="P24" t="n">
        <v>1404.3</v>
      </c>
      <c r="Q24" t="n">
        <v>1484.5</v>
      </c>
      <c r="R24" t="n">
        <v>1564</v>
      </c>
      <c r="S24" t="n">
        <v>1663.7</v>
      </c>
      <c r="T24" t="n">
        <v>1582.5</v>
      </c>
      <c r="U24" t="n">
        <v>1494</v>
      </c>
      <c r="V24" t="n">
        <v>1710.3</v>
      </c>
      <c r="W24" t="n">
        <v>1616.2</v>
      </c>
      <c r="X24" t="n">
        <v>1525.5</v>
      </c>
      <c r="Y24" t="n">
        <v>1532.3</v>
      </c>
      <c r="Z24" t="n">
        <v>1637</v>
      </c>
      <c r="AA24" t="n">
        <v>2017.5</v>
      </c>
      <c r="AB24" t="n">
        <v>2355.7</v>
      </c>
      <c r="AC24" t="n">
        <v>2653.7</v>
      </c>
      <c r="AD24" t="n">
        <v>3122.9</v>
      </c>
      <c r="AE24" t="n">
        <v>3298.9</v>
      </c>
      <c r="AF24" t="n">
        <v>3537</v>
      </c>
    </row>
    <row r="25">
      <c r="A25" t="s">
        <v>134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134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134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134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211.8</v>
      </c>
      <c r="H28" t="n">
        <v>206.2</v>
      </c>
      <c r="I28" t="n">
        <v>208.5</v>
      </c>
      <c r="J28" t="n">
        <v>215.6</v>
      </c>
      <c r="K28" t="n">
        <v>219.5</v>
      </c>
      <c r="L28" t="n">
        <v>231.7</v>
      </c>
      <c r="M28" t="n">
        <v>239.7</v>
      </c>
      <c r="N28" t="n">
        <v>254.2</v>
      </c>
      <c r="O28" t="n">
        <v>265.2</v>
      </c>
      <c r="P28" t="n">
        <v>281</v>
      </c>
      <c r="Q28" t="n">
        <v>296.6</v>
      </c>
      <c r="R28" t="n">
        <v>312.2</v>
      </c>
      <c r="S28" t="n">
        <v>331.7</v>
      </c>
      <c r="T28" t="n">
        <v>340.2</v>
      </c>
      <c r="U28" t="n">
        <v>320.5</v>
      </c>
      <c r="V28" t="n">
        <v>290.6</v>
      </c>
      <c r="W28" t="n">
        <v>247</v>
      </c>
      <c r="X28" t="n">
        <v>231.1</v>
      </c>
      <c r="Y28" t="n">
        <v>211.7</v>
      </c>
      <c r="Z28" t="n">
        <v>264.9</v>
      </c>
      <c r="AA28" t="n">
        <v>331.4</v>
      </c>
      <c r="AB28" t="n">
        <v>396.9</v>
      </c>
      <c r="AC28" t="n">
        <v>500.3</v>
      </c>
      <c r="AD28" t="n">
        <v>593.4</v>
      </c>
      <c r="AE28" t="n">
        <v>653.5</v>
      </c>
      <c r="AF28" t="n">
        <v>602.1</v>
      </c>
    </row>
    <row r="29">
      <c r="A29" t="s">
        <v>134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134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134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134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134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134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6.9</v>
      </c>
      <c r="H34" t="n">
        <v>6.9</v>
      </c>
      <c r="I34" t="n">
        <v>7.2</v>
      </c>
      <c r="J34" t="n">
        <v>7.6</v>
      </c>
      <c r="K34" t="n">
        <v>7.8</v>
      </c>
      <c r="L34" t="n">
        <v>8.4</v>
      </c>
      <c r="M34" t="n">
        <v>8.7</v>
      </c>
      <c r="N34" t="n">
        <v>9.3</v>
      </c>
      <c r="O34" t="n">
        <v>9.8</v>
      </c>
      <c r="P34" t="n">
        <v>10.4</v>
      </c>
      <c r="Q34" t="n">
        <v>11</v>
      </c>
      <c r="R34" t="n">
        <v>11.6</v>
      </c>
      <c r="S34" t="n">
        <v>12.4</v>
      </c>
      <c r="T34" t="n">
        <v>14.2</v>
      </c>
      <c r="U34" t="n">
        <v>16.1</v>
      </c>
      <c r="V34" t="n">
        <v>16.6</v>
      </c>
      <c r="W34" t="n">
        <v>17.8</v>
      </c>
      <c r="X34" t="n">
        <v>17.5</v>
      </c>
      <c r="Y34" t="n">
        <v>18.4</v>
      </c>
      <c r="Z34" t="n">
        <v>19.1</v>
      </c>
      <c r="AA34" t="n">
        <v>22.4</v>
      </c>
      <c r="AB34" t="n">
        <v>29.1</v>
      </c>
      <c r="AC34" t="n">
        <v>50.8</v>
      </c>
      <c r="AD34" t="n">
        <v>63.3</v>
      </c>
      <c r="AE34" t="n">
        <v>64.3</v>
      </c>
      <c r="AF34" t="n">
        <v>57.6</v>
      </c>
    </row>
    <row r="35">
      <c r="A35" t="s">
        <v>134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2893.4</v>
      </c>
      <c r="H35" t="n">
        <v>2888.4</v>
      </c>
      <c r="I35" t="n">
        <v>2978.2</v>
      </c>
      <c r="J35" t="n">
        <v>3126.8</v>
      </c>
      <c r="K35" t="n">
        <v>3222.6</v>
      </c>
      <c r="L35" t="n">
        <v>3435.4</v>
      </c>
      <c r="M35" t="n">
        <v>3580</v>
      </c>
      <c r="N35" t="n">
        <v>3818.1</v>
      </c>
      <c r="O35" t="n">
        <v>3999.6</v>
      </c>
      <c r="P35" t="n">
        <v>4251.4</v>
      </c>
      <c r="Q35" t="n">
        <v>4499.3</v>
      </c>
      <c r="R35" t="n">
        <v>4744.5</v>
      </c>
      <c r="S35" t="n">
        <v>5050.4</v>
      </c>
      <c r="T35" t="n">
        <v>5645.5</v>
      </c>
      <c r="U35" t="n">
        <v>5751.1</v>
      </c>
      <c r="V35" t="n">
        <v>5925.8</v>
      </c>
      <c r="W35" t="n">
        <v>5945.4</v>
      </c>
      <c r="X35" t="n">
        <v>6065.1</v>
      </c>
      <c r="Y35" t="n">
        <v>6051.3</v>
      </c>
      <c r="Z35" t="n">
        <v>6274.5</v>
      </c>
      <c r="AA35" t="n">
        <v>6574.3</v>
      </c>
      <c r="AB35" t="n">
        <v>6562.8</v>
      </c>
      <c r="AC35" t="n">
        <v>6776.8</v>
      </c>
      <c r="AD35" t="n">
        <v>7346.5</v>
      </c>
      <c r="AE35" t="n">
        <v>7598.1</v>
      </c>
      <c r="AF35" t="n">
        <v>7550.1</v>
      </c>
    </row>
    <row r="36">
      <c r="A36" t="s">
        <v>134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42.2</v>
      </c>
      <c r="H36" t="n">
        <v>41.8</v>
      </c>
      <c r="I36" t="n">
        <v>42.9</v>
      </c>
      <c r="J36" t="n">
        <v>44.8</v>
      </c>
      <c r="K36" t="n">
        <v>46</v>
      </c>
      <c r="L36" t="n">
        <v>48.9</v>
      </c>
      <c r="M36" t="n">
        <v>50.9</v>
      </c>
      <c r="N36" t="n">
        <v>54.2</v>
      </c>
      <c r="O36" t="n">
        <v>56.7</v>
      </c>
      <c r="P36" t="n">
        <v>60.2</v>
      </c>
      <c r="Q36" t="n">
        <v>63.7</v>
      </c>
      <c r="R36" t="n">
        <v>67.1</v>
      </c>
      <c r="S36" t="n">
        <v>71.4</v>
      </c>
      <c r="T36" t="n">
        <v>76.4</v>
      </c>
      <c r="U36" t="n">
        <v>75</v>
      </c>
      <c r="V36" t="n">
        <v>75.5</v>
      </c>
      <c r="W36" t="n">
        <v>68.7</v>
      </c>
      <c r="X36" t="n">
        <v>69.5</v>
      </c>
      <c r="Y36" t="n">
        <v>75.4</v>
      </c>
      <c r="Z36" t="n">
        <v>89.8</v>
      </c>
      <c r="AA36" t="n">
        <v>110.1</v>
      </c>
      <c r="AB36" t="n">
        <v>135</v>
      </c>
      <c r="AC36" t="n">
        <v>172.4</v>
      </c>
      <c r="AD36" t="n">
        <v>212.7</v>
      </c>
      <c r="AE36" t="n">
        <v>282.8</v>
      </c>
      <c r="AF36"/>
    </row>
    <row r="37">
      <c r="A37" t="s">
        <v>134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2199.5</v>
      </c>
      <c r="H37" t="n">
        <v>2194</v>
      </c>
      <c r="I37" t="n">
        <v>2260.8</v>
      </c>
      <c r="J37" t="n">
        <v>2372.5</v>
      </c>
      <c r="K37" t="n">
        <v>2444.3</v>
      </c>
      <c r="L37" t="n">
        <v>2605</v>
      </c>
      <c r="M37" t="n">
        <v>2714</v>
      </c>
      <c r="N37" t="n">
        <v>2894</v>
      </c>
      <c r="O37" t="n">
        <v>3031.2</v>
      </c>
      <c r="P37" t="n">
        <v>3221.8</v>
      </c>
      <c r="Q37" t="n">
        <v>3409.4</v>
      </c>
      <c r="R37" t="n">
        <v>3595</v>
      </c>
      <c r="S37" t="n">
        <v>3826.6</v>
      </c>
      <c r="T37" t="n">
        <v>4293</v>
      </c>
      <c r="U37" t="n">
        <v>4322.7</v>
      </c>
      <c r="V37" t="n">
        <v>4416.2</v>
      </c>
      <c r="W37" t="n">
        <v>4349.3</v>
      </c>
      <c r="X37" t="n">
        <v>4047</v>
      </c>
      <c r="Y37" t="n">
        <v>3974.3</v>
      </c>
      <c r="Z37" t="n">
        <v>4001.3</v>
      </c>
      <c r="AA37" t="n">
        <v>3785.1</v>
      </c>
      <c r="AB37" t="n">
        <v>3381.5</v>
      </c>
      <c r="AC37" t="n">
        <v>3063.3</v>
      </c>
      <c r="AD37" t="n">
        <v>2840</v>
      </c>
      <c r="AE37" t="n">
        <v>2613.6</v>
      </c>
      <c r="AF37"/>
    </row>
    <row r="38">
      <c r="A38" t="s">
        <v>134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651.7</v>
      </c>
      <c r="H38" t="n">
        <v>652.6</v>
      </c>
      <c r="I38" t="n">
        <v>674.5</v>
      </c>
      <c r="J38" t="n">
        <v>709.5</v>
      </c>
      <c r="K38" t="n">
        <v>732.3</v>
      </c>
      <c r="L38" t="n">
        <v>781.5</v>
      </c>
      <c r="M38" t="n">
        <v>815.1</v>
      </c>
      <c r="N38" t="n">
        <v>869.9</v>
      </c>
      <c r="O38" t="n">
        <v>911.7</v>
      </c>
      <c r="P38" t="n">
        <v>969.4</v>
      </c>
      <c r="Q38" t="n">
        <v>1026.2</v>
      </c>
      <c r="R38" t="n">
        <v>1082.4</v>
      </c>
      <c r="S38" t="n">
        <v>1152.4</v>
      </c>
      <c r="T38" t="n">
        <v>1276.1</v>
      </c>
      <c r="U38" t="n">
        <v>1353.4</v>
      </c>
      <c r="V38" t="n">
        <v>1434.1</v>
      </c>
      <c r="W38" t="n">
        <v>1527.4</v>
      </c>
      <c r="X38" t="n">
        <v>1948.6</v>
      </c>
      <c r="Y38" t="n">
        <v>2001.6</v>
      </c>
      <c r="Z38" t="n">
        <v>2183.4</v>
      </c>
      <c r="AA38" t="n">
        <v>2679.1</v>
      </c>
      <c r="AB38" t="n">
        <v>3046.3</v>
      </c>
      <c r="AC38" t="n">
        <v>3541.1</v>
      </c>
      <c r="AD38" t="n">
        <v>4293.8</v>
      </c>
      <c r="AE38" t="n">
        <v>4701.7</v>
      </c>
      <c r="AF38"/>
    </row>
    <row r="39">
      <c r="A39" t="s">
        <v>134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1521.5</v>
      </c>
      <c r="H39" t="n">
        <v>1510</v>
      </c>
      <c r="I39" t="n">
        <v>1550</v>
      </c>
      <c r="J39" t="n">
        <v>1621.6</v>
      </c>
      <c r="K39" t="n">
        <v>1666.8</v>
      </c>
      <c r="L39" t="n">
        <v>1773.1</v>
      </c>
      <c r="M39" t="n">
        <v>1844.7</v>
      </c>
      <c r="N39" t="n">
        <v>1964.9</v>
      </c>
      <c r="O39" t="n">
        <v>2056.5</v>
      </c>
      <c r="P39" t="n">
        <v>2184.4</v>
      </c>
      <c r="Q39" t="n">
        <v>2310.5</v>
      </c>
      <c r="R39" t="n">
        <v>2435.4</v>
      </c>
      <c r="S39" t="n">
        <v>2591.5</v>
      </c>
      <c r="T39" t="n">
        <v>2660.6</v>
      </c>
      <c r="U39" t="n">
        <v>2648.3</v>
      </c>
      <c r="V39" t="n">
        <v>2359.7</v>
      </c>
      <c r="W39" t="n">
        <v>2199.8</v>
      </c>
      <c r="X39" t="n">
        <v>1986.8</v>
      </c>
      <c r="Y39" t="n">
        <v>1894.4</v>
      </c>
      <c r="Z39" t="n">
        <v>1899.8</v>
      </c>
      <c r="AA39" t="n">
        <v>1926.6</v>
      </c>
      <c r="AB39" t="n">
        <v>1862.3</v>
      </c>
      <c r="AC39" t="n">
        <v>1805.1</v>
      </c>
      <c r="AD39" t="n">
        <v>1782.8</v>
      </c>
      <c r="AE39" t="n">
        <v>1894</v>
      </c>
      <c r="AF39" t="n">
        <v>1889.4</v>
      </c>
    </row>
    <row r="40">
      <c r="A40" t="s">
        <v>134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36.5</v>
      </c>
      <c r="H40" t="n">
        <v>34.9</v>
      </c>
      <c r="I40" t="n">
        <v>34.8</v>
      </c>
      <c r="J40" t="n">
        <v>35.5</v>
      </c>
      <c r="K40" t="n">
        <v>35.8</v>
      </c>
      <c r="L40" t="n">
        <v>37.5</v>
      </c>
      <c r="M40" t="n">
        <v>38.6</v>
      </c>
      <c r="N40" t="n">
        <v>40.7</v>
      </c>
      <c r="O40" t="n">
        <v>42.3</v>
      </c>
      <c r="P40" t="n">
        <v>44.7</v>
      </c>
      <c r="Q40" t="n">
        <v>47.1</v>
      </c>
      <c r="R40" t="n">
        <v>49.5</v>
      </c>
      <c r="S40" t="n">
        <v>52.5</v>
      </c>
      <c r="T40" t="n">
        <v>45.9</v>
      </c>
      <c r="U40" t="n">
        <v>42.7</v>
      </c>
      <c r="V40" t="n">
        <v>37.8</v>
      </c>
      <c r="W40" t="n">
        <v>32.7</v>
      </c>
      <c r="X40" t="n">
        <v>26.4</v>
      </c>
      <c r="Y40" t="n">
        <v>26.1</v>
      </c>
      <c r="Z40" t="n">
        <v>24.3</v>
      </c>
      <c r="AA40" t="n">
        <v>38.8</v>
      </c>
      <c r="AB40" t="n">
        <v>39.2</v>
      </c>
      <c r="AC40" t="n">
        <v>43.2</v>
      </c>
      <c r="AD40" t="n">
        <v>52.7</v>
      </c>
      <c r="AE40" t="n">
        <v>58.8</v>
      </c>
      <c r="AF40" t="n">
        <v>54</v>
      </c>
    </row>
    <row r="41">
      <c r="A41" t="s">
        <v>134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134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20315.5</v>
      </c>
      <c r="H42" t="n">
        <v>20174.5</v>
      </c>
      <c r="I42" t="n">
        <v>20848.4</v>
      </c>
      <c r="J42" t="n">
        <v>21982.6</v>
      </c>
      <c r="K42" t="n">
        <v>22984.7</v>
      </c>
      <c r="L42" t="n">
        <v>24801.8</v>
      </c>
      <c r="M42" t="n">
        <v>26212.2</v>
      </c>
      <c r="N42" t="n">
        <v>28055.6</v>
      </c>
      <c r="O42" t="n">
        <v>29330.9</v>
      </c>
      <c r="P42" t="n">
        <v>31211</v>
      </c>
      <c r="Q42" t="n">
        <v>33030.4</v>
      </c>
      <c r="R42" t="n">
        <v>34884.9</v>
      </c>
      <c r="S42" t="n">
        <v>36311.2</v>
      </c>
      <c r="T42" t="n">
        <v>37732.1</v>
      </c>
      <c r="U42" t="n">
        <v>37605.2</v>
      </c>
      <c r="V42" t="n">
        <v>38469.3</v>
      </c>
      <c r="W42" t="n">
        <v>38364.2</v>
      </c>
      <c r="X42" t="n">
        <v>37873.4</v>
      </c>
      <c r="Y42" t="n">
        <v>38178.3</v>
      </c>
      <c r="Z42" t="n">
        <v>38913.1</v>
      </c>
      <c r="AA42" t="n">
        <v>39613.6</v>
      </c>
      <c r="AB42" t="n">
        <v>38951.8</v>
      </c>
      <c r="AC42" t="n">
        <v>39428.2</v>
      </c>
      <c r="AD42" t="n">
        <v>40178</v>
      </c>
      <c r="AE42" t="n">
        <v>40488.1</v>
      </c>
      <c r="AF42" t="n">
        <v>41233</v>
      </c>
    </row>
    <row r="43">
      <c r="A43" t="s">
        <v>134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20356.5</v>
      </c>
      <c r="H43" t="n">
        <v>20214.1</v>
      </c>
      <c r="I43" t="n">
        <v>20888.3</v>
      </c>
      <c r="J43" t="n">
        <v>22023.6</v>
      </c>
      <c r="K43" t="n">
        <v>23026.3</v>
      </c>
      <c r="L43" t="n">
        <v>24845.7</v>
      </c>
      <c r="M43" t="n">
        <v>26258.4</v>
      </c>
      <c r="N43" t="n">
        <v>28106.3</v>
      </c>
      <c r="O43" t="n">
        <v>29389.8</v>
      </c>
      <c r="P43" t="n">
        <v>31311.6</v>
      </c>
      <c r="Q43" t="n">
        <v>33166.4</v>
      </c>
      <c r="R43" t="n">
        <v>35052.2</v>
      </c>
      <c r="S43" t="n">
        <v>36505.2</v>
      </c>
      <c r="T43" t="n">
        <v>37932.6</v>
      </c>
      <c r="U43" t="n">
        <v>37794.1</v>
      </c>
      <c r="V43" t="n">
        <v>38657</v>
      </c>
      <c r="W43" t="n">
        <v>38545.2</v>
      </c>
      <c r="X43" t="n">
        <v>38049</v>
      </c>
      <c r="Y43" t="n">
        <v>38375.9</v>
      </c>
      <c r="Z43" t="n">
        <v>39165.9</v>
      </c>
      <c r="AA43" t="n">
        <v>39956.9</v>
      </c>
      <c r="AB43" t="n">
        <v>39367.9</v>
      </c>
      <c r="AC43" t="n">
        <v>39982.5</v>
      </c>
      <c r="AD43" t="n">
        <v>40848.1</v>
      </c>
      <c r="AE43" t="n">
        <v>41183.1</v>
      </c>
      <c r="AF43" t="n">
        <v>41917</v>
      </c>
    </row>
    <row r="44">
      <c r="A44" t="s">
        <v>134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47499.7</v>
      </c>
      <c r="H44" t="n">
        <v>47259.1</v>
      </c>
      <c r="I44" t="n">
        <v>48732.6</v>
      </c>
      <c r="J44" t="n">
        <v>51230.1</v>
      </c>
      <c r="K44" t="n">
        <v>53109.9</v>
      </c>
      <c r="L44" t="n">
        <v>56900.5</v>
      </c>
      <c r="M44" t="n">
        <v>59650.6</v>
      </c>
      <c r="N44" t="n">
        <v>63710</v>
      </c>
      <c r="O44" t="n">
        <v>66682.3</v>
      </c>
      <c r="P44" t="n">
        <v>70957.2</v>
      </c>
      <c r="Q44" t="n">
        <v>75137.1</v>
      </c>
      <c r="R44" t="n">
        <v>79323.5</v>
      </c>
      <c r="S44" t="n">
        <v>83633.5</v>
      </c>
      <c r="T44" t="n">
        <v>87956.1</v>
      </c>
      <c r="U44" t="n">
        <v>88811.6</v>
      </c>
      <c r="V44" t="n">
        <v>92322.4</v>
      </c>
      <c r="W44" t="n">
        <v>92662.6</v>
      </c>
      <c r="X44" t="n">
        <v>91999</v>
      </c>
      <c r="Y44" t="n">
        <v>93609.8</v>
      </c>
      <c r="Z44" t="n">
        <v>97746.7</v>
      </c>
      <c r="AA44" t="n">
        <v>103294.7</v>
      </c>
      <c r="AB44" t="n">
        <v>104684</v>
      </c>
      <c r="AC44" t="n">
        <v>108292.3</v>
      </c>
      <c r="AD44" t="n">
        <v>113227</v>
      </c>
      <c r="AE44" t="n">
        <v>115655.1</v>
      </c>
      <c r="AF44" t="n">
        <v>117528.5</v>
      </c>
    </row>
    <row r="45">
      <c r="A45" t="s">
        <v>134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47495.1</v>
      </c>
      <c r="H45" t="n">
        <v>47254.4</v>
      </c>
      <c r="I45" t="n">
        <v>48727.6</v>
      </c>
      <c r="J45" t="n">
        <v>51224.8</v>
      </c>
      <c r="K45" t="n">
        <v>53104.3</v>
      </c>
      <c r="L45" t="n">
        <v>56894.5</v>
      </c>
      <c r="M45" t="n">
        <v>59644.3</v>
      </c>
      <c r="N45" t="n">
        <v>63703.3</v>
      </c>
      <c r="O45" t="n">
        <v>66675.2</v>
      </c>
      <c r="P45" t="n">
        <v>70949.7</v>
      </c>
      <c r="Q45" t="n">
        <v>75129.1</v>
      </c>
      <c r="R45" t="n">
        <v>79315</v>
      </c>
      <c r="S45" t="n">
        <v>83624.5</v>
      </c>
      <c r="T45" t="n">
        <v>87945.1</v>
      </c>
      <c r="U45" t="n">
        <v>88795.5</v>
      </c>
      <c r="V45" t="n">
        <v>92301.5</v>
      </c>
      <c r="W45" t="n">
        <v>92638.6</v>
      </c>
      <c r="X45" t="n">
        <v>91972.7</v>
      </c>
      <c r="Y45" t="n">
        <v>93577.4</v>
      </c>
      <c r="Z45" t="n">
        <v>97707.5</v>
      </c>
      <c r="AA45" t="n">
        <v>103243</v>
      </c>
      <c r="AB45" t="n">
        <v>104620.8</v>
      </c>
      <c r="AC45" t="n">
        <v>108215.6</v>
      </c>
      <c r="AD45" t="n">
        <v>113127.5</v>
      </c>
      <c r="AE45" t="n">
        <v>115533.9</v>
      </c>
      <c r="AF45" t="n">
        <v>117388.6</v>
      </c>
    </row>
    <row r="46">
      <c r="A46" t="s">
        <v>134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41</v>
      </c>
      <c r="H46" t="n">
        <v>39.6</v>
      </c>
      <c r="I46" t="n">
        <v>39.9</v>
      </c>
      <c r="J46" t="n">
        <v>41</v>
      </c>
      <c r="K46" t="n">
        <v>41.6</v>
      </c>
      <c r="L46" t="n">
        <v>43.9</v>
      </c>
      <c r="M46" t="n">
        <v>46.2</v>
      </c>
      <c r="N46" t="n">
        <v>50.7</v>
      </c>
      <c r="O46" t="n">
        <v>58.9</v>
      </c>
      <c r="P46" t="n">
        <v>100.6</v>
      </c>
      <c r="Q46" t="n">
        <v>136</v>
      </c>
      <c r="R46" t="n">
        <v>167.3</v>
      </c>
      <c r="S46" t="n">
        <v>194</v>
      </c>
      <c r="T46" t="n">
        <v>200.5</v>
      </c>
      <c r="U46" t="n">
        <v>188.9</v>
      </c>
      <c r="V46" t="n">
        <v>187.7</v>
      </c>
      <c r="W46" t="n">
        <v>181</v>
      </c>
      <c r="X46" t="n">
        <v>175.6</v>
      </c>
      <c r="Y46" t="n">
        <v>197.6</v>
      </c>
      <c r="Z46" t="n">
        <v>252.8</v>
      </c>
      <c r="AA46" t="n">
        <v>343.3</v>
      </c>
      <c r="AB46" t="n">
        <v>416.1</v>
      </c>
      <c r="AC46" t="n">
        <v>554.3</v>
      </c>
      <c r="AD46" t="n">
        <v>670.1</v>
      </c>
      <c r="AE46" t="n">
        <v>695</v>
      </c>
      <c r="AF46" t="n">
        <v>684</v>
      </c>
    </row>
    <row r="47">
      <c r="A47" t="s">
        <v>134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12.2</v>
      </c>
      <c r="H47" t="n">
        <v>14.4</v>
      </c>
      <c r="I47" t="n">
        <v>16.4</v>
      </c>
      <c r="J47" t="n">
        <v>19.4</v>
      </c>
      <c r="K47" t="n">
        <v>22.3</v>
      </c>
      <c r="L47" t="n">
        <v>26.2</v>
      </c>
      <c r="M47" t="n">
        <v>28.8</v>
      </c>
      <c r="N47" t="n">
        <v>32.5</v>
      </c>
      <c r="O47" t="n">
        <v>36.3</v>
      </c>
      <c r="P47" t="n">
        <v>40.8</v>
      </c>
      <c r="Q47" t="n">
        <v>45.6</v>
      </c>
      <c r="R47" t="n">
        <v>49.7</v>
      </c>
      <c r="S47" t="n">
        <v>53.7</v>
      </c>
      <c r="T47" t="n">
        <v>59.1</v>
      </c>
      <c r="U47" t="n">
        <v>91.7</v>
      </c>
      <c r="V47" t="n">
        <v>164.4</v>
      </c>
      <c r="W47" t="n">
        <v>183.4</v>
      </c>
      <c r="X47" t="n">
        <v>224.8</v>
      </c>
      <c r="Y47" t="n">
        <v>264.1</v>
      </c>
      <c r="Z47" t="n">
        <v>403.8</v>
      </c>
      <c r="AA47" t="n">
        <v>553.1</v>
      </c>
      <c r="AB47" t="n">
        <v>747.7</v>
      </c>
      <c r="AC47" t="n">
        <v>931.1</v>
      </c>
      <c r="AD47" t="n">
        <v>1114</v>
      </c>
      <c r="AE47" t="n">
        <v>1280.6</v>
      </c>
      <c r="AF47" t="n">
        <v>1441.6</v>
      </c>
    </row>
    <row r="48">
      <c r="A48" t="s">
        <v>134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1816</v>
      </c>
      <c r="H48" t="n">
        <v>1843.2</v>
      </c>
      <c r="I48" t="n">
        <v>1924.9</v>
      </c>
      <c r="J48" t="n">
        <v>2041.4</v>
      </c>
      <c r="K48" t="n">
        <v>2124</v>
      </c>
      <c r="L48" t="n">
        <v>2279.7</v>
      </c>
      <c r="M48" t="n">
        <v>2395.1</v>
      </c>
      <c r="N48" t="n">
        <v>2642</v>
      </c>
      <c r="O48" t="n">
        <v>2894.7</v>
      </c>
      <c r="P48" t="n">
        <v>3167.3</v>
      </c>
      <c r="Q48" t="n">
        <v>3429.2</v>
      </c>
      <c r="R48" t="n">
        <v>3805.7</v>
      </c>
      <c r="S48" t="n">
        <v>4171.4</v>
      </c>
      <c r="T48" t="n">
        <v>4430.5</v>
      </c>
      <c r="U48" t="n">
        <v>4569.6</v>
      </c>
      <c r="V48" t="n">
        <v>4702.9</v>
      </c>
      <c r="W48" t="n">
        <v>4619.8</v>
      </c>
      <c r="X48" t="n">
        <v>4546.9</v>
      </c>
      <c r="Y48" t="n">
        <v>4611.5</v>
      </c>
      <c r="Z48" t="n">
        <v>4887</v>
      </c>
      <c r="AA48" t="n">
        <v>5057.5</v>
      </c>
      <c r="AB48" t="n">
        <v>5049.1</v>
      </c>
      <c r="AC48" t="n">
        <v>5114.4</v>
      </c>
      <c r="AD48" t="n">
        <v>5258</v>
      </c>
      <c r="AE48" t="n">
        <v>5468.1</v>
      </c>
      <c r="AF48" t="n">
        <v>5720.8</v>
      </c>
    </row>
    <row r="49">
      <c r="A49" t="s">
        <v>134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52.2</v>
      </c>
      <c r="H49" t="n">
        <v>53.5</v>
      </c>
      <c r="I49" t="n">
        <v>57.8</v>
      </c>
      <c r="J49" t="n">
        <v>63.4</v>
      </c>
      <c r="K49" t="n">
        <v>67.8</v>
      </c>
      <c r="L49" t="n">
        <v>74.4</v>
      </c>
      <c r="M49" t="n">
        <v>80.5</v>
      </c>
      <c r="N49" t="n">
        <v>88.8</v>
      </c>
      <c r="O49" t="n">
        <v>95.3</v>
      </c>
      <c r="P49" t="n">
        <v>103.3</v>
      </c>
      <c r="Q49" t="n">
        <v>108.3</v>
      </c>
      <c r="R49" t="n">
        <v>114.2</v>
      </c>
      <c r="S49" t="n">
        <v>120.6</v>
      </c>
      <c r="T49" t="n">
        <v>125.8</v>
      </c>
      <c r="U49" t="n">
        <v>127</v>
      </c>
      <c r="V49" t="n">
        <v>130.4</v>
      </c>
      <c r="W49" t="n">
        <v>127.5</v>
      </c>
      <c r="X49" t="n">
        <v>110.1</v>
      </c>
      <c r="Y49" t="n">
        <v>96.5</v>
      </c>
      <c r="Z49" t="n">
        <v>87.5</v>
      </c>
      <c r="AA49" t="n">
        <v>87</v>
      </c>
      <c r="AB49" t="n">
        <v>98.8</v>
      </c>
      <c r="AC49" t="n">
        <v>99.9</v>
      </c>
      <c r="AD49" t="n">
        <v>104.2</v>
      </c>
      <c r="AE49" t="n">
        <v>98.8</v>
      </c>
      <c r="AF49" t="n">
        <v>129.2</v>
      </c>
    </row>
    <row r="50">
      <c r="A50" t="s">
        <v>134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1751.6</v>
      </c>
      <c r="H50" t="n">
        <v>1775.2</v>
      </c>
      <c r="I50" t="n">
        <v>1850.7</v>
      </c>
      <c r="J50" t="n">
        <v>1958.7</v>
      </c>
      <c r="K50" t="n">
        <v>2033.9</v>
      </c>
      <c r="L50" t="n">
        <v>2179.1</v>
      </c>
      <c r="M50" t="n">
        <v>2285.8</v>
      </c>
      <c r="N50" t="n">
        <v>2520.7</v>
      </c>
      <c r="O50" t="n">
        <v>2763</v>
      </c>
      <c r="P50" t="n">
        <v>3023.1</v>
      </c>
      <c r="Q50" t="n">
        <v>3275.3</v>
      </c>
      <c r="R50" t="n">
        <v>3641.7</v>
      </c>
      <c r="S50" t="n">
        <v>3997.1</v>
      </c>
      <c r="T50" t="n">
        <v>4245.6</v>
      </c>
      <c r="U50" t="n">
        <v>4350.9</v>
      </c>
      <c r="V50" t="n">
        <v>4408.1</v>
      </c>
      <c r="W50" t="n">
        <v>4308.9</v>
      </c>
      <c r="X50" t="n">
        <v>4212</v>
      </c>
      <c r="Y50" t="n">
        <v>4251</v>
      </c>
      <c r="Z50" t="n">
        <v>4395.6</v>
      </c>
      <c r="AA50" t="n">
        <v>4417.4</v>
      </c>
      <c r="AB50" t="n">
        <v>4202.5</v>
      </c>
      <c r="AC50" t="n">
        <v>4083.3</v>
      </c>
      <c r="AD50" t="n">
        <v>4039.7</v>
      </c>
      <c r="AE50" t="n">
        <v>4088.7</v>
      </c>
      <c r="AF50" t="n">
        <v>4150.1</v>
      </c>
    </row>
    <row r="51">
      <c r="A51" t="s">
        <v>134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1750.9</v>
      </c>
      <c r="H51" t="n">
        <v>1774.5</v>
      </c>
      <c r="I51" t="n">
        <v>1849.9</v>
      </c>
      <c r="J51" t="n">
        <v>1957.9</v>
      </c>
      <c r="K51" t="n">
        <v>2033.1</v>
      </c>
      <c r="L51" t="n">
        <v>2178.2</v>
      </c>
      <c r="M51" t="n">
        <v>2284.9</v>
      </c>
      <c r="N51" t="n">
        <v>2519.7</v>
      </c>
      <c r="O51" t="n">
        <v>2762</v>
      </c>
      <c r="P51" t="n">
        <v>3022</v>
      </c>
      <c r="Q51" t="n">
        <v>3274.1</v>
      </c>
      <c r="R51" t="n">
        <v>3640.5</v>
      </c>
      <c r="S51" t="n">
        <v>3995.8</v>
      </c>
      <c r="T51" t="n">
        <v>4244</v>
      </c>
      <c r="U51" t="n">
        <v>4349.2</v>
      </c>
      <c r="V51" t="n">
        <v>4406.3</v>
      </c>
      <c r="W51" t="n">
        <v>4305.8</v>
      </c>
      <c r="X51" t="n">
        <v>4209.2</v>
      </c>
      <c r="Y51" t="n">
        <v>4248.4</v>
      </c>
      <c r="Z51" t="n">
        <v>4391.5</v>
      </c>
      <c r="AA51" t="n">
        <v>4411.2</v>
      </c>
      <c r="AB51" t="n">
        <v>4188.9</v>
      </c>
      <c r="AC51" t="n">
        <v>4048.8</v>
      </c>
      <c r="AD51" t="n">
        <v>3977.8</v>
      </c>
      <c r="AE51" t="n">
        <v>4023.1</v>
      </c>
      <c r="AF51"/>
    </row>
    <row r="52">
      <c r="A52" t="s">
        <v>134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0.7</v>
      </c>
      <c r="H52" t="n">
        <v>0.7</v>
      </c>
      <c r="I52" t="n">
        <v>0.8</v>
      </c>
      <c r="J52" t="n">
        <v>0.8</v>
      </c>
      <c r="K52" t="n">
        <v>0.8</v>
      </c>
      <c r="L52" t="n">
        <v>0.9</v>
      </c>
      <c r="M52" t="n">
        <v>0.9</v>
      </c>
      <c r="N52" t="n">
        <v>1</v>
      </c>
      <c r="O52" t="n">
        <v>1</v>
      </c>
      <c r="P52" t="n">
        <v>1.1</v>
      </c>
      <c r="Q52" t="n">
        <v>1.2</v>
      </c>
      <c r="R52" t="n">
        <v>1.2</v>
      </c>
      <c r="S52" t="n">
        <v>1.3</v>
      </c>
      <c r="T52" t="n">
        <v>1.6</v>
      </c>
      <c r="U52" t="n">
        <v>1.7</v>
      </c>
      <c r="V52" t="n">
        <v>1.8</v>
      </c>
      <c r="W52" t="n">
        <v>3.1</v>
      </c>
      <c r="X52" t="n">
        <v>2.8</v>
      </c>
      <c r="Y52" t="n">
        <v>2.6</v>
      </c>
      <c r="Z52" t="n">
        <v>4.1</v>
      </c>
      <c r="AA52" t="n">
        <v>6.2</v>
      </c>
      <c r="AB52" t="n">
        <v>13.6</v>
      </c>
      <c r="AC52" t="n">
        <v>34.5</v>
      </c>
      <c r="AD52" t="n">
        <v>61.9</v>
      </c>
      <c r="AE52" t="n">
        <v>65.6</v>
      </c>
      <c r="AF52"/>
    </row>
    <row r="53">
      <c r="A53" t="s">
        <v>134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41.8</v>
      </c>
      <c r="H53" t="n">
        <v>44.1</v>
      </c>
      <c r="I53" t="n">
        <v>47.1</v>
      </c>
      <c r="J53" t="n">
        <v>56.9</v>
      </c>
      <c r="K53" t="n">
        <v>68.8</v>
      </c>
      <c r="L53" t="n">
        <v>80.6</v>
      </c>
      <c r="M53" t="n">
        <v>90.8</v>
      </c>
      <c r="N53" t="n">
        <v>102.7</v>
      </c>
      <c r="O53" t="n">
        <v>114.7</v>
      </c>
      <c r="P53" t="n">
        <v>136.2</v>
      </c>
      <c r="Q53" t="n">
        <v>163.8</v>
      </c>
      <c r="R53" t="n">
        <v>190.6</v>
      </c>
      <c r="S53" t="n">
        <v>210.2</v>
      </c>
      <c r="T53" t="n">
        <v>232.8</v>
      </c>
      <c r="U53" t="n">
        <v>235.6</v>
      </c>
      <c r="V53" t="n">
        <v>242.4</v>
      </c>
      <c r="W53" t="n">
        <v>241.4</v>
      </c>
      <c r="X53" t="n">
        <v>257.9</v>
      </c>
      <c r="Y53" t="n">
        <v>244.6</v>
      </c>
      <c r="Z53" t="n">
        <v>249.5</v>
      </c>
      <c r="AA53" t="n">
        <v>258.9</v>
      </c>
      <c r="AB53" t="n">
        <v>266.7</v>
      </c>
      <c r="AC53" t="n">
        <v>262.6</v>
      </c>
      <c r="AD53" t="n">
        <v>279.9</v>
      </c>
      <c r="AE53" t="n">
        <v>279.9</v>
      </c>
      <c r="AF53" t="n">
        <v>264.4</v>
      </c>
    </row>
    <row r="54">
      <c r="A54" t="s">
        <v>134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57.7</v>
      </c>
      <c r="H54" t="n">
        <v>61.6</v>
      </c>
      <c r="I54" t="n">
        <v>66.5</v>
      </c>
      <c r="J54" t="n">
        <v>78.4</v>
      </c>
      <c r="K54" t="n">
        <v>91.8</v>
      </c>
      <c r="L54" t="n">
        <v>106</v>
      </c>
      <c r="M54" t="n">
        <v>117.9</v>
      </c>
      <c r="N54" t="n">
        <v>132.1</v>
      </c>
      <c r="O54" t="n">
        <v>145.9</v>
      </c>
      <c r="P54" t="n">
        <v>169.7</v>
      </c>
      <c r="Q54" t="n">
        <v>201.3</v>
      </c>
      <c r="R54" t="n">
        <v>231.9</v>
      </c>
      <c r="S54" t="n">
        <v>255.3</v>
      </c>
      <c r="T54" t="n">
        <v>279.9</v>
      </c>
      <c r="U54" t="n">
        <v>286.2</v>
      </c>
      <c r="V54" t="n">
        <v>301.4</v>
      </c>
      <c r="W54" t="n">
        <v>311.3</v>
      </c>
      <c r="X54" t="n">
        <v>335</v>
      </c>
      <c r="Y54" t="n">
        <v>335.7</v>
      </c>
      <c r="Z54" t="n">
        <v>349.1</v>
      </c>
      <c r="AA54" t="n">
        <v>364.3</v>
      </c>
      <c r="AB54" t="n">
        <v>374.2</v>
      </c>
      <c r="AC54" t="n">
        <v>373.1</v>
      </c>
      <c r="AD54" t="n">
        <v>395.4</v>
      </c>
      <c r="AE54" t="n">
        <v>391</v>
      </c>
      <c r="AF54" t="n">
        <v>372.4</v>
      </c>
    </row>
    <row r="55">
      <c r="A55" t="s">
        <v>134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15.9</v>
      </c>
      <c r="H55" t="n">
        <v>17.5</v>
      </c>
      <c r="I55" t="n">
        <v>19.4</v>
      </c>
      <c r="J55" t="n">
        <v>21.5</v>
      </c>
      <c r="K55" t="n">
        <v>23</v>
      </c>
      <c r="L55" t="n">
        <v>25.4</v>
      </c>
      <c r="M55" t="n">
        <v>27.1</v>
      </c>
      <c r="N55" t="n">
        <v>29.4</v>
      </c>
      <c r="O55" t="n">
        <v>31.2</v>
      </c>
      <c r="P55" t="n">
        <v>33.5</v>
      </c>
      <c r="Q55" t="n">
        <v>37.5</v>
      </c>
      <c r="R55" t="n">
        <v>41.3</v>
      </c>
      <c r="S55" t="n">
        <v>45.1</v>
      </c>
      <c r="T55" t="n">
        <v>47.1</v>
      </c>
      <c r="U55" t="n">
        <v>50.6</v>
      </c>
      <c r="V55" t="n">
        <v>59</v>
      </c>
      <c r="W55" t="n">
        <v>69.9</v>
      </c>
      <c r="X55" t="n">
        <v>77.1</v>
      </c>
      <c r="Y55" t="n">
        <v>91.1</v>
      </c>
      <c r="Z55" t="n">
        <v>99.6</v>
      </c>
      <c r="AA55" t="n">
        <v>105.4</v>
      </c>
      <c r="AB55" t="n">
        <v>107.5</v>
      </c>
      <c r="AC55" t="n">
        <v>110.5</v>
      </c>
      <c r="AD55" t="n">
        <v>115.5</v>
      </c>
      <c r="AE55" t="n">
        <v>111.1</v>
      </c>
      <c r="AF55" t="n">
        <v>108</v>
      </c>
    </row>
    <row r="56">
      <c r="A56" t="s">
        <v>134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134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49352.2</v>
      </c>
      <c r="H57" t="n">
        <v>49137.1</v>
      </c>
      <c r="I57" t="n">
        <v>50692.3</v>
      </c>
      <c r="J57" t="n">
        <v>53307.1</v>
      </c>
      <c r="K57" t="n">
        <v>55269.7</v>
      </c>
      <c r="L57" t="n">
        <v>59217.7</v>
      </c>
      <c r="M57" t="n">
        <v>62084.3</v>
      </c>
      <c r="N57" t="n">
        <v>66392.7</v>
      </c>
      <c r="O57" t="n">
        <v>69619.2</v>
      </c>
      <c r="P57" t="n">
        <v>74169.1</v>
      </c>
      <c r="Q57" t="n">
        <v>78613.4</v>
      </c>
      <c r="R57" t="n">
        <v>83178.6</v>
      </c>
      <c r="S57" t="n">
        <v>87857.4</v>
      </c>
      <c r="T57" t="n">
        <v>92432.5</v>
      </c>
      <c r="U57" t="n">
        <v>93423.9</v>
      </c>
      <c r="V57" t="n">
        <v>97063.1</v>
      </c>
      <c r="W57" t="n">
        <v>97315.1</v>
      </c>
      <c r="X57" t="n">
        <v>96572.3</v>
      </c>
      <c r="Y57" t="n">
        <v>98247.5</v>
      </c>
      <c r="Z57" t="n">
        <v>102657.9</v>
      </c>
      <c r="AA57" t="n">
        <v>108391</v>
      </c>
      <c r="AB57" t="n">
        <v>109772.2</v>
      </c>
      <c r="AC57" t="n">
        <v>113449.8</v>
      </c>
      <c r="AD57" t="n">
        <v>118537.6</v>
      </c>
      <c r="AE57" t="n">
        <v>121182</v>
      </c>
      <c r="AF57" t="n">
        <v>123303.4</v>
      </c>
    </row>
    <row r="58">
      <c r="A58" t="s">
        <v>134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49352.2</v>
      </c>
      <c r="H58" t="n">
        <v>49137.1</v>
      </c>
      <c r="I58" t="n">
        <v>50692.3</v>
      </c>
      <c r="J58" t="n">
        <v>53307.1</v>
      </c>
      <c r="K58" t="n">
        <v>55269.7</v>
      </c>
      <c r="L58" t="n">
        <v>59217.7</v>
      </c>
      <c r="M58" t="n">
        <v>62084.3</v>
      </c>
      <c r="N58" t="n">
        <v>66392.7</v>
      </c>
      <c r="O58" t="n">
        <v>69619.2</v>
      </c>
      <c r="P58" t="n">
        <v>74169.1</v>
      </c>
      <c r="Q58" t="n">
        <v>78613.4</v>
      </c>
      <c r="R58" t="n">
        <v>83178.6</v>
      </c>
      <c r="S58" t="n">
        <v>87857.4</v>
      </c>
      <c r="T58" t="n">
        <v>92432.5</v>
      </c>
      <c r="U58" t="n">
        <v>93423.9</v>
      </c>
      <c r="V58" t="n">
        <v>97063.1</v>
      </c>
      <c r="W58" t="n">
        <v>97315.1</v>
      </c>
      <c r="X58" t="n">
        <v>96572.3</v>
      </c>
      <c r="Y58" t="n">
        <v>98247.5</v>
      </c>
      <c r="Z58" t="n">
        <v>102657.9</v>
      </c>
      <c r="AA58" t="n">
        <v>108391</v>
      </c>
      <c r="AB58" t="n">
        <v>109772.2</v>
      </c>
      <c r="AC58" t="n">
        <v>113449.8</v>
      </c>
      <c r="AD58" t="n">
        <v>118537.6</v>
      </c>
      <c r="AE58" t="n">
        <v>121182</v>
      </c>
      <c r="AF58" t="n">
        <v>123303.4</v>
      </c>
    </row>
    <row r="59">
      <c r="A59" t="s">
        <v>134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136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136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1807.6</v>
      </c>
      <c r="H3" t="n">
        <v>1961.4</v>
      </c>
      <c r="I3" t="n">
        <v>2051.9</v>
      </c>
      <c r="J3" t="n">
        <v>2085.7</v>
      </c>
      <c r="K3" t="n">
        <v>2160.1</v>
      </c>
      <c r="L3" t="n">
        <v>2168.7</v>
      </c>
      <c r="M3" t="n">
        <v>2183.6</v>
      </c>
      <c r="N3" t="n">
        <v>2149.8</v>
      </c>
      <c r="O3" t="n">
        <v>2143.3</v>
      </c>
      <c r="P3" t="n">
        <v>2122.2</v>
      </c>
      <c r="Q3" t="n">
        <v>2292.7</v>
      </c>
      <c r="R3" t="n">
        <v>2369.9</v>
      </c>
      <c r="S3" t="n">
        <v>2378.9</v>
      </c>
      <c r="T3" t="n">
        <v>2456.4</v>
      </c>
      <c r="U3" t="n">
        <v>2424</v>
      </c>
      <c r="V3" t="n">
        <v>2365.8</v>
      </c>
      <c r="W3" t="n">
        <v>2346.6</v>
      </c>
      <c r="X3" t="n">
        <v>2371.4</v>
      </c>
      <c r="Y3" t="n">
        <v>2428.6</v>
      </c>
      <c r="Z3" t="n">
        <v>2560.2</v>
      </c>
      <c r="AA3" t="n">
        <v>2628.9</v>
      </c>
      <c r="AB3" t="n">
        <v>2644.5</v>
      </c>
      <c r="AC3" t="n">
        <v>2634.8</v>
      </c>
      <c r="AD3" t="n">
        <v>2677.3</v>
      </c>
      <c r="AE3" t="n">
        <v>2649.1</v>
      </c>
      <c r="AF3" t="n">
        <v>2612.3</v>
      </c>
    </row>
    <row r="4">
      <c r="A4" t="s">
        <v>136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136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136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136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136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136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136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136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136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136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136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136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136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136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136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136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136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136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136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136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136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136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136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136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136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136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136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136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136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136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136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136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3483.5</v>
      </c>
      <c r="H35" t="n">
        <v>3675.3</v>
      </c>
      <c r="I35" t="n">
        <v>3887.3</v>
      </c>
      <c r="J35" t="n">
        <v>4093.1</v>
      </c>
      <c r="K35" t="n">
        <v>4356.7</v>
      </c>
      <c r="L35" t="n">
        <v>4451.4</v>
      </c>
      <c r="M35" t="n">
        <v>4616.6</v>
      </c>
      <c r="N35" t="n">
        <v>4864.2</v>
      </c>
      <c r="O35" t="n">
        <v>5053.4</v>
      </c>
      <c r="P35" t="n">
        <v>5243.4</v>
      </c>
      <c r="Q35" t="n">
        <v>5379.8</v>
      </c>
      <c r="R35" t="n">
        <v>5553.8</v>
      </c>
      <c r="S35" t="n">
        <v>5828.3</v>
      </c>
      <c r="T35" t="n">
        <v>5910.9</v>
      </c>
      <c r="U35" t="n">
        <v>5956.8</v>
      </c>
      <c r="V35" t="n">
        <v>5885.2</v>
      </c>
      <c r="W35" t="n">
        <v>6268.7</v>
      </c>
      <c r="X35" t="n">
        <v>5881.4</v>
      </c>
      <c r="Y35" t="n">
        <v>5714.8</v>
      </c>
      <c r="Z35" t="n">
        <v>5438.3</v>
      </c>
      <c r="AA35" t="n">
        <v>7680.8</v>
      </c>
      <c r="AB35" t="n">
        <v>7209.3</v>
      </c>
      <c r="AC35" t="n">
        <v>6885.3</v>
      </c>
      <c r="AD35" t="n">
        <v>6557.4</v>
      </c>
      <c r="AE35" t="n">
        <v>6241.1</v>
      </c>
      <c r="AF35" t="n">
        <v>5944</v>
      </c>
    </row>
    <row r="36">
      <c r="A36" t="s">
        <v>136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3483.5</v>
      </c>
      <c r="H36" t="n">
        <v>3675.3</v>
      </c>
      <c r="I36" t="n">
        <v>3887.4</v>
      </c>
      <c r="J36" t="n">
        <v>4093.1</v>
      </c>
      <c r="K36" t="n">
        <v>4356.7</v>
      </c>
      <c r="L36" t="n">
        <v>4451.4</v>
      </c>
      <c r="M36" t="n">
        <v>4616.6</v>
      </c>
      <c r="N36" t="n">
        <v>4864.3</v>
      </c>
      <c r="O36" t="n">
        <v>5053.5</v>
      </c>
      <c r="P36" t="n">
        <v>5243.2</v>
      </c>
      <c r="Q36" t="n">
        <v>5379.9</v>
      </c>
      <c r="R36" t="n">
        <v>5553.8</v>
      </c>
      <c r="S36" t="n">
        <v>5828.2</v>
      </c>
      <c r="T36" t="n">
        <v>5910.8</v>
      </c>
      <c r="U36" t="n">
        <v>5956.7</v>
      </c>
      <c r="V36" t="n">
        <v>5885.2</v>
      </c>
      <c r="W36" t="n">
        <v>6268.7</v>
      </c>
      <c r="X36" t="n">
        <v>5881.3</v>
      </c>
      <c r="Y36" t="n">
        <v>5714.7</v>
      </c>
      <c r="Z36" t="n">
        <v>5438.3</v>
      </c>
      <c r="AA36" t="n">
        <v>7680.8</v>
      </c>
      <c r="AB36" t="n">
        <v>7209.3</v>
      </c>
      <c r="AC36" t="n">
        <v>6885.3</v>
      </c>
      <c r="AD36" t="n">
        <v>6557.5</v>
      </c>
      <c r="AE36" t="n">
        <v>6241.1</v>
      </c>
      <c r="AF36" t="n">
        <v>0</v>
      </c>
    </row>
    <row r="37">
      <c r="A37" t="s">
        <v>136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136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136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136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136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136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136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136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6979.8</v>
      </c>
      <c r="H44" t="n">
        <v>7418.4</v>
      </c>
      <c r="I44" t="n">
        <v>7824</v>
      </c>
      <c r="J44" t="n">
        <v>8163.1</v>
      </c>
      <c r="K44" t="n">
        <v>8580.6</v>
      </c>
      <c r="L44" t="n">
        <v>8718.3</v>
      </c>
      <c r="M44" t="n">
        <v>9035.7</v>
      </c>
      <c r="N44" t="n">
        <v>9385.2</v>
      </c>
      <c r="O44" t="n">
        <v>9628.5</v>
      </c>
      <c r="P44" t="n">
        <v>10004.5</v>
      </c>
      <c r="Q44" t="n">
        <v>10460.8</v>
      </c>
      <c r="R44" t="n">
        <v>10840.6</v>
      </c>
      <c r="S44" t="n">
        <v>11262.7</v>
      </c>
      <c r="T44" t="n">
        <v>11698.7</v>
      </c>
      <c r="U44" t="n">
        <v>11555.9</v>
      </c>
      <c r="V44" t="n">
        <v>11304</v>
      </c>
      <c r="W44" t="n">
        <v>11789.7</v>
      </c>
      <c r="X44" t="n">
        <v>11317.6</v>
      </c>
      <c r="Y44" t="n">
        <v>11190.8</v>
      </c>
      <c r="Z44" t="n">
        <v>10896.2</v>
      </c>
      <c r="AA44" t="n">
        <v>14413.4</v>
      </c>
      <c r="AB44" t="n">
        <v>13871.3</v>
      </c>
      <c r="AC44" t="n">
        <v>13361.2</v>
      </c>
      <c r="AD44" t="n">
        <v>12865.5</v>
      </c>
      <c r="AE44" t="n">
        <v>12442.1</v>
      </c>
      <c r="AF44" t="n">
        <v>11969.5</v>
      </c>
    </row>
    <row r="45">
      <c r="A45" t="s">
        <v>136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6979.8</v>
      </c>
      <c r="H45" t="n">
        <v>7418.3</v>
      </c>
      <c r="I45" t="n">
        <v>7824</v>
      </c>
      <c r="J45" t="n">
        <v>8163</v>
      </c>
      <c r="K45" t="n">
        <v>8580.6</v>
      </c>
      <c r="L45" t="n">
        <v>8718.3</v>
      </c>
      <c r="M45" t="n">
        <v>9035.7</v>
      </c>
      <c r="N45" t="n">
        <v>9385.2</v>
      </c>
      <c r="O45" t="n">
        <v>9628.6</v>
      </c>
      <c r="P45" t="n">
        <v>10004.5</v>
      </c>
      <c r="Q45" t="n">
        <v>10460.8</v>
      </c>
      <c r="R45" t="n">
        <v>10840.7</v>
      </c>
      <c r="S45" t="n">
        <v>11262.7</v>
      </c>
      <c r="T45" t="n">
        <v>11698.7</v>
      </c>
      <c r="U45" t="n">
        <v>11555.9</v>
      </c>
      <c r="V45" t="n">
        <v>11304</v>
      </c>
      <c r="W45" t="n">
        <v>11789.7</v>
      </c>
      <c r="X45" t="n">
        <v>11317.6</v>
      </c>
      <c r="Y45" t="n">
        <v>11190.8</v>
      </c>
      <c r="Z45" t="n">
        <v>10896.2</v>
      </c>
      <c r="AA45" t="n">
        <v>14413.5</v>
      </c>
      <c r="AB45" t="n">
        <v>13871.3</v>
      </c>
      <c r="AC45" t="n">
        <v>13361.3</v>
      </c>
      <c r="AD45" t="n">
        <v>12865.5</v>
      </c>
      <c r="AE45" t="n">
        <v>12442.1</v>
      </c>
      <c r="AF45" t="n">
        <v>11969.5</v>
      </c>
    </row>
    <row r="46">
      <c r="A46" t="s">
        <v>136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136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136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136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136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136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136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136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1688.8</v>
      </c>
      <c r="H53" t="n">
        <v>1781.7</v>
      </c>
      <c r="I53" t="n">
        <v>1884.6</v>
      </c>
      <c r="J53" t="n">
        <v>1984.3</v>
      </c>
      <c r="K53" t="n">
        <v>2063.2</v>
      </c>
      <c r="L53" t="n">
        <v>2098.3</v>
      </c>
      <c r="M53" t="n">
        <v>2235.3</v>
      </c>
      <c r="N53" t="n">
        <v>2371.2</v>
      </c>
      <c r="O53" t="n">
        <v>2431.5</v>
      </c>
      <c r="P53" t="n">
        <v>2638.7</v>
      </c>
      <c r="Q53" t="n">
        <v>2788.6</v>
      </c>
      <c r="R53" t="n">
        <v>2917.5</v>
      </c>
      <c r="S53" t="n">
        <v>3055.5</v>
      </c>
      <c r="T53" t="n">
        <v>3331.6</v>
      </c>
      <c r="U53" t="n">
        <v>3175</v>
      </c>
      <c r="V53" t="n">
        <v>3053.1</v>
      </c>
      <c r="W53" t="n">
        <v>3174.8</v>
      </c>
      <c r="X53" t="n">
        <v>3065.1</v>
      </c>
      <c r="Y53" t="n">
        <v>3047.7</v>
      </c>
      <c r="Z53" t="n">
        <v>2897.5</v>
      </c>
      <c r="AA53" t="n">
        <v>4103.8</v>
      </c>
      <c r="AB53" t="n">
        <v>4017.5</v>
      </c>
      <c r="AC53" t="n">
        <v>3841.1</v>
      </c>
      <c r="AD53" t="n">
        <v>3630.6</v>
      </c>
      <c r="AE53" t="n">
        <v>3551.8</v>
      </c>
      <c r="AF53" t="n">
        <v>3412.8</v>
      </c>
    </row>
    <row r="54">
      <c r="A54" t="s">
        <v>136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1688.8</v>
      </c>
      <c r="H54" t="n">
        <v>1781.7</v>
      </c>
      <c r="I54" t="n">
        <v>1884.6</v>
      </c>
      <c r="J54" t="n">
        <v>1984.3</v>
      </c>
      <c r="K54" t="n">
        <v>2063.3</v>
      </c>
      <c r="L54" t="n">
        <v>2098.2</v>
      </c>
      <c r="M54" t="n">
        <v>2235.3</v>
      </c>
      <c r="N54" t="n">
        <v>2371.2</v>
      </c>
      <c r="O54" t="n">
        <v>2431.6</v>
      </c>
      <c r="P54" t="n">
        <v>2638.7</v>
      </c>
      <c r="Q54" t="n">
        <v>2788.6</v>
      </c>
      <c r="R54" t="n">
        <v>2917.4</v>
      </c>
      <c r="S54" t="n">
        <v>3055.6</v>
      </c>
      <c r="T54" t="n">
        <v>3331.6</v>
      </c>
      <c r="U54" t="n">
        <v>3175.1</v>
      </c>
      <c r="V54" t="n">
        <v>3053.1</v>
      </c>
      <c r="W54" t="n">
        <v>3174.8</v>
      </c>
      <c r="X54" t="n">
        <v>3065.1</v>
      </c>
      <c r="Y54" t="n">
        <v>3047.7</v>
      </c>
      <c r="Z54" t="n">
        <v>2897.5</v>
      </c>
      <c r="AA54" t="n">
        <v>4103.8</v>
      </c>
      <c r="AB54" t="n">
        <v>4017.5</v>
      </c>
      <c r="AC54" t="n">
        <v>3841.1</v>
      </c>
      <c r="AD54" t="n">
        <v>3630.6</v>
      </c>
      <c r="AE54" t="n">
        <v>3551.8</v>
      </c>
      <c r="AF54" t="n">
        <v>3412.8</v>
      </c>
    </row>
    <row r="55">
      <c r="A55" t="s">
        <v>136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136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136</v>
      </c>
      <c r="B57" t="s">
        <v>384</v>
      </c>
      <c r="C57" t="s">
        <v>246</v>
      </c>
      <c r="D57" t="s">
        <v>385</v>
      </c>
      <c r="E57" t="s">
        <v>247</v>
      </c>
      <c r="F57" t="n">
        <v>0</v>
      </c>
      <c r="G57" t="n">
        <v>6979.8</v>
      </c>
      <c r="H57" t="n">
        <v>7418.5</v>
      </c>
      <c r="I57" t="n">
        <v>7823.9</v>
      </c>
      <c r="J57" t="n">
        <v>8163</v>
      </c>
      <c r="K57" t="n">
        <v>8580.7</v>
      </c>
      <c r="L57" t="n">
        <v>8718.4</v>
      </c>
      <c r="M57" t="n">
        <v>9035.8</v>
      </c>
      <c r="N57" t="n">
        <v>9385.3</v>
      </c>
      <c r="O57" t="n">
        <v>9628.7</v>
      </c>
      <c r="P57" t="n">
        <v>10004.7</v>
      </c>
      <c r="Q57" t="n">
        <v>10460.7</v>
      </c>
      <c r="R57" t="n">
        <v>10840.6</v>
      </c>
      <c r="S57" t="n">
        <v>11262.7</v>
      </c>
      <c r="T57" t="n">
        <v>11698.7</v>
      </c>
      <c r="U57" t="n">
        <v>11555.8</v>
      </c>
      <c r="V57" t="n">
        <v>11304.2</v>
      </c>
      <c r="W57" t="n">
        <v>11789.8</v>
      </c>
      <c r="X57" t="n">
        <v>11317.6</v>
      </c>
      <c r="Y57" t="n">
        <v>11190.4</v>
      </c>
      <c r="Z57" t="n">
        <v>10896.3</v>
      </c>
      <c r="AA57" t="n">
        <v>14413.4</v>
      </c>
      <c r="AB57" t="n">
        <v>13871.3</v>
      </c>
      <c r="AC57" t="n">
        <v>13361.2</v>
      </c>
      <c r="AD57" t="n">
        <v>12865.6</v>
      </c>
      <c r="AE57" t="n">
        <v>12442.1</v>
      </c>
      <c r="AF57" t="n">
        <v>11969.5</v>
      </c>
    </row>
    <row r="58">
      <c r="A58" t="s">
        <v>136</v>
      </c>
      <c r="B58" t="s">
        <v>386</v>
      </c>
      <c r="C58" t="s">
        <v>246</v>
      </c>
      <c r="D58" t="s">
        <v>387</v>
      </c>
      <c r="E58" t="s">
        <v>247</v>
      </c>
      <c r="F58" t="n">
        <v>0</v>
      </c>
      <c r="G58" t="n">
        <v>6979.8</v>
      </c>
      <c r="H58" t="n">
        <v>7418.5</v>
      </c>
      <c r="I58" t="n">
        <v>7823.9</v>
      </c>
      <c r="J58" t="n">
        <v>8163</v>
      </c>
      <c r="K58" t="n">
        <v>8580.7</v>
      </c>
      <c r="L58" t="n">
        <v>8718.4</v>
      </c>
      <c r="M58" t="n">
        <v>9035.8</v>
      </c>
      <c r="N58" t="n">
        <v>9385.3</v>
      </c>
      <c r="O58" t="n">
        <v>9628.7</v>
      </c>
      <c r="P58" t="n">
        <v>10004.7</v>
      </c>
      <c r="Q58" t="n">
        <v>10460.7</v>
      </c>
      <c r="R58" t="n">
        <v>10840.6</v>
      </c>
      <c r="S58" t="n">
        <v>11262.7</v>
      </c>
      <c r="T58" t="n">
        <v>11698.7</v>
      </c>
      <c r="U58" t="n">
        <v>11555.8</v>
      </c>
      <c r="V58" t="n">
        <v>11304.2</v>
      </c>
      <c r="W58" t="n">
        <v>11789.8</v>
      </c>
      <c r="X58" t="n">
        <v>11317.6</v>
      </c>
      <c r="Y58" t="n">
        <v>11190.4</v>
      </c>
      <c r="Z58" t="n">
        <v>10896.3</v>
      </c>
      <c r="AA58" t="n">
        <v>14413.4</v>
      </c>
      <c r="AB58" t="n">
        <v>13871.3</v>
      </c>
      <c r="AC58" t="n">
        <v>13361.2</v>
      </c>
      <c r="AD58" t="n">
        <v>12865.6</v>
      </c>
      <c r="AE58" t="n">
        <v>12442.1</v>
      </c>
      <c r="AF58" t="n">
        <v>11969.5</v>
      </c>
    </row>
    <row r="59">
      <c r="A59" t="s">
        <v>136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138</v>
      </c>
      <c r="B2" t="s">
        <v>197</v>
      </c>
      <c r="C2" t="s">
        <v>246</v>
      </c>
      <c r="D2" t="s">
        <v>199</v>
      </c>
      <c r="E2" t="s">
        <v>247</v>
      </c>
      <c r="F2"/>
      <c r="G2" t="n">
        <v>130245.7</v>
      </c>
      <c r="H2" t="n">
        <v>131926.8</v>
      </c>
      <c r="I2" t="n">
        <v>134305.4</v>
      </c>
      <c r="J2" t="n">
        <v>136240.6</v>
      </c>
      <c r="K2" t="n">
        <v>136882.3</v>
      </c>
      <c r="L2" t="n">
        <v>140203.2</v>
      </c>
      <c r="M2" t="n">
        <v>143162.3</v>
      </c>
      <c r="N2" t="n">
        <v>146480.6</v>
      </c>
      <c r="O2" t="n">
        <v>148951.5</v>
      </c>
      <c r="P2" t="n">
        <v>153828.6</v>
      </c>
      <c r="Q2" t="n">
        <v>158739.6</v>
      </c>
      <c r="R2" t="n">
        <v>162686.3</v>
      </c>
      <c r="S2" t="n">
        <v>165902.3</v>
      </c>
      <c r="T2" t="n">
        <v>167538.3</v>
      </c>
      <c r="U2" t="n">
        <v>167416.8</v>
      </c>
      <c r="V2" t="n">
        <v>169411.3</v>
      </c>
      <c r="W2" t="n">
        <v>171792</v>
      </c>
      <c r="X2" t="n">
        <v>168661.3</v>
      </c>
      <c r="Y2" t="n">
        <v>163033.4</v>
      </c>
      <c r="Z2" t="n">
        <v>158349.2</v>
      </c>
      <c r="AA2" t="n">
        <v>154747</v>
      </c>
      <c r="AB2" t="n">
        <v>152303.6</v>
      </c>
      <c r="AC2" t="n">
        <v>152201</v>
      </c>
      <c r="AD2" t="n">
        <v>153373.7</v>
      </c>
      <c r="AE2" t="n">
        <v>152353.7</v>
      </c>
      <c r="AF2" t="n">
        <v>151158.3</v>
      </c>
    </row>
    <row r="3">
      <c r="A3" t="s">
        <v>138</v>
      </c>
      <c r="B3" t="s">
        <v>276</v>
      </c>
      <c r="C3" t="s">
        <v>246</v>
      </c>
      <c r="D3" t="s">
        <v>277</v>
      </c>
      <c r="E3" t="s">
        <v>247</v>
      </c>
      <c r="F3"/>
      <c r="G3" t="n">
        <v>17593.5</v>
      </c>
      <c r="H3" t="n">
        <v>18664.8</v>
      </c>
      <c r="I3" t="n">
        <v>19526</v>
      </c>
      <c r="J3" t="n">
        <v>20200.9</v>
      </c>
      <c r="K3" t="n">
        <v>20943</v>
      </c>
      <c r="L3" t="n">
        <v>22249.3</v>
      </c>
      <c r="M3" t="n">
        <v>23120.3</v>
      </c>
      <c r="N3" t="n">
        <v>24084.8</v>
      </c>
      <c r="O3" t="n">
        <v>25224.4</v>
      </c>
      <c r="P3" t="n">
        <v>26831.8</v>
      </c>
      <c r="Q3" t="n">
        <v>28312.9</v>
      </c>
      <c r="R3" t="n">
        <v>29805.3</v>
      </c>
      <c r="S3" t="n">
        <v>30922</v>
      </c>
      <c r="T3" t="n">
        <v>31919.1</v>
      </c>
      <c r="U3" t="n">
        <v>32517.6</v>
      </c>
      <c r="V3" t="n">
        <v>33605.5</v>
      </c>
      <c r="W3" t="n">
        <v>34814.9</v>
      </c>
      <c r="X3" t="n">
        <v>34937.5</v>
      </c>
      <c r="Y3" t="n">
        <v>35594.1</v>
      </c>
      <c r="Z3" t="n">
        <v>35975.7</v>
      </c>
      <c r="AA3" t="n">
        <v>35556.1</v>
      </c>
      <c r="AB3" t="n">
        <v>34517.5</v>
      </c>
      <c r="AC3" t="n">
        <v>35553.9</v>
      </c>
      <c r="AD3" t="n">
        <v>36333.2</v>
      </c>
      <c r="AE3" t="n">
        <v>35728.8</v>
      </c>
      <c r="AF3" t="n">
        <v>35493.6</v>
      </c>
    </row>
    <row r="4">
      <c r="A4" t="s">
        <v>138</v>
      </c>
      <c r="B4" t="s">
        <v>278</v>
      </c>
      <c r="C4" t="s">
        <v>246</v>
      </c>
      <c r="D4" t="s">
        <v>279</v>
      </c>
      <c r="E4" t="s">
        <v>247</v>
      </c>
      <c r="F4"/>
      <c r="G4" t="n">
        <v>283630.4</v>
      </c>
      <c r="H4" t="n">
        <v>289489.9</v>
      </c>
      <c r="I4" t="n">
        <v>297527.8</v>
      </c>
      <c r="J4" t="n">
        <v>307137</v>
      </c>
      <c r="K4" t="n">
        <v>315189.2</v>
      </c>
      <c r="L4" t="n">
        <v>332053.8</v>
      </c>
      <c r="M4" t="n">
        <v>347358.2</v>
      </c>
      <c r="N4" t="n">
        <v>360230.4</v>
      </c>
      <c r="O4" t="n">
        <v>369847.1</v>
      </c>
      <c r="P4" t="n">
        <v>383953.5</v>
      </c>
      <c r="Q4" t="n">
        <v>397593.9</v>
      </c>
      <c r="R4" t="n">
        <v>416706.3</v>
      </c>
      <c r="S4" t="n">
        <v>433975.2</v>
      </c>
      <c r="T4" t="n">
        <v>443831.8</v>
      </c>
      <c r="U4" t="n">
        <v>445944.5</v>
      </c>
      <c r="V4" t="n">
        <v>454777.1</v>
      </c>
      <c r="W4" t="n">
        <v>464415.7</v>
      </c>
      <c r="X4" t="n">
        <v>464704.7</v>
      </c>
      <c r="Y4" t="n">
        <v>457794.1</v>
      </c>
      <c r="Z4" t="n">
        <v>459609.1</v>
      </c>
      <c r="AA4" t="n">
        <v>469213.7</v>
      </c>
      <c r="AB4" t="n">
        <v>471755.5</v>
      </c>
      <c r="AC4" t="n">
        <v>485226.7</v>
      </c>
      <c r="AD4" t="n">
        <v>492627.2</v>
      </c>
      <c r="AE4" t="n">
        <v>496213.1</v>
      </c>
      <c r="AF4" t="n">
        <v>498148.5</v>
      </c>
    </row>
    <row r="5">
      <c r="A5" t="s">
        <v>138</v>
      </c>
      <c r="B5" t="s">
        <v>280</v>
      </c>
      <c r="C5" t="s">
        <v>246</v>
      </c>
      <c r="D5" t="s">
        <v>281</v>
      </c>
      <c r="E5" t="s">
        <v>247</v>
      </c>
      <c r="F5"/>
      <c r="G5" t="n">
        <v>30302.2</v>
      </c>
      <c r="H5" t="n">
        <v>31757.3</v>
      </c>
      <c r="I5" t="n">
        <v>32672</v>
      </c>
      <c r="J5" t="n">
        <v>34763.8</v>
      </c>
      <c r="K5" t="n">
        <v>36187.2</v>
      </c>
      <c r="L5" t="n">
        <v>38459.2</v>
      </c>
      <c r="M5" t="n">
        <v>40654.5</v>
      </c>
      <c r="N5" t="n">
        <v>41953.2</v>
      </c>
      <c r="O5" t="n">
        <v>43774.2</v>
      </c>
      <c r="P5" t="n">
        <v>45305.2</v>
      </c>
      <c r="Q5" t="n">
        <v>47412.4</v>
      </c>
      <c r="R5" t="n">
        <v>49738</v>
      </c>
      <c r="S5" t="n">
        <v>51763.5</v>
      </c>
      <c r="T5" t="n">
        <v>52405.5</v>
      </c>
      <c r="U5" t="n">
        <v>52726.5</v>
      </c>
      <c r="V5" t="n">
        <v>53800.4</v>
      </c>
      <c r="W5" t="n">
        <v>55552.7</v>
      </c>
      <c r="X5" t="n">
        <v>56035.8</v>
      </c>
      <c r="Y5" t="n">
        <v>55479.1</v>
      </c>
      <c r="Z5" t="n">
        <v>55380.1</v>
      </c>
      <c r="AA5" t="n">
        <v>56420</v>
      </c>
      <c r="AB5" t="n">
        <v>56604.2</v>
      </c>
      <c r="AC5" t="n">
        <v>59020</v>
      </c>
      <c r="AD5" t="n">
        <v>60197</v>
      </c>
      <c r="AE5" t="n">
        <v>60395.6</v>
      </c>
      <c r="AF5"/>
    </row>
    <row r="6">
      <c r="A6" t="s">
        <v>138</v>
      </c>
      <c r="B6" t="s">
        <v>282</v>
      </c>
      <c r="C6" t="s">
        <v>246</v>
      </c>
      <c r="D6" t="s">
        <v>283</v>
      </c>
      <c r="E6" t="s">
        <v>247</v>
      </c>
      <c r="F6"/>
      <c r="G6" t="n">
        <v>18132.3</v>
      </c>
      <c r="H6" t="n">
        <v>18267.7</v>
      </c>
      <c r="I6" t="n">
        <v>18992</v>
      </c>
      <c r="J6" t="n">
        <v>19260.2</v>
      </c>
      <c r="K6" t="n">
        <v>19488.3</v>
      </c>
      <c r="L6" t="n">
        <v>20268</v>
      </c>
      <c r="M6" t="n">
        <v>21045.8</v>
      </c>
      <c r="N6" t="n">
        <v>21815.1</v>
      </c>
      <c r="O6" t="n">
        <v>22257.9</v>
      </c>
      <c r="P6" t="n">
        <v>22937.4</v>
      </c>
      <c r="Q6" t="n">
        <v>23369.5</v>
      </c>
      <c r="R6" t="n">
        <v>24071.5</v>
      </c>
      <c r="S6" t="n">
        <v>24830</v>
      </c>
      <c r="T6" t="n">
        <v>25180.5</v>
      </c>
      <c r="U6" t="n">
        <v>25178.1</v>
      </c>
      <c r="V6" t="n">
        <v>25404.1</v>
      </c>
      <c r="W6" t="n">
        <v>26302.2</v>
      </c>
      <c r="X6" t="n">
        <v>26327.5</v>
      </c>
      <c r="Y6" t="n">
        <v>26078.7</v>
      </c>
      <c r="Z6" t="n">
        <v>26269</v>
      </c>
      <c r="AA6" t="n">
        <v>27120.3</v>
      </c>
      <c r="AB6" t="n">
        <v>27338.5</v>
      </c>
      <c r="AC6" t="n">
        <v>28021.8</v>
      </c>
      <c r="AD6" t="n">
        <v>27431.8</v>
      </c>
      <c r="AE6" t="n">
        <v>26819.7</v>
      </c>
      <c r="AF6"/>
    </row>
    <row r="7">
      <c r="A7" t="s">
        <v>138</v>
      </c>
      <c r="B7" t="s">
        <v>284</v>
      </c>
      <c r="C7" t="s">
        <v>246</v>
      </c>
      <c r="D7" t="s">
        <v>285</v>
      </c>
      <c r="E7" t="s">
        <v>247</v>
      </c>
      <c r="F7"/>
      <c r="G7" t="n">
        <v>26192.5</v>
      </c>
      <c r="H7" t="n">
        <v>25436.6</v>
      </c>
      <c r="I7" t="n">
        <v>25203.8</v>
      </c>
      <c r="J7" t="n">
        <v>24941.8</v>
      </c>
      <c r="K7" t="n">
        <v>24630</v>
      </c>
      <c r="L7" t="n">
        <v>25142</v>
      </c>
      <c r="M7" t="n">
        <v>25338.8</v>
      </c>
      <c r="N7" t="n">
        <v>25443.2</v>
      </c>
      <c r="O7" t="n">
        <v>25266.7</v>
      </c>
      <c r="P7" t="n">
        <v>25616</v>
      </c>
      <c r="Q7" t="n">
        <v>25844</v>
      </c>
      <c r="R7" t="n">
        <v>26513.2</v>
      </c>
      <c r="S7" t="n">
        <v>26927.1</v>
      </c>
      <c r="T7" t="n">
        <v>26913.5</v>
      </c>
      <c r="U7" t="n">
        <v>26584.8</v>
      </c>
      <c r="V7" t="n">
        <v>26816.4</v>
      </c>
      <c r="W7" t="n">
        <v>27042.7</v>
      </c>
      <c r="X7" t="n">
        <v>26743.5</v>
      </c>
      <c r="Y7" t="n">
        <v>25837.1</v>
      </c>
      <c r="Z7" t="n">
        <v>25721.4</v>
      </c>
      <c r="AA7" t="n">
        <v>26219.1</v>
      </c>
      <c r="AB7" t="n">
        <v>26335</v>
      </c>
      <c r="AC7" t="n">
        <v>27427.8</v>
      </c>
      <c r="AD7" t="n">
        <v>27827.7</v>
      </c>
      <c r="AE7" t="n">
        <v>27790.8</v>
      </c>
      <c r="AF7"/>
    </row>
    <row r="8">
      <c r="A8" t="s">
        <v>138</v>
      </c>
      <c r="B8" t="s">
        <v>286</v>
      </c>
      <c r="C8" t="s">
        <v>246</v>
      </c>
      <c r="D8" t="s">
        <v>287</v>
      </c>
      <c r="E8" t="s">
        <v>247</v>
      </c>
      <c r="F8"/>
      <c r="G8" t="n">
        <v>9624.4</v>
      </c>
      <c r="H8" t="n">
        <v>10329.9</v>
      </c>
      <c r="I8" t="n">
        <v>11711.5</v>
      </c>
      <c r="J8" t="n">
        <v>12717.4</v>
      </c>
      <c r="K8" t="n">
        <v>14008.3</v>
      </c>
      <c r="L8" t="n">
        <v>16024.4</v>
      </c>
      <c r="M8" t="n">
        <v>17435.8</v>
      </c>
      <c r="N8" t="n">
        <v>18842.6</v>
      </c>
      <c r="O8" t="n">
        <v>20131.9</v>
      </c>
      <c r="P8" t="n">
        <v>21950.7</v>
      </c>
      <c r="Q8" t="n">
        <v>23533.2</v>
      </c>
      <c r="R8" t="n">
        <v>25482.6</v>
      </c>
      <c r="S8" t="n">
        <v>27106.7</v>
      </c>
      <c r="T8" t="n">
        <v>28588.7</v>
      </c>
      <c r="U8" t="n">
        <v>29335.7</v>
      </c>
      <c r="V8" t="n">
        <v>30735.6</v>
      </c>
      <c r="W8" t="n">
        <v>32291.8</v>
      </c>
      <c r="X8" t="n">
        <v>32123.2</v>
      </c>
      <c r="Y8" t="n">
        <v>31304.7</v>
      </c>
      <c r="Z8" t="n">
        <v>30350.7</v>
      </c>
      <c r="AA8" t="n">
        <v>29825.6</v>
      </c>
      <c r="AB8" t="n">
        <v>29639.4</v>
      </c>
      <c r="AC8" t="n">
        <v>29651.8</v>
      </c>
      <c r="AD8" t="n">
        <v>29995.2</v>
      </c>
      <c r="AE8" t="n">
        <v>29378.9</v>
      </c>
      <c r="AF8"/>
    </row>
    <row r="9">
      <c r="A9" t="s">
        <v>138</v>
      </c>
      <c r="B9" t="s">
        <v>288</v>
      </c>
      <c r="C9" t="s">
        <v>246</v>
      </c>
      <c r="D9" t="s">
        <v>289</v>
      </c>
      <c r="E9" t="s">
        <v>247</v>
      </c>
      <c r="F9"/>
      <c r="G9" t="n">
        <v>15062.2</v>
      </c>
      <c r="H9" t="n">
        <v>16109.7</v>
      </c>
      <c r="I9" t="n">
        <v>17356.4</v>
      </c>
      <c r="J9" t="n">
        <v>18704.7</v>
      </c>
      <c r="K9" t="n">
        <v>19788.7</v>
      </c>
      <c r="L9" t="n">
        <v>21362.6</v>
      </c>
      <c r="M9" t="n">
        <v>22794.7</v>
      </c>
      <c r="N9" t="n">
        <v>24603.4</v>
      </c>
      <c r="O9" t="n">
        <v>25339</v>
      </c>
      <c r="P9" t="n">
        <v>26532.9</v>
      </c>
      <c r="Q9" t="n">
        <v>27915.1</v>
      </c>
      <c r="R9" t="n">
        <v>29547</v>
      </c>
      <c r="S9" t="n">
        <v>30755.6</v>
      </c>
      <c r="T9" t="n">
        <v>31757.9</v>
      </c>
      <c r="U9" t="n">
        <v>31788.6</v>
      </c>
      <c r="V9" t="n">
        <v>32407.8</v>
      </c>
      <c r="W9" t="n">
        <v>32552</v>
      </c>
      <c r="X9" t="n">
        <v>32484.4</v>
      </c>
      <c r="Y9" t="n">
        <v>31955.9</v>
      </c>
      <c r="Z9" t="n">
        <v>31848.8</v>
      </c>
      <c r="AA9" t="n">
        <v>32187.7</v>
      </c>
      <c r="AB9" t="n">
        <v>30958.7</v>
      </c>
      <c r="AC9" t="n">
        <v>30873.3</v>
      </c>
      <c r="AD9" t="n">
        <v>30487.1</v>
      </c>
      <c r="AE9" t="n">
        <v>30438.5</v>
      </c>
      <c r="AF9"/>
    </row>
    <row r="10">
      <c r="A10" t="s">
        <v>138</v>
      </c>
      <c r="B10" t="s">
        <v>290</v>
      </c>
      <c r="C10" t="s">
        <v>246</v>
      </c>
      <c r="D10" t="s">
        <v>291</v>
      </c>
      <c r="E10" t="s">
        <v>247</v>
      </c>
      <c r="F10"/>
      <c r="G10" t="n">
        <v>22171.9</v>
      </c>
      <c r="H10" t="n">
        <v>23475.9</v>
      </c>
      <c r="I10" t="n">
        <v>25382.7</v>
      </c>
      <c r="J10" t="n">
        <v>27285.6</v>
      </c>
      <c r="K10" t="n">
        <v>28661.3</v>
      </c>
      <c r="L10" t="n">
        <v>30683</v>
      </c>
      <c r="M10" t="n">
        <v>32619.2</v>
      </c>
      <c r="N10" t="n">
        <v>34991.8</v>
      </c>
      <c r="O10" t="n">
        <v>35980.8</v>
      </c>
      <c r="P10" t="n">
        <v>37679.3</v>
      </c>
      <c r="Q10" t="n">
        <v>39388.8</v>
      </c>
      <c r="R10" t="n">
        <v>41536.1</v>
      </c>
      <c r="S10" t="n">
        <v>43073.7</v>
      </c>
      <c r="T10" t="n">
        <v>44541.8</v>
      </c>
      <c r="U10" t="n">
        <v>45107.1</v>
      </c>
      <c r="V10" t="n">
        <v>46006.3</v>
      </c>
      <c r="W10" t="n">
        <v>46374.1</v>
      </c>
      <c r="X10" t="n">
        <v>46588.4</v>
      </c>
      <c r="Y10" t="n">
        <v>45859.3</v>
      </c>
      <c r="Z10" t="n">
        <v>46110.7</v>
      </c>
      <c r="AA10" t="n">
        <v>47210.6</v>
      </c>
      <c r="AB10" t="n">
        <v>47060.7</v>
      </c>
      <c r="AC10" t="n">
        <v>47522.5</v>
      </c>
      <c r="AD10" t="n">
        <v>47327</v>
      </c>
      <c r="AE10" t="n">
        <v>48037.1</v>
      </c>
      <c r="AF10"/>
    </row>
    <row r="11">
      <c r="A11" t="s">
        <v>138</v>
      </c>
      <c r="B11" t="s">
        <v>292</v>
      </c>
      <c r="C11" t="s">
        <v>246</v>
      </c>
      <c r="D11" t="s">
        <v>293</v>
      </c>
      <c r="E11" t="s">
        <v>247</v>
      </c>
      <c r="F11"/>
      <c r="G11" t="n">
        <v>7109.7</v>
      </c>
      <c r="H11" t="n">
        <v>7366.2</v>
      </c>
      <c r="I11" t="n">
        <v>8026.3</v>
      </c>
      <c r="J11" t="n">
        <v>8580.9</v>
      </c>
      <c r="K11" t="n">
        <v>8872.6</v>
      </c>
      <c r="L11" t="n">
        <v>9320.4</v>
      </c>
      <c r="M11" t="n">
        <v>9824.5</v>
      </c>
      <c r="N11" t="n">
        <v>10388.4</v>
      </c>
      <c r="O11" t="n">
        <v>10641.8</v>
      </c>
      <c r="P11" t="n">
        <v>11146.4</v>
      </c>
      <c r="Q11" t="n">
        <v>11473.7</v>
      </c>
      <c r="R11" t="n">
        <v>11989.1</v>
      </c>
      <c r="S11" t="n">
        <v>12318.1</v>
      </c>
      <c r="T11" t="n">
        <v>12783.9</v>
      </c>
      <c r="U11" t="n">
        <v>13318.5</v>
      </c>
      <c r="V11" t="n">
        <v>13598.5</v>
      </c>
      <c r="W11" t="n">
        <v>13822.1</v>
      </c>
      <c r="X11" t="n">
        <v>14104</v>
      </c>
      <c r="Y11" t="n">
        <v>13903.4</v>
      </c>
      <c r="Z11" t="n">
        <v>14261.9</v>
      </c>
      <c r="AA11" t="n">
        <v>15022.9</v>
      </c>
      <c r="AB11" t="n">
        <v>16102</v>
      </c>
      <c r="AC11" t="n">
        <v>16649.2</v>
      </c>
      <c r="AD11" t="n">
        <v>16839.9</v>
      </c>
      <c r="AE11" t="n">
        <v>17598.6</v>
      </c>
      <c r="AF11"/>
    </row>
    <row r="12">
      <c r="A12" t="s">
        <v>138</v>
      </c>
      <c r="B12" t="s">
        <v>294</v>
      </c>
      <c r="C12" t="s">
        <v>246</v>
      </c>
      <c r="D12" t="s">
        <v>295</v>
      </c>
      <c r="E12" t="s">
        <v>247</v>
      </c>
      <c r="F12"/>
      <c r="G12" t="n">
        <v>40377.3</v>
      </c>
      <c r="H12" t="n">
        <v>39339.1</v>
      </c>
      <c r="I12" t="n">
        <v>38148.7</v>
      </c>
      <c r="J12" t="n">
        <v>37652.7</v>
      </c>
      <c r="K12" t="n">
        <v>37082.6</v>
      </c>
      <c r="L12" t="n">
        <v>37473.6</v>
      </c>
      <c r="M12" t="n">
        <v>37768.8</v>
      </c>
      <c r="N12" t="n">
        <v>38514.9</v>
      </c>
      <c r="O12" t="n">
        <v>39055.7</v>
      </c>
      <c r="P12" t="n">
        <v>39764.7</v>
      </c>
      <c r="Q12" t="n">
        <v>41017.5</v>
      </c>
      <c r="R12" t="n">
        <v>42609.3</v>
      </c>
      <c r="S12" t="n">
        <v>44638.5</v>
      </c>
      <c r="T12" t="n">
        <v>44923.1</v>
      </c>
      <c r="U12" t="n">
        <v>44882.2</v>
      </c>
      <c r="V12" t="n">
        <v>45527.1</v>
      </c>
      <c r="W12" t="n">
        <v>46261.5</v>
      </c>
      <c r="X12" t="n">
        <v>46188.3</v>
      </c>
      <c r="Y12" t="n">
        <v>45023.5</v>
      </c>
      <c r="Z12" t="n">
        <v>44886.2</v>
      </c>
      <c r="AA12" t="n">
        <v>45583.8</v>
      </c>
      <c r="AB12" t="n">
        <v>46228.9</v>
      </c>
      <c r="AC12" t="n">
        <v>47874.1</v>
      </c>
      <c r="AD12" t="n">
        <v>48930.7</v>
      </c>
      <c r="AE12" t="n">
        <v>49248.4</v>
      </c>
      <c r="AF12"/>
    </row>
    <row r="13">
      <c r="A13" t="s">
        <v>138</v>
      </c>
      <c r="B13" t="s">
        <v>296</v>
      </c>
      <c r="C13" t="s">
        <v>246</v>
      </c>
      <c r="D13" t="s">
        <v>297</v>
      </c>
      <c r="E13" t="s">
        <v>247</v>
      </c>
      <c r="F13"/>
      <c r="G13" t="n">
        <v>43163.2</v>
      </c>
      <c r="H13" t="n">
        <v>44250.5</v>
      </c>
      <c r="I13" t="n">
        <v>45951.5</v>
      </c>
      <c r="J13" t="n">
        <v>47157.2</v>
      </c>
      <c r="K13" t="n">
        <v>48233.1</v>
      </c>
      <c r="L13" t="n">
        <v>50849</v>
      </c>
      <c r="M13" t="n">
        <v>53757.7</v>
      </c>
      <c r="N13" t="n">
        <v>55783.7</v>
      </c>
      <c r="O13" t="n">
        <v>57364.7</v>
      </c>
      <c r="P13" t="n">
        <v>58913</v>
      </c>
      <c r="Q13" t="n">
        <v>60038.4</v>
      </c>
      <c r="R13" t="n">
        <v>63098.9</v>
      </c>
      <c r="S13" t="n">
        <v>65544.9</v>
      </c>
      <c r="T13" t="n">
        <v>66877</v>
      </c>
      <c r="U13" t="n">
        <v>66904.2</v>
      </c>
      <c r="V13" t="n">
        <v>67587.2</v>
      </c>
      <c r="W13" t="n">
        <v>68789.8</v>
      </c>
      <c r="X13" t="n">
        <v>68154.2</v>
      </c>
      <c r="Y13" t="n">
        <v>66610.3</v>
      </c>
      <c r="Z13" t="n">
        <v>66334.6</v>
      </c>
      <c r="AA13" t="n">
        <v>66338.4</v>
      </c>
      <c r="AB13" t="n">
        <v>65941.8</v>
      </c>
      <c r="AC13" t="n">
        <v>67594.8</v>
      </c>
      <c r="AD13" t="n">
        <v>69030.8</v>
      </c>
      <c r="AE13" t="n">
        <v>69395</v>
      </c>
      <c r="AF13"/>
    </row>
    <row r="14">
      <c r="A14" t="s">
        <v>138</v>
      </c>
      <c r="B14" t="s">
        <v>298</v>
      </c>
      <c r="C14" t="s">
        <v>246</v>
      </c>
      <c r="D14" t="s">
        <v>299</v>
      </c>
      <c r="E14" t="s">
        <v>247</v>
      </c>
      <c r="F14"/>
      <c r="G14" t="n">
        <v>9226.2</v>
      </c>
      <c r="H14" t="n">
        <v>9451.4</v>
      </c>
      <c r="I14" t="n">
        <v>10377.2</v>
      </c>
      <c r="J14" t="n">
        <v>11113.2</v>
      </c>
      <c r="K14" t="n">
        <v>11544.3</v>
      </c>
      <c r="L14" t="n">
        <v>12683.8</v>
      </c>
      <c r="M14" t="n">
        <v>13121.5</v>
      </c>
      <c r="N14" t="n">
        <v>13647.8</v>
      </c>
      <c r="O14" t="n">
        <v>14058.1</v>
      </c>
      <c r="P14" t="n">
        <v>14716</v>
      </c>
      <c r="Q14" t="n">
        <v>15282.5</v>
      </c>
      <c r="R14" t="n">
        <v>16219.6</v>
      </c>
      <c r="S14" t="n">
        <v>16663.4</v>
      </c>
      <c r="T14" t="n">
        <v>17386</v>
      </c>
      <c r="U14" t="n">
        <v>17622.8</v>
      </c>
      <c r="V14" t="n">
        <v>18101.9</v>
      </c>
      <c r="W14" t="n">
        <v>18604.6</v>
      </c>
      <c r="X14" t="n">
        <v>18303.5</v>
      </c>
      <c r="Y14" t="n">
        <v>18256.7</v>
      </c>
      <c r="Z14" t="n">
        <v>18429.1</v>
      </c>
      <c r="AA14" t="n">
        <v>18656.8</v>
      </c>
      <c r="AB14" t="n">
        <v>19117.8</v>
      </c>
      <c r="AC14" t="n">
        <v>19523.4</v>
      </c>
      <c r="AD14" t="n">
        <v>19851.4</v>
      </c>
      <c r="AE14" t="n">
        <v>20606.3</v>
      </c>
      <c r="AF14"/>
    </row>
    <row r="15">
      <c r="A15" t="s">
        <v>138</v>
      </c>
      <c r="B15" t="s">
        <v>300</v>
      </c>
      <c r="C15" t="s">
        <v>246</v>
      </c>
      <c r="D15" t="s">
        <v>301</v>
      </c>
      <c r="E15" t="s">
        <v>247</v>
      </c>
      <c r="F15"/>
      <c r="G15" t="n">
        <v>18100.6</v>
      </c>
      <c r="H15" t="n">
        <v>18955.5</v>
      </c>
      <c r="I15" t="n">
        <v>20482.4</v>
      </c>
      <c r="J15" t="n">
        <v>21944.5</v>
      </c>
      <c r="K15" t="n">
        <v>23115.9</v>
      </c>
      <c r="L15" t="n">
        <v>25424.2</v>
      </c>
      <c r="M15" t="n">
        <v>26765.2</v>
      </c>
      <c r="N15" t="n">
        <v>28052.1</v>
      </c>
      <c r="O15" t="n">
        <v>29220.6</v>
      </c>
      <c r="P15" t="n">
        <v>30783.6</v>
      </c>
      <c r="Q15" t="n">
        <v>32145</v>
      </c>
      <c r="R15" t="n">
        <v>34295.1</v>
      </c>
      <c r="S15" t="n">
        <v>35659.4</v>
      </c>
      <c r="T15" t="n">
        <v>36970.5</v>
      </c>
      <c r="U15" t="n">
        <v>37459.2</v>
      </c>
      <c r="V15" t="n">
        <v>38542.9</v>
      </c>
      <c r="W15" t="n">
        <v>39142.4</v>
      </c>
      <c r="X15" t="n">
        <v>38489.1</v>
      </c>
      <c r="Y15" t="n">
        <v>37745.4</v>
      </c>
      <c r="Z15" t="n">
        <v>37632.4</v>
      </c>
      <c r="AA15" t="n">
        <v>37962.4</v>
      </c>
      <c r="AB15" t="n">
        <v>38458.6</v>
      </c>
      <c r="AC15" t="n">
        <v>39178.5</v>
      </c>
      <c r="AD15" t="n">
        <v>39825.2</v>
      </c>
      <c r="AE15" t="n">
        <v>40608.7</v>
      </c>
      <c r="AF15"/>
    </row>
    <row r="16">
      <c r="A16" t="s">
        <v>138</v>
      </c>
      <c r="B16" t="s">
        <v>302</v>
      </c>
      <c r="C16" t="s">
        <v>246</v>
      </c>
      <c r="D16" t="s">
        <v>303</v>
      </c>
      <c r="E16" t="s">
        <v>247</v>
      </c>
      <c r="F16"/>
      <c r="G16" t="n">
        <v>8874.4</v>
      </c>
      <c r="H16" t="n">
        <v>9504.1</v>
      </c>
      <c r="I16" t="n">
        <v>10105.2</v>
      </c>
      <c r="J16" t="n">
        <v>10831.3</v>
      </c>
      <c r="K16" t="n">
        <v>11571.6</v>
      </c>
      <c r="L16" t="n">
        <v>12740.4</v>
      </c>
      <c r="M16" t="n">
        <v>13643.7</v>
      </c>
      <c r="N16" t="n">
        <v>14404.3</v>
      </c>
      <c r="O16" t="n">
        <v>15162.5</v>
      </c>
      <c r="P16" t="n">
        <v>16067.6</v>
      </c>
      <c r="Q16" t="n">
        <v>16862.5</v>
      </c>
      <c r="R16" t="n">
        <v>18075.5</v>
      </c>
      <c r="S16" t="n">
        <v>18996</v>
      </c>
      <c r="T16" t="n">
        <v>19584.5</v>
      </c>
      <c r="U16" t="n">
        <v>19836.4</v>
      </c>
      <c r="V16" t="n">
        <v>20441</v>
      </c>
      <c r="W16" t="n">
        <v>20537.8</v>
      </c>
      <c r="X16" t="n">
        <v>20185.6</v>
      </c>
      <c r="Y16" t="n">
        <v>19488.7</v>
      </c>
      <c r="Z16" t="n">
        <v>19203.3</v>
      </c>
      <c r="AA16" t="n">
        <v>19305.6</v>
      </c>
      <c r="AB16" t="n">
        <v>19340.8</v>
      </c>
      <c r="AC16" t="n">
        <v>19655.1</v>
      </c>
      <c r="AD16" t="n">
        <v>19973.8</v>
      </c>
      <c r="AE16" t="n">
        <v>20002.4</v>
      </c>
      <c r="AF16"/>
    </row>
    <row r="17">
      <c r="A17" t="s">
        <v>138</v>
      </c>
      <c r="B17" t="s">
        <v>304</v>
      </c>
      <c r="C17" t="s">
        <v>246</v>
      </c>
      <c r="D17" t="s">
        <v>305</v>
      </c>
      <c r="E17" t="s">
        <v>247</v>
      </c>
      <c r="F17"/>
      <c r="G17" t="n">
        <v>25249.9</v>
      </c>
      <c r="H17" t="n">
        <v>26339.6</v>
      </c>
      <c r="I17" t="n">
        <v>26862.2</v>
      </c>
      <c r="J17" t="n">
        <v>28160.5</v>
      </c>
      <c r="K17" t="n">
        <v>29293.5</v>
      </c>
      <c r="L17" t="n">
        <v>30840.8</v>
      </c>
      <c r="M17" t="n">
        <v>32506.8</v>
      </c>
      <c r="N17" t="n">
        <v>33566.2</v>
      </c>
      <c r="O17" t="n">
        <v>34494.3</v>
      </c>
      <c r="P17" t="n">
        <v>36168.9</v>
      </c>
      <c r="Q17" t="n">
        <v>37420.6</v>
      </c>
      <c r="R17" t="n">
        <v>39234.9</v>
      </c>
      <c r="S17" t="n">
        <v>41288.3</v>
      </c>
      <c r="T17" t="n">
        <v>42041.2</v>
      </c>
      <c r="U17" t="n">
        <v>42304.8</v>
      </c>
      <c r="V17" t="n">
        <v>43375.4</v>
      </c>
      <c r="W17" t="n">
        <v>44243.8</v>
      </c>
      <c r="X17" t="n">
        <v>44491.9</v>
      </c>
      <c r="Y17" t="n">
        <v>44402.3</v>
      </c>
      <c r="Z17" t="n">
        <v>45130.9</v>
      </c>
      <c r="AA17" t="n">
        <v>46580.9</v>
      </c>
      <c r="AB17" t="n">
        <v>47382.5</v>
      </c>
      <c r="AC17" t="n">
        <v>49925.3</v>
      </c>
      <c r="AD17" t="n">
        <v>50890.8</v>
      </c>
      <c r="AE17" t="n">
        <v>51520.6</v>
      </c>
      <c r="AF17"/>
    </row>
    <row r="18">
      <c r="A18" t="s">
        <v>138</v>
      </c>
      <c r="B18" t="s">
        <v>306</v>
      </c>
      <c r="C18" t="s">
        <v>246</v>
      </c>
      <c r="D18" t="s">
        <v>307</v>
      </c>
      <c r="E18" t="s">
        <v>247</v>
      </c>
      <c r="F18"/>
      <c r="G18" t="n">
        <v>29080.2</v>
      </c>
      <c r="H18" t="n">
        <v>29674.4</v>
      </c>
      <c r="I18" t="n">
        <v>29864.8</v>
      </c>
      <c r="J18" t="n">
        <v>30633.7</v>
      </c>
      <c r="K18" t="n">
        <v>31327</v>
      </c>
      <c r="L18" t="n">
        <v>32721.6</v>
      </c>
      <c r="M18" t="n">
        <v>34177.4</v>
      </c>
      <c r="N18" t="n">
        <v>35085.9</v>
      </c>
      <c r="O18" t="n">
        <v>35592</v>
      </c>
      <c r="P18" t="n">
        <v>37365.6</v>
      </c>
      <c r="Q18" t="n">
        <v>39103.1</v>
      </c>
      <c r="R18" t="n">
        <v>40710.5</v>
      </c>
      <c r="S18" t="n">
        <v>43076.8</v>
      </c>
      <c r="T18" t="n">
        <v>44605.6</v>
      </c>
      <c r="U18" t="n">
        <v>44690.4</v>
      </c>
      <c r="V18" t="n">
        <v>45875.1</v>
      </c>
      <c r="W18" t="n">
        <v>47492.6</v>
      </c>
      <c r="X18" t="n">
        <v>49390.4</v>
      </c>
      <c r="Y18" t="n">
        <v>50493.8</v>
      </c>
      <c r="Z18" t="n">
        <v>53511.6</v>
      </c>
      <c r="AA18" t="n">
        <v>57564.5</v>
      </c>
      <c r="AB18" t="n">
        <v>58821</v>
      </c>
      <c r="AC18" t="n">
        <v>60930.4</v>
      </c>
      <c r="AD18" t="n">
        <v>62735.5</v>
      </c>
      <c r="AE18" t="n">
        <v>64424.7</v>
      </c>
      <c r="AF18"/>
    </row>
    <row r="19">
      <c r="A19" t="s">
        <v>138</v>
      </c>
      <c r="B19" t="s">
        <v>308</v>
      </c>
      <c r="C19" t="s">
        <v>246</v>
      </c>
      <c r="D19" t="s">
        <v>309</v>
      </c>
      <c r="E19" t="s">
        <v>247</v>
      </c>
      <c r="F19"/>
      <c r="G19" t="n">
        <v>21235.9</v>
      </c>
      <c r="H19" t="n">
        <v>21663.4</v>
      </c>
      <c r="I19" t="n">
        <v>22256.2</v>
      </c>
      <c r="J19" t="n">
        <v>22619.6</v>
      </c>
      <c r="K19" t="n">
        <v>23162</v>
      </c>
      <c r="L19" t="n">
        <v>24168</v>
      </c>
      <c r="M19" t="n">
        <v>25288.2</v>
      </c>
      <c r="N19" t="n">
        <v>26181.7</v>
      </c>
      <c r="O19" t="n">
        <v>26708.3</v>
      </c>
      <c r="P19" t="n">
        <v>27469.1</v>
      </c>
      <c r="Q19" t="n">
        <v>28321.4</v>
      </c>
      <c r="R19" t="n">
        <v>29416.2</v>
      </c>
      <c r="S19" t="n">
        <v>30066.3</v>
      </c>
      <c r="T19" t="n">
        <v>30784.4</v>
      </c>
      <c r="U19" t="n">
        <v>30771.5</v>
      </c>
      <c r="V19" t="n">
        <v>31106.6</v>
      </c>
      <c r="W19" t="n">
        <v>30922.1</v>
      </c>
      <c r="X19" t="n">
        <v>30172.4</v>
      </c>
      <c r="Y19" t="n">
        <v>28959.9</v>
      </c>
      <c r="Z19" t="n">
        <v>28281.5</v>
      </c>
      <c r="AA19" t="n">
        <v>28388.1</v>
      </c>
      <c r="AB19" t="n">
        <v>27944.9</v>
      </c>
      <c r="AC19" t="n">
        <v>28079.7</v>
      </c>
      <c r="AD19" t="n">
        <v>28435.5</v>
      </c>
      <c r="AE19" t="n">
        <v>28593.6</v>
      </c>
      <c r="AF19"/>
    </row>
    <row r="20">
      <c r="A20" t="s">
        <v>138</v>
      </c>
      <c r="B20" t="s">
        <v>310</v>
      </c>
      <c r="C20" t="s">
        <v>246</v>
      </c>
      <c r="D20" t="s">
        <v>311</v>
      </c>
      <c r="E20" t="s">
        <v>247</v>
      </c>
      <c r="F20"/>
      <c r="G20" t="n">
        <v>86662.6</v>
      </c>
      <c r="H20" t="n">
        <v>93620.5</v>
      </c>
      <c r="I20" t="n">
        <v>101931</v>
      </c>
      <c r="J20" t="n">
        <v>109477.7</v>
      </c>
      <c r="K20" t="n">
        <v>115964.1</v>
      </c>
      <c r="L20" t="n">
        <v>125881.2</v>
      </c>
      <c r="M20" t="n">
        <v>135985.1</v>
      </c>
      <c r="N20" t="n">
        <v>148955.9</v>
      </c>
      <c r="O20" t="n">
        <v>159250.4</v>
      </c>
      <c r="P20" t="n">
        <v>170876.7</v>
      </c>
      <c r="Q20" t="n">
        <v>182196.6</v>
      </c>
      <c r="R20" t="n">
        <v>194523.1</v>
      </c>
      <c r="S20" t="n">
        <v>208642.8</v>
      </c>
      <c r="T20" t="n">
        <v>219118.8</v>
      </c>
      <c r="U20" t="n">
        <v>219496.6</v>
      </c>
      <c r="V20" t="n">
        <v>227077.5</v>
      </c>
      <c r="W20" t="n">
        <v>232893</v>
      </c>
      <c r="X20" t="n">
        <v>232466.7</v>
      </c>
      <c r="Y20" t="n">
        <v>227295.7</v>
      </c>
      <c r="Z20" t="n">
        <v>220914.3</v>
      </c>
      <c r="AA20" t="n">
        <v>216221.8</v>
      </c>
      <c r="AB20" t="n">
        <v>210494</v>
      </c>
      <c r="AC20" t="n">
        <v>207434.1</v>
      </c>
      <c r="AD20" t="n">
        <v>207126.7</v>
      </c>
      <c r="AE20" t="n">
        <v>203885.1</v>
      </c>
      <c r="AF20" t="n">
        <v>200438</v>
      </c>
    </row>
    <row r="21">
      <c r="A21" t="s">
        <v>138</v>
      </c>
      <c r="B21" t="s">
        <v>312</v>
      </c>
      <c r="C21" t="s">
        <v>246</v>
      </c>
      <c r="D21" t="s">
        <v>313</v>
      </c>
      <c r="E21" t="s">
        <v>247</v>
      </c>
      <c r="F21"/>
      <c r="G21" t="n">
        <v>112317.3</v>
      </c>
      <c r="H21" t="n">
        <v>120355.4</v>
      </c>
      <c r="I21" t="n">
        <v>129955.6</v>
      </c>
      <c r="J21" t="n">
        <v>138732.9</v>
      </c>
      <c r="K21" t="n">
        <v>145917.1</v>
      </c>
      <c r="L21" t="n">
        <v>157538</v>
      </c>
      <c r="M21" t="n">
        <v>169117.2</v>
      </c>
      <c r="N21" t="n">
        <v>183718.8</v>
      </c>
      <c r="O21" t="n">
        <v>195315.3</v>
      </c>
      <c r="P21" t="n">
        <v>208343.3</v>
      </c>
      <c r="Q21" t="n">
        <v>221372.8</v>
      </c>
      <c r="R21" t="n">
        <v>235277.8</v>
      </c>
      <c r="S21" t="n">
        <v>250487.9</v>
      </c>
      <c r="T21" t="n">
        <v>261943.4</v>
      </c>
      <c r="U21" t="n">
        <v>262472.5</v>
      </c>
      <c r="V21" t="n">
        <v>270891.5</v>
      </c>
      <c r="W21" t="n">
        <v>278276.5</v>
      </c>
      <c r="X21" t="n">
        <v>277703.6</v>
      </c>
      <c r="Y21" t="n">
        <v>271428.8</v>
      </c>
      <c r="Z21" t="n">
        <v>264856.1</v>
      </c>
      <c r="AA21" t="n">
        <v>260818.2</v>
      </c>
      <c r="AB21" t="n">
        <v>255801.1</v>
      </c>
      <c r="AC21" t="n">
        <v>254151.5</v>
      </c>
      <c r="AD21" t="n">
        <v>255389.8</v>
      </c>
      <c r="AE21" t="n">
        <v>252982.6</v>
      </c>
      <c r="AF21" t="n">
        <v>251109.9</v>
      </c>
    </row>
    <row r="22">
      <c r="A22" t="s">
        <v>138</v>
      </c>
      <c r="B22" t="s">
        <v>314</v>
      </c>
      <c r="C22" t="s">
        <v>246</v>
      </c>
      <c r="D22" t="s">
        <v>315</v>
      </c>
      <c r="E22" t="s">
        <v>247</v>
      </c>
      <c r="F22"/>
      <c r="G22" t="n">
        <v>25654.7</v>
      </c>
      <c r="H22" t="n">
        <v>26734.9</v>
      </c>
      <c r="I22" t="n">
        <v>28024.6</v>
      </c>
      <c r="J22" t="n">
        <v>29255.2</v>
      </c>
      <c r="K22" t="n">
        <v>29953</v>
      </c>
      <c r="L22" t="n">
        <v>31656.8</v>
      </c>
      <c r="M22" t="n">
        <v>33132.1</v>
      </c>
      <c r="N22" t="n">
        <v>34762.9</v>
      </c>
      <c r="O22" t="n">
        <v>36064.9</v>
      </c>
      <c r="P22" t="n">
        <v>37466.6</v>
      </c>
      <c r="Q22" t="n">
        <v>39176.2</v>
      </c>
      <c r="R22" t="n">
        <v>40754.7</v>
      </c>
      <c r="S22" t="n">
        <v>41845.1</v>
      </c>
      <c r="T22" t="n">
        <v>42824.6</v>
      </c>
      <c r="U22" t="n">
        <v>42975.9</v>
      </c>
      <c r="V22" t="n">
        <v>43814</v>
      </c>
      <c r="W22" t="n">
        <v>45383.5</v>
      </c>
      <c r="X22" t="n">
        <v>45236.9</v>
      </c>
      <c r="Y22" t="n">
        <v>44133.1</v>
      </c>
      <c r="Z22" t="n">
        <v>43941.8</v>
      </c>
      <c r="AA22" t="n">
        <v>44596.4</v>
      </c>
      <c r="AB22" t="n">
        <v>45307.1</v>
      </c>
      <c r="AC22" t="n">
        <v>46717.4</v>
      </c>
      <c r="AD22" t="n">
        <v>48263.1</v>
      </c>
      <c r="AE22" t="n">
        <v>49097.5</v>
      </c>
      <c r="AF22" t="n">
        <v>50671.9</v>
      </c>
    </row>
    <row r="23">
      <c r="A23" t="s">
        <v>138</v>
      </c>
      <c r="B23" t="s">
        <v>316</v>
      </c>
      <c r="C23" t="s">
        <v>246</v>
      </c>
      <c r="D23" t="s">
        <v>317</v>
      </c>
      <c r="E23" t="s">
        <v>247</v>
      </c>
      <c r="F23"/>
      <c r="G23" t="n">
        <v>37587.7</v>
      </c>
      <c r="H23" t="n">
        <v>38669.7</v>
      </c>
      <c r="I23" t="n">
        <v>40850.1</v>
      </c>
      <c r="J23" t="n">
        <v>41893.7</v>
      </c>
      <c r="K23" t="n">
        <v>43258.2</v>
      </c>
      <c r="L23" t="n">
        <v>46173.3</v>
      </c>
      <c r="M23" t="n">
        <v>48939</v>
      </c>
      <c r="N23" t="n">
        <v>52076.7</v>
      </c>
      <c r="O23" t="n">
        <v>53539.9</v>
      </c>
      <c r="P23" t="n">
        <v>55979.6</v>
      </c>
      <c r="Q23" t="n">
        <v>58642.4</v>
      </c>
      <c r="R23" t="n">
        <v>61756</v>
      </c>
      <c r="S23" t="n">
        <v>64192</v>
      </c>
      <c r="T23" t="n">
        <v>64730.9</v>
      </c>
      <c r="U23" t="n">
        <v>64964.4</v>
      </c>
      <c r="V23" t="n">
        <v>66398.9</v>
      </c>
      <c r="W23" t="n">
        <v>66231.3</v>
      </c>
      <c r="X23" t="n">
        <v>63789.5</v>
      </c>
      <c r="Y23" t="n">
        <v>60941.2</v>
      </c>
      <c r="Z23" t="n">
        <v>58752.5</v>
      </c>
      <c r="AA23" t="n">
        <v>57986.5</v>
      </c>
      <c r="AB23" t="n">
        <v>58542.2</v>
      </c>
      <c r="AC23" t="n">
        <v>58315.8</v>
      </c>
      <c r="AD23" t="n">
        <v>58715.9</v>
      </c>
      <c r="AE23" t="n">
        <v>59115</v>
      </c>
      <c r="AF23" t="n">
        <v>62802.8</v>
      </c>
    </row>
    <row r="24">
      <c r="A24" t="s">
        <v>138</v>
      </c>
      <c r="B24" t="s">
        <v>318</v>
      </c>
      <c r="C24" t="s">
        <v>246</v>
      </c>
      <c r="D24" t="s">
        <v>319</v>
      </c>
      <c r="E24" t="s">
        <v>247</v>
      </c>
      <c r="F24"/>
      <c r="G24" t="n">
        <v>83831.3</v>
      </c>
      <c r="H24" t="n">
        <v>89607</v>
      </c>
      <c r="I24" t="n">
        <v>94465.2</v>
      </c>
      <c r="J24" t="n">
        <v>100887.2</v>
      </c>
      <c r="K24" t="n">
        <v>106370.9</v>
      </c>
      <c r="L24" t="n">
        <v>113838.2</v>
      </c>
      <c r="M24" t="n">
        <v>121900.8</v>
      </c>
      <c r="N24" t="n">
        <v>128476.3</v>
      </c>
      <c r="O24" t="n">
        <v>134581.6</v>
      </c>
      <c r="P24" t="n">
        <v>142272.5</v>
      </c>
      <c r="Q24" t="n">
        <v>150264.9</v>
      </c>
      <c r="R24" t="n">
        <v>158799.1</v>
      </c>
      <c r="S24" t="n">
        <v>164776.7</v>
      </c>
      <c r="T24" t="n">
        <v>169305.1</v>
      </c>
      <c r="U24" t="n">
        <v>171957</v>
      </c>
      <c r="V24" t="n">
        <v>177570.7</v>
      </c>
      <c r="W24" t="n">
        <v>180027.2</v>
      </c>
      <c r="X24" t="n">
        <v>180186.9</v>
      </c>
      <c r="Y24" t="n">
        <v>176224.3</v>
      </c>
      <c r="Z24" t="n">
        <v>174649.8</v>
      </c>
      <c r="AA24" t="n">
        <v>177565.5</v>
      </c>
      <c r="AB24" t="n">
        <v>178812.8</v>
      </c>
      <c r="AC24" t="n">
        <v>184765.8</v>
      </c>
      <c r="AD24" t="n">
        <v>190378.6</v>
      </c>
      <c r="AE24" t="n">
        <v>192169.1</v>
      </c>
      <c r="AF24" t="n">
        <v>192584.7</v>
      </c>
    </row>
    <row r="25">
      <c r="A25" t="s">
        <v>138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138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138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138</v>
      </c>
      <c r="B28" t="s">
        <v>326</v>
      </c>
      <c r="C28" t="s">
        <v>246</v>
      </c>
      <c r="D28" t="s">
        <v>327</v>
      </c>
      <c r="E28" t="s">
        <v>247</v>
      </c>
      <c r="F28"/>
      <c r="G28" t="n">
        <v>162966.6</v>
      </c>
      <c r="H28" t="n">
        <v>169039.2</v>
      </c>
      <c r="I28" t="n">
        <v>176094.6</v>
      </c>
      <c r="J28" t="n">
        <v>183778.1</v>
      </c>
      <c r="K28" t="n">
        <v>187890.7</v>
      </c>
      <c r="L28" t="n">
        <v>198637.6</v>
      </c>
      <c r="M28" t="n">
        <v>209080.1</v>
      </c>
      <c r="N28" t="n">
        <v>218911.8</v>
      </c>
      <c r="O28" t="n">
        <v>227987.1</v>
      </c>
      <c r="P28" t="n">
        <v>242438.3</v>
      </c>
      <c r="Q28" t="n">
        <v>256964.2</v>
      </c>
      <c r="R28" t="n">
        <v>271403.3</v>
      </c>
      <c r="S28" t="n">
        <v>284429.3</v>
      </c>
      <c r="T28" t="n">
        <v>298864.2</v>
      </c>
      <c r="U28" t="n">
        <v>301316.2</v>
      </c>
      <c r="V28" t="n">
        <v>312498.9</v>
      </c>
      <c r="W28" t="n">
        <v>317955.8</v>
      </c>
      <c r="X28" t="n">
        <v>320559.4</v>
      </c>
      <c r="Y28" t="n">
        <v>317901.8</v>
      </c>
      <c r="Z28" t="n">
        <v>317456.9</v>
      </c>
      <c r="AA28" t="n">
        <v>318056.4</v>
      </c>
      <c r="AB28" t="n">
        <v>316353.2</v>
      </c>
      <c r="AC28" t="n">
        <v>319474.8</v>
      </c>
      <c r="AD28" t="n">
        <v>324892</v>
      </c>
      <c r="AE28" t="n">
        <v>326190.9</v>
      </c>
      <c r="AF28" t="n">
        <v>332254.6</v>
      </c>
    </row>
    <row r="29">
      <c r="A29" t="s">
        <v>138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138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138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138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138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138</v>
      </c>
      <c r="B34" t="s">
        <v>338</v>
      </c>
      <c r="C34" t="s">
        <v>246</v>
      </c>
      <c r="D34" t="s">
        <v>339</v>
      </c>
      <c r="E34" t="s">
        <v>247</v>
      </c>
      <c r="F34"/>
      <c r="G34" t="n">
        <v>55973.4</v>
      </c>
      <c r="H34" t="n">
        <v>57787.6</v>
      </c>
      <c r="I34" t="n">
        <v>60457.1</v>
      </c>
      <c r="J34" t="n">
        <v>62653.7</v>
      </c>
      <c r="K34" t="n">
        <v>65225.8</v>
      </c>
      <c r="L34" t="n">
        <v>69858.4</v>
      </c>
      <c r="M34" t="n">
        <v>72893.5</v>
      </c>
      <c r="N34" t="n">
        <v>76584.7</v>
      </c>
      <c r="O34" t="n">
        <v>79737.3</v>
      </c>
      <c r="P34" t="n">
        <v>83807.2</v>
      </c>
      <c r="Q34" t="n">
        <v>88125.2</v>
      </c>
      <c r="R34" t="n">
        <v>92323.6</v>
      </c>
      <c r="S34" t="n">
        <v>97060.2</v>
      </c>
      <c r="T34" t="n">
        <v>100092.5</v>
      </c>
      <c r="U34" t="n">
        <v>102150.8</v>
      </c>
      <c r="V34" t="n">
        <v>105278.5</v>
      </c>
      <c r="W34" t="n">
        <v>106996.9</v>
      </c>
      <c r="X34" t="n">
        <v>105565.2</v>
      </c>
      <c r="Y34" t="n">
        <v>102831.3</v>
      </c>
      <c r="Z34" t="n">
        <v>101250.7</v>
      </c>
      <c r="AA34" t="n">
        <v>99250.2</v>
      </c>
      <c r="AB34" t="n">
        <v>97497.6</v>
      </c>
      <c r="AC34" t="n">
        <v>96909.9</v>
      </c>
      <c r="AD34" t="n">
        <v>96704.3</v>
      </c>
      <c r="AE34" t="n">
        <v>95107.4</v>
      </c>
      <c r="AF34" t="n">
        <v>94430.6</v>
      </c>
    </row>
    <row r="35">
      <c r="A35" t="s">
        <v>138</v>
      </c>
      <c r="B35" t="s">
        <v>340</v>
      </c>
      <c r="C35" t="s">
        <v>246</v>
      </c>
      <c r="D35" t="s">
        <v>341</v>
      </c>
      <c r="E35" t="s">
        <v>247</v>
      </c>
      <c r="F35"/>
      <c r="G35" t="n">
        <v>40510.9</v>
      </c>
      <c r="H35" t="n">
        <v>44159.8</v>
      </c>
      <c r="I35" t="n">
        <v>47507.7</v>
      </c>
      <c r="J35" t="n">
        <v>50982.4</v>
      </c>
      <c r="K35" t="n">
        <v>54511</v>
      </c>
      <c r="L35" t="n">
        <v>58328.1</v>
      </c>
      <c r="M35" t="n">
        <v>62079.8</v>
      </c>
      <c r="N35" t="n">
        <v>65987.9</v>
      </c>
      <c r="O35" t="n">
        <v>68241.4</v>
      </c>
      <c r="P35" t="n">
        <v>72078.5</v>
      </c>
      <c r="Q35" t="n">
        <v>74482.9</v>
      </c>
      <c r="R35" t="n">
        <v>77746.5</v>
      </c>
      <c r="S35" t="n">
        <v>80239.4</v>
      </c>
      <c r="T35" t="n">
        <v>81701.4</v>
      </c>
      <c r="U35" t="n">
        <v>83728.2</v>
      </c>
      <c r="V35" t="n">
        <v>85660.6</v>
      </c>
      <c r="W35" t="n">
        <v>89780.1</v>
      </c>
      <c r="X35" t="n">
        <v>92034.9</v>
      </c>
      <c r="Y35" t="n">
        <v>94140.1</v>
      </c>
      <c r="Z35" t="n">
        <v>98792</v>
      </c>
      <c r="AA35" t="n">
        <v>103422.5</v>
      </c>
      <c r="AB35" t="n">
        <v>104997</v>
      </c>
      <c r="AC35" t="n">
        <v>106673.2</v>
      </c>
      <c r="AD35" t="n">
        <v>108219.2</v>
      </c>
      <c r="AE35" t="n">
        <v>110033.2</v>
      </c>
      <c r="AF35" t="n">
        <v>110782.9</v>
      </c>
    </row>
    <row r="36">
      <c r="A36" t="s">
        <v>138</v>
      </c>
      <c r="B36" t="s">
        <v>342</v>
      </c>
      <c r="C36" t="s">
        <v>246</v>
      </c>
      <c r="D36" t="s">
        <v>343</v>
      </c>
      <c r="E36" t="s">
        <v>247</v>
      </c>
      <c r="F36"/>
      <c r="G36" t="n">
        <v>9386.1</v>
      </c>
      <c r="H36" t="n">
        <v>10216.9</v>
      </c>
      <c r="I36" t="n">
        <v>10999.5</v>
      </c>
      <c r="J36" t="n">
        <v>11803.4</v>
      </c>
      <c r="K36" t="n">
        <v>12616.3</v>
      </c>
      <c r="L36" t="n">
        <v>13302.8</v>
      </c>
      <c r="M36" t="n">
        <v>14451.4</v>
      </c>
      <c r="N36" t="n">
        <v>15183.3</v>
      </c>
      <c r="O36" t="n">
        <v>15751.7</v>
      </c>
      <c r="P36" t="n">
        <v>16570.9</v>
      </c>
      <c r="Q36" t="n">
        <v>17010</v>
      </c>
      <c r="R36" t="n">
        <v>17673.9</v>
      </c>
      <c r="S36" t="n">
        <v>18614.9</v>
      </c>
      <c r="T36" t="n">
        <v>18853.1</v>
      </c>
      <c r="U36" t="n">
        <v>19356.6</v>
      </c>
      <c r="V36" t="n">
        <v>19676.8</v>
      </c>
      <c r="W36" t="n">
        <v>20957.5</v>
      </c>
      <c r="X36" t="n">
        <v>20650.9</v>
      </c>
      <c r="Y36" t="n">
        <v>20037.9</v>
      </c>
      <c r="Z36" t="n">
        <v>19377.7</v>
      </c>
      <c r="AA36" t="n">
        <v>21522</v>
      </c>
      <c r="AB36" t="n">
        <v>20950.7</v>
      </c>
      <c r="AC36" t="n">
        <v>20618.2</v>
      </c>
      <c r="AD36" t="n">
        <v>20380.7</v>
      </c>
      <c r="AE36" t="n">
        <v>20066.9</v>
      </c>
      <c r="AF36"/>
    </row>
    <row r="37">
      <c r="A37" t="s">
        <v>138</v>
      </c>
      <c r="B37" t="s">
        <v>344</v>
      </c>
      <c r="C37" t="s">
        <v>246</v>
      </c>
      <c r="D37" t="s">
        <v>345</v>
      </c>
      <c r="E37" t="s">
        <v>247</v>
      </c>
      <c r="F37"/>
      <c r="G37" t="n">
        <v>19615</v>
      </c>
      <c r="H37" t="n">
        <v>21307.1</v>
      </c>
      <c r="I37" t="n">
        <v>22862.3</v>
      </c>
      <c r="J37" t="n">
        <v>24302.9</v>
      </c>
      <c r="K37" t="n">
        <v>26333.2</v>
      </c>
      <c r="L37" t="n">
        <v>28198.4</v>
      </c>
      <c r="M37" t="n">
        <v>29873</v>
      </c>
      <c r="N37" t="n">
        <v>30877.3</v>
      </c>
      <c r="O37" t="n">
        <v>32006.7</v>
      </c>
      <c r="P37" t="n">
        <v>34184.5</v>
      </c>
      <c r="Q37" t="n">
        <v>35704.5</v>
      </c>
      <c r="R37" t="n">
        <v>37202.6</v>
      </c>
      <c r="S37" t="n">
        <v>38819.5</v>
      </c>
      <c r="T37" t="n">
        <v>39760.8</v>
      </c>
      <c r="U37" t="n">
        <v>40947.9</v>
      </c>
      <c r="V37" t="n">
        <v>42229.9</v>
      </c>
      <c r="W37" t="n">
        <v>44879.5</v>
      </c>
      <c r="X37" t="n">
        <v>46474.5</v>
      </c>
      <c r="Y37" t="n">
        <v>49061.8</v>
      </c>
      <c r="Z37" t="n">
        <v>52673.2</v>
      </c>
      <c r="AA37" t="n">
        <v>53425.4</v>
      </c>
      <c r="AB37" t="n">
        <v>54335.9</v>
      </c>
      <c r="AC37" t="n">
        <v>55419</v>
      </c>
      <c r="AD37" t="n">
        <v>56446.9</v>
      </c>
      <c r="AE37" t="n">
        <v>57022.8</v>
      </c>
      <c r="AF37"/>
    </row>
    <row r="38">
      <c r="A38" t="s">
        <v>138</v>
      </c>
      <c r="B38" t="s">
        <v>346</v>
      </c>
      <c r="C38" t="s">
        <v>246</v>
      </c>
      <c r="D38" t="s">
        <v>347</v>
      </c>
      <c r="E38" t="s">
        <v>247</v>
      </c>
      <c r="F38"/>
      <c r="G38" t="n">
        <v>11509.8</v>
      </c>
      <c r="H38" t="n">
        <v>12635.8</v>
      </c>
      <c r="I38" t="n">
        <v>13645.9</v>
      </c>
      <c r="J38" t="n">
        <v>14876.1</v>
      </c>
      <c r="K38" t="n">
        <v>15561.5</v>
      </c>
      <c r="L38" t="n">
        <v>16826.9</v>
      </c>
      <c r="M38" t="n">
        <v>17755.4</v>
      </c>
      <c r="N38" t="n">
        <v>19927.3</v>
      </c>
      <c r="O38" t="n">
        <v>20483</v>
      </c>
      <c r="P38" t="n">
        <v>21323.1</v>
      </c>
      <c r="Q38" t="n">
        <v>21768.4</v>
      </c>
      <c r="R38" t="n">
        <v>22870</v>
      </c>
      <c r="S38" t="n">
        <v>22805</v>
      </c>
      <c r="T38" t="n">
        <v>23087.5</v>
      </c>
      <c r="U38" t="n">
        <v>23423.7</v>
      </c>
      <c r="V38" t="n">
        <v>23753.9</v>
      </c>
      <c r="W38" t="n">
        <v>23943.1</v>
      </c>
      <c r="X38" t="n">
        <v>24909.5</v>
      </c>
      <c r="Y38" t="n">
        <v>25040.4</v>
      </c>
      <c r="Z38" t="n">
        <v>26741.1</v>
      </c>
      <c r="AA38" t="n">
        <v>28475.1</v>
      </c>
      <c r="AB38" t="n">
        <v>29710.4</v>
      </c>
      <c r="AC38" t="n">
        <v>30636</v>
      </c>
      <c r="AD38" t="n">
        <v>31391.6</v>
      </c>
      <c r="AE38" t="n">
        <v>32943.5</v>
      </c>
      <c r="AF38"/>
    </row>
    <row r="39">
      <c r="A39" t="s">
        <v>138</v>
      </c>
      <c r="B39" t="s">
        <v>348</v>
      </c>
      <c r="C39" t="s">
        <v>246</v>
      </c>
      <c r="D39" t="s">
        <v>349</v>
      </c>
      <c r="E39" t="s">
        <v>247</v>
      </c>
      <c r="F39"/>
      <c r="G39" t="n">
        <v>55663.8</v>
      </c>
      <c r="H39" t="n">
        <v>58795.8</v>
      </c>
      <c r="I39" t="n">
        <v>62606.8</v>
      </c>
      <c r="J39" t="n">
        <v>64633.1</v>
      </c>
      <c r="K39" t="n">
        <v>66488.4</v>
      </c>
      <c r="L39" t="n">
        <v>70280.8</v>
      </c>
      <c r="M39" t="n">
        <v>73894.9</v>
      </c>
      <c r="N39" t="n">
        <v>76867.8</v>
      </c>
      <c r="O39" t="n">
        <v>79767.3</v>
      </c>
      <c r="P39" t="n">
        <v>82852</v>
      </c>
      <c r="Q39" t="n">
        <v>86147.6</v>
      </c>
      <c r="R39" t="n">
        <v>89431.9</v>
      </c>
      <c r="S39" t="n">
        <v>93315.1</v>
      </c>
      <c r="T39" t="n">
        <v>96075.3</v>
      </c>
      <c r="U39" t="n">
        <v>97893.5</v>
      </c>
      <c r="V39" t="n">
        <v>100111.2</v>
      </c>
      <c r="W39" t="n">
        <v>102504.1</v>
      </c>
      <c r="X39" t="n">
        <v>101877.7</v>
      </c>
      <c r="Y39" t="n">
        <v>100889.5</v>
      </c>
      <c r="Z39" t="n">
        <v>100584.9</v>
      </c>
      <c r="AA39" t="n">
        <v>100724.8</v>
      </c>
      <c r="AB39" t="n">
        <v>101749.6</v>
      </c>
      <c r="AC39" t="n">
        <v>103384.8</v>
      </c>
      <c r="AD39" t="n">
        <v>106596.4</v>
      </c>
      <c r="AE39" t="n">
        <v>108072</v>
      </c>
      <c r="AF39" t="n">
        <v>110153.8</v>
      </c>
    </row>
    <row r="40">
      <c r="A40" t="s">
        <v>138</v>
      </c>
      <c r="B40" t="s">
        <v>350</v>
      </c>
      <c r="C40" t="s">
        <v>246</v>
      </c>
      <c r="D40" t="s">
        <v>351</v>
      </c>
      <c r="E40" t="s">
        <v>247</v>
      </c>
      <c r="F40"/>
      <c r="G40" t="n">
        <v>1408304.4</v>
      </c>
      <c r="H40" t="n">
        <v>1469247.7</v>
      </c>
      <c r="I40" t="n">
        <v>1535879.7</v>
      </c>
      <c r="J40" t="n">
        <v>1593447.4</v>
      </c>
      <c r="K40" t="n">
        <v>1643394.5</v>
      </c>
      <c r="L40" t="n">
        <v>1730465.8</v>
      </c>
      <c r="M40" t="n">
        <v>1801108.2</v>
      </c>
      <c r="N40" t="n">
        <v>1906385.4</v>
      </c>
      <c r="O40" t="n">
        <v>1986186.8</v>
      </c>
      <c r="P40" t="n">
        <v>2102199.7</v>
      </c>
      <c r="Q40" t="n">
        <v>2244124</v>
      </c>
      <c r="R40" t="n">
        <v>2364957.4</v>
      </c>
      <c r="S40" t="n">
        <v>2504606.1</v>
      </c>
      <c r="T40" t="n">
        <v>2623360.4</v>
      </c>
      <c r="U40" t="n">
        <v>2710831.1</v>
      </c>
      <c r="V40" t="n">
        <v>2796947.4</v>
      </c>
      <c r="W40" t="n">
        <v>2910965.1</v>
      </c>
      <c r="X40" t="n">
        <v>2971209.2</v>
      </c>
      <c r="Y40" t="n">
        <v>2988013.5</v>
      </c>
      <c r="Z40" t="n">
        <v>2995567</v>
      </c>
      <c r="AA40" t="n">
        <v>3014740.4</v>
      </c>
      <c r="AB40" t="n">
        <v>3042718.3</v>
      </c>
      <c r="AC40" t="n">
        <v>3080298.4</v>
      </c>
      <c r="AD40" t="n">
        <v>3146626.9</v>
      </c>
      <c r="AE40" t="n">
        <v>3151756</v>
      </c>
      <c r="AF40" t="n">
        <v>3211584.8</v>
      </c>
    </row>
    <row r="41">
      <c r="A41" t="s">
        <v>138</v>
      </c>
      <c r="B41" t="s">
        <v>352</v>
      </c>
      <c r="C41" t="s">
        <v>246</v>
      </c>
      <c r="D41" t="s">
        <v>353</v>
      </c>
      <c r="E41" t="s">
        <v>247</v>
      </c>
      <c r="F41"/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/>
      <c r="Y41"/>
      <c r="Z41"/>
      <c r="AA41"/>
      <c r="AB41"/>
      <c r="AC41"/>
      <c r="AD41"/>
      <c r="AE41"/>
      <c r="AF41"/>
    </row>
    <row r="42">
      <c r="A42" t="s">
        <v>138</v>
      </c>
      <c r="B42" t="s">
        <v>354</v>
      </c>
      <c r="C42" t="s">
        <v>246</v>
      </c>
      <c r="D42" t="s">
        <v>355</v>
      </c>
      <c r="E42" t="s">
        <v>247</v>
      </c>
      <c r="F42"/>
      <c r="G42" t="n">
        <v>45680.5</v>
      </c>
      <c r="H42" t="n">
        <v>47398.8</v>
      </c>
      <c r="I42" t="n">
        <v>49835.4</v>
      </c>
      <c r="J42" t="n">
        <v>53084.9</v>
      </c>
      <c r="K42" t="n">
        <v>56515.8</v>
      </c>
      <c r="L42" t="n">
        <v>61233.9</v>
      </c>
      <c r="M42" t="n">
        <v>65091.9</v>
      </c>
      <c r="N42" t="n">
        <v>69294.6</v>
      </c>
      <c r="O42" t="n">
        <v>72211.9</v>
      </c>
      <c r="P42" t="n">
        <v>76433</v>
      </c>
      <c r="Q42" t="n">
        <v>80782.5</v>
      </c>
      <c r="R42" t="n">
        <v>85226.9</v>
      </c>
      <c r="S42" t="n">
        <v>89111.6</v>
      </c>
      <c r="T42" t="n">
        <v>91811.8</v>
      </c>
      <c r="U42" t="n">
        <v>92807.8</v>
      </c>
      <c r="V42" t="n">
        <v>95147.9</v>
      </c>
      <c r="W42" t="n">
        <v>97194.5</v>
      </c>
      <c r="X42" t="n">
        <v>97741.6</v>
      </c>
      <c r="Y42" t="n">
        <v>98317.8</v>
      </c>
      <c r="Z42" t="n">
        <v>98978.4</v>
      </c>
      <c r="AA42" t="n">
        <v>100078.2</v>
      </c>
      <c r="AB42" t="n">
        <v>99554.4</v>
      </c>
      <c r="AC42" t="n">
        <v>100719</v>
      </c>
      <c r="AD42" t="n">
        <v>101945.9</v>
      </c>
      <c r="AE42" t="n">
        <v>102164.2</v>
      </c>
      <c r="AF42" t="n">
        <v>103995.2</v>
      </c>
    </row>
    <row r="43">
      <c r="A43" t="s">
        <v>138</v>
      </c>
      <c r="B43" t="s">
        <v>356</v>
      </c>
      <c r="C43" t="s">
        <v>246</v>
      </c>
      <c r="D43" t="s">
        <v>357</v>
      </c>
      <c r="E43" t="s">
        <v>247</v>
      </c>
      <c r="F43"/>
      <c r="G43" t="n">
        <v>73434.4</v>
      </c>
      <c r="H43" t="n">
        <v>77616</v>
      </c>
      <c r="I43" t="n">
        <v>81735.7</v>
      </c>
      <c r="J43" t="n">
        <v>87948.1</v>
      </c>
      <c r="K43" t="n">
        <v>94534.1</v>
      </c>
      <c r="L43" t="n">
        <v>103076.9</v>
      </c>
      <c r="M43" t="n">
        <v>110071.5</v>
      </c>
      <c r="N43" t="n">
        <v>116390</v>
      </c>
      <c r="O43" t="n">
        <v>120940.5</v>
      </c>
      <c r="P43" t="n">
        <v>127974.5</v>
      </c>
      <c r="Q43" t="n">
        <v>134441.4</v>
      </c>
      <c r="R43" t="n">
        <v>142793.7</v>
      </c>
      <c r="S43" t="n">
        <v>150258</v>
      </c>
      <c r="T43" t="n">
        <v>154412</v>
      </c>
      <c r="U43" t="n">
        <v>154963</v>
      </c>
      <c r="V43" t="n">
        <v>159669</v>
      </c>
      <c r="W43" t="n">
        <v>161718</v>
      </c>
      <c r="X43" t="n">
        <v>161649.9</v>
      </c>
      <c r="Y43" t="n">
        <v>161620.7</v>
      </c>
      <c r="Z43" t="n">
        <v>161268.3</v>
      </c>
      <c r="AA43" t="n">
        <v>163662.8</v>
      </c>
      <c r="AB43" t="n">
        <v>164851.9</v>
      </c>
      <c r="AC43" t="n">
        <v>168662.1</v>
      </c>
      <c r="AD43" t="n">
        <v>172390.1</v>
      </c>
      <c r="AE43" t="n">
        <v>173101.6</v>
      </c>
      <c r="AF43" t="n">
        <v>175398.8</v>
      </c>
    </row>
    <row r="44">
      <c r="A44" t="s">
        <v>138</v>
      </c>
      <c r="B44" t="s">
        <v>358</v>
      </c>
      <c r="C44" t="s">
        <v>246</v>
      </c>
      <c r="D44" t="s">
        <v>359</v>
      </c>
      <c r="E44" t="s">
        <v>247</v>
      </c>
      <c r="F44"/>
      <c r="G44" t="n">
        <v>1076366.3</v>
      </c>
      <c r="H44" t="n">
        <v>1120623.4</v>
      </c>
      <c r="I44" t="n">
        <v>1171650.5</v>
      </c>
      <c r="J44" t="n">
        <v>1223563.8</v>
      </c>
      <c r="K44" t="n">
        <v>1267358.5</v>
      </c>
      <c r="L44" t="n">
        <v>1344866</v>
      </c>
      <c r="M44" t="n">
        <v>1416815.7</v>
      </c>
      <c r="N44" t="n">
        <v>1487302.3</v>
      </c>
      <c r="O44" t="n">
        <v>1543375.8</v>
      </c>
      <c r="P44" t="n">
        <v>1622506.1</v>
      </c>
      <c r="Q44" t="n">
        <v>1699637.2</v>
      </c>
      <c r="R44" t="n">
        <v>1785887</v>
      </c>
      <c r="S44" t="n">
        <v>1864662.9</v>
      </c>
      <c r="T44" t="n">
        <v>1921370.4</v>
      </c>
      <c r="U44" t="n">
        <v>1937902.1</v>
      </c>
      <c r="V44" t="n">
        <v>1989515.5</v>
      </c>
      <c r="W44" t="n">
        <v>2028260.4</v>
      </c>
      <c r="X44" t="n">
        <v>2025620.3</v>
      </c>
      <c r="Y44" t="n">
        <v>1995679.7</v>
      </c>
      <c r="Z44" t="n">
        <v>1984377</v>
      </c>
      <c r="AA44" t="n">
        <v>1995387.2</v>
      </c>
      <c r="AB44" t="n">
        <v>1991585.4</v>
      </c>
      <c r="AC44" t="n">
        <v>2020095.9</v>
      </c>
      <c r="AD44" t="n">
        <v>2050426.5</v>
      </c>
      <c r="AE44" t="n">
        <v>2055334.8</v>
      </c>
      <c r="AF44" t="n">
        <v>2068692.3</v>
      </c>
    </row>
    <row r="45">
      <c r="A45" t="s">
        <v>138</v>
      </c>
      <c r="B45" t="s">
        <v>360</v>
      </c>
      <c r="C45" t="s">
        <v>246</v>
      </c>
      <c r="D45" t="s">
        <v>361</v>
      </c>
      <c r="E45" t="s">
        <v>247</v>
      </c>
      <c r="F45"/>
      <c r="G45" t="n">
        <v>946120.6</v>
      </c>
      <c r="H45" t="n">
        <v>988696.6</v>
      </c>
      <c r="I45" t="n">
        <v>1037345.1</v>
      </c>
      <c r="J45" t="n">
        <v>1087323.2</v>
      </c>
      <c r="K45" t="n">
        <v>1130476.2</v>
      </c>
      <c r="L45" t="n">
        <v>1204662.8</v>
      </c>
      <c r="M45" t="n">
        <v>1273653.4</v>
      </c>
      <c r="N45" t="n">
        <v>1340821.7</v>
      </c>
      <c r="O45" t="n">
        <v>1394424.3</v>
      </c>
      <c r="P45" t="n">
        <v>1468677.5</v>
      </c>
      <c r="Q45" t="n">
        <v>1540897.6</v>
      </c>
      <c r="R45" t="n">
        <v>1623200.7</v>
      </c>
      <c r="S45" t="n">
        <v>1698760.6</v>
      </c>
      <c r="T45" t="n">
        <v>1753832.1</v>
      </c>
      <c r="U45" t="n">
        <v>1770485.3</v>
      </c>
      <c r="V45" t="n">
        <v>1820104.2</v>
      </c>
      <c r="W45" t="n">
        <v>1856468.4</v>
      </c>
      <c r="X45" t="n">
        <v>1856959</v>
      </c>
      <c r="Y45" t="n">
        <v>1832646.3</v>
      </c>
      <c r="Z45" t="n">
        <v>1826027.8</v>
      </c>
      <c r="AA45" t="n">
        <v>1840640.2</v>
      </c>
      <c r="AB45" t="n">
        <v>1839281.8</v>
      </c>
      <c r="AC45" t="n">
        <v>1867894.9</v>
      </c>
      <c r="AD45" t="n">
        <v>1897052.8</v>
      </c>
      <c r="AE45" t="n">
        <v>1902981.1</v>
      </c>
      <c r="AF45" t="n">
        <v>1917534</v>
      </c>
    </row>
    <row r="46">
      <c r="A46" t="s">
        <v>138</v>
      </c>
      <c r="B46" t="s">
        <v>362</v>
      </c>
      <c r="C46" t="s">
        <v>246</v>
      </c>
      <c r="D46" t="s">
        <v>363</v>
      </c>
      <c r="E46" t="s">
        <v>247</v>
      </c>
      <c r="F46"/>
      <c r="G46" t="n">
        <v>27753.9</v>
      </c>
      <c r="H46" t="n">
        <v>30217.2</v>
      </c>
      <c r="I46" t="n">
        <v>31900.3</v>
      </c>
      <c r="J46" t="n">
        <v>34863.2</v>
      </c>
      <c r="K46" t="n">
        <v>38018.3</v>
      </c>
      <c r="L46" t="n">
        <v>41843</v>
      </c>
      <c r="M46" t="n">
        <v>44979.6</v>
      </c>
      <c r="N46" t="n">
        <v>47095.4</v>
      </c>
      <c r="O46" t="n">
        <v>48728.6</v>
      </c>
      <c r="P46" t="n">
        <v>51541.5</v>
      </c>
      <c r="Q46" t="n">
        <v>53658.9</v>
      </c>
      <c r="R46" t="n">
        <v>57566.8</v>
      </c>
      <c r="S46" t="n">
        <v>61146.4</v>
      </c>
      <c r="T46" t="n">
        <v>62600.2</v>
      </c>
      <c r="U46" t="n">
        <v>62155.2</v>
      </c>
      <c r="V46" t="n">
        <v>64521.1</v>
      </c>
      <c r="W46" t="n">
        <v>64523.5</v>
      </c>
      <c r="X46" t="n">
        <v>63908.3</v>
      </c>
      <c r="Y46" t="n">
        <v>63302.9</v>
      </c>
      <c r="Z46" t="n">
        <v>62289.9</v>
      </c>
      <c r="AA46" t="n">
        <v>63584.6</v>
      </c>
      <c r="AB46" t="n">
        <v>65297.5</v>
      </c>
      <c r="AC46" t="n">
        <v>67943.1</v>
      </c>
      <c r="AD46" t="n">
        <v>70444.2</v>
      </c>
      <c r="AE46" t="n">
        <v>70937.4</v>
      </c>
      <c r="AF46" t="n">
        <v>71403.6</v>
      </c>
    </row>
    <row r="47">
      <c r="A47" t="s">
        <v>138</v>
      </c>
      <c r="B47" t="s">
        <v>364</v>
      </c>
      <c r="C47" t="s">
        <v>246</v>
      </c>
      <c r="D47" t="s">
        <v>365</v>
      </c>
      <c r="E47" t="s">
        <v>247</v>
      </c>
      <c r="F47"/>
      <c r="G47" t="n">
        <v>366511.2</v>
      </c>
      <c r="H47" t="n">
        <v>379688</v>
      </c>
      <c r="I47" t="n">
        <v>396865.5</v>
      </c>
      <c r="J47" t="n">
        <v>413688.8</v>
      </c>
      <c r="K47" t="n">
        <v>423660</v>
      </c>
      <c r="L47" t="n">
        <v>448099.2</v>
      </c>
      <c r="M47" t="n">
        <v>469353.8</v>
      </c>
      <c r="N47" t="n">
        <v>494359.9</v>
      </c>
      <c r="O47" t="n">
        <v>518293.2</v>
      </c>
      <c r="P47" t="n">
        <v>547206</v>
      </c>
      <c r="Q47" t="n">
        <v>575861</v>
      </c>
      <c r="R47" t="n">
        <v>601133.8</v>
      </c>
      <c r="S47" t="n">
        <v>627735.6</v>
      </c>
      <c r="T47" t="n">
        <v>661520</v>
      </c>
      <c r="U47" t="n">
        <v>671920.7</v>
      </c>
      <c r="V47" t="n">
        <v>693487</v>
      </c>
      <c r="W47" t="n">
        <v>720486</v>
      </c>
      <c r="X47" t="n">
        <v>719840.2</v>
      </c>
      <c r="Y47" t="n">
        <v>710497.2</v>
      </c>
      <c r="Z47" t="n">
        <v>704013</v>
      </c>
      <c r="AA47" t="n">
        <v>697096.9</v>
      </c>
      <c r="AB47" t="n">
        <v>689495.1</v>
      </c>
      <c r="AC47" t="n">
        <v>686001</v>
      </c>
      <c r="AD47" t="n">
        <v>692045.3</v>
      </c>
      <c r="AE47" t="n">
        <v>688144.6</v>
      </c>
      <c r="AF47" t="n">
        <v>683590.9</v>
      </c>
    </row>
    <row r="48">
      <c r="A48" t="s">
        <v>138</v>
      </c>
      <c r="B48" t="s">
        <v>366</v>
      </c>
      <c r="C48" t="s">
        <v>246</v>
      </c>
      <c r="D48" t="s">
        <v>367</v>
      </c>
      <c r="E48" t="s">
        <v>247</v>
      </c>
      <c r="F48"/>
      <c r="G48" t="n">
        <v>421413</v>
      </c>
      <c r="H48" t="n">
        <v>437411.4</v>
      </c>
      <c r="I48" t="n">
        <v>458257.3</v>
      </c>
      <c r="J48" t="n">
        <v>478819.2</v>
      </c>
      <c r="K48" t="n">
        <v>492248.5</v>
      </c>
      <c r="L48" t="n">
        <v>522333</v>
      </c>
      <c r="M48" t="n">
        <v>548736.5</v>
      </c>
      <c r="N48" t="n">
        <v>579408.3</v>
      </c>
      <c r="O48" t="n">
        <v>608051</v>
      </c>
      <c r="P48" t="n">
        <v>643348.8</v>
      </c>
      <c r="Q48" t="n">
        <v>678890</v>
      </c>
      <c r="R48" t="n">
        <v>710590</v>
      </c>
      <c r="S48" t="n">
        <v>742358.1</v>
      </c>
      <c r="T48" t="n">
        <v>782136.8</v>
      </c>
      <c r="U48" t="n">
        <v>797235.7</v>
      </c>
      <c r="V48" t="n">
        <v>822917.4</v>
      </c>
      <c r="W48" t="n">
        <v>853342.6</v>
      </c>
      <c r="X48" t="n">
        <v>852522.2</v>
      </c>
      <c r="Y48" t="n">
        <v>840136.8</v>
      </c>
      <c r="Z48" t="n">
        <v>831031.8</v>
      </c>
      <c r="AA48" t="n">
        <v>821975.2</v>
      </c>
      <c r="AB48" t="n">
        <v>812990.3</v>
      </c>
      <c r="AC48" t="n">
        <v>808694.4</v>
      </c>
      <c r="AD48" t="n">
        <v>815644.7</v>
      </c>
      <c r="AE48" t="n">
        <v>812342</v>
      </c>
      <c r="AF48" t="n">
        <v>809003.2</v>
      </c>
    </row>
    <row r="49">
      <c r="A49" t="s">
        <v>138</v>
      </c>
      <c r="B49" t="s">
        <v>368</v>
      </c>
      <c r="C49" t="s">
        <v>246</v>
      </c>
      <c r="D49" t="s">
        <v>369</v>
      </c>
      <c r="E49" t="s">
        <v>247</v>
      </c>
      <c r="F49"/>
      <c r="G49" t="n">
        <v>18361.7</v>
      </c>
      <c r="H49" t="n">
        <v>19340.9</v>
      </c>
      <c r="I49" t="n">
        <v>20607.9</v>
      </c>
      <c r="J49" t="n">
        <v>21801.2</v>
      </c>
      <c r="K49" t="n">
        <v>22631.1</v>
      </c>
      <c r="L49" t="n">
        <v>24202.8</v>
      </c>
      <c r="M49" t="n">
        <v>25871.7</v>
      </c>
      <c r="N49" t="n">
        <v>27448</v>
      </c>
      <c r="O49" t="n">
        <v>28906.8</v>
      </c>
      <c r="P49" t="n">
        <v>30607.1</v>
      </c>
      <c r="Q49" t="n">
        <v>32539.6</v>
      </c>
      <c r="R49" t="n">
        <v>34071.3</v>
      </c>
      <c r="S49" t="n">
        <v>35401.9</v>
      </c>
      <c r="T49" t="n">
        <v>36811</v>
      </c>
      <c r="U49" t="n">
        <v>37255.5</v>
      </c>
      <c r="V49" t="n">
        <v>38190.4</v>
      </c>
      <c r="W49" t="n">
        <v>38927.5</v>
      </c>
      <c r="X49" t="n">
        <v>38687.2</v>
      </c>
      <c r="Y49" t="n">
        <v>38317.4</v>
      </c>
      <c r="Z49" t="n">
        <v>37408.6</v>
      </c>
      <c r="AA49" t="n">
        <v>36891.5</v>
      </c>
      <c r="AB49" t="n">
        <v>36017.5</v>
      </c>
      <c r="AC49" t="n">
        <v>35796.2</v>
      </c>
      <c r="AD49" t="n">
        <v>35815.9</v>
      </c>
      <c r="AE49" t="n">
        <v>35699.1</v>
      </c>
      <c r="AF49" t="n">
        <v>35977.7</v>
      </c>
    </row>
    <row r="50">
      <c r="A50" t="s">
        <v>138</v>
      </c>
      <c r="B50" t="s">
        <v>370</v>
      </c>
      <c r="C50" t="s">
        <v>246</v>
      </c>
      <c r="D50" t="s">
        <v>371</v>
      </c>
      <c r="E50" t="s">
        <v>247</v>
      </c>
      <c r="F50"/>
      <c r="G50" t="n">
        <v>36540.1</v>
      </c>
      <c r="H50" t="n">
        <v>38382.5</v>
      </c>
      <c r="I50" t="n">
        <v>40783.9</v>
      </c>
      <c r="J50" t="n">
        <v>43329.3</v>
      </c>
      <c r="K50" t="n">
        <v>45957.4</v>
      </c>
      <c r="L50" t="n">
        <v>50031</v>
      </c>
      <c r="M50" t="n">
        <v>53511.1</v>
      </c>
      <c r="N50" t="n">
        <v>57600.3</v>
      </c>
      <c r="O50" t="n">
        <v>60850.9</v>
      </c>
      <c r="P50" t="n">
        <v>65535.7</v>
      </c>
      <c r="Q50" t="n">
        <v>70489.3</v>
      </c>
      <c r="R50" t="n">
        <v>75384.9</v>
      </c>
      <c r="S50" t="n">
        <v>79220.5</v>
      </c>
      <c r="T50" t="n">
        <v>83805.9</v>
      </c>
      <c r="U50" t="n">
        <v>88059.6</v>
      </c>
      <c r="V50" t="n">
        <v>91240</v>
      </c>
      <c r="W50" t="n">
        <v>93929</v>
      </c>
      <c r="X50" t="n">
        <v>93994.8</v>
      </c>
      <c r="Y50" t="n">
        <v>91322.2</v>
      </c>
      <c r="Z50" t="n">
        <v>89610.3</v>
      </c>
      <c r="AA50" t="n">
        <v>87986.9</v>
      </c>
      <c r="AB50" t="n">
        <v>87477.7</v>
      </c>
      <c r="AC50" t="n">
        <v>86897.2</v>
      </c>
      <c r="AD50" t="n">
        <v>87783.5</v>
      </c>
      <c r="AE50" t="n">
        <v>88498.3</v>
      </c>
      <c r="AF50" t="n">
        <v>89434.6</v>
      </c>
    </row>
    <row r="51">
      <c r="A51" t="s">
        <v>138</v>
      </c>
      <c r="B51" t="s">
        <v>372</v>
      </c>
      <c r="C51" t="s">
        <v>246</v>
      </c>
      <c r="D51" t="s">
        <v>373</v>
      </c>
      <c r="E51" t="s">
        <v>247</v>
      </c>
      <c r="F51"/>
      <c r="G51" t="n">
        <v>31880.5</v>
      </c>
      <c r="H51" t="n">
        <v>33520.8</v>
      </c>
      <c r="I51" t="n">
        <v>35714.7</v>
      </c>
      <c r="J51" t="n">
        <v>38044.7</v>
      </c>
      <c r="K51" t="n">
        <v>40477.5</v>
      </c>
      <c r="L51" t="n">
        <v>44192.8</v>
      </c>
      <c r="M51" t="n">
        <v>47431</v>
      </c>
      <c r="N51" t="n">
        <v>51245.7</v>
      </c>
      <c r="O51" t="n">
        <v>54183.5</v>
      </c>
      <c r="P51" t="n">
        <v>58530.3</v>
      </c>
      <c r="Q51" t="n">
        <v>63153.5</v>
      </c>
      <c r="R51" t="n">
        <v>67632.4</v>
      </c>
      <c r="S51" t="n">
        <v>71232.6</v>
      </c>
      <c r="T51" t="n">
        <v>75569.9</v>
      </c>
      <c r="U51" t="n">
        <v>79626.4</v>
      </c>
      <c r="V51" t="n">
        <v>82517</v>
      </c>
      <c r="W51" t="n">
        <v>84911.2</v>
      </c>
      <c r="X51" t="n">
        <v>84650.7</v>
      </c>
      <c r="Y51" t="n">
        <v>82071.8</v>
      </c>
      <c r="Z51" t="n">
        <v>80516.6</v>
      </c>
      <c r="AA51" t="n">
        <v>78820.4</v>
      </c>
      <c r="AB51" t="n">
        <v>78218.3</v>
      </c>
      <c r="AC51" t="n">
        <v>77613.5</v>
      </c>
      <c r="AD51" t="n">
        <v>78027</v>
      </c>
      <c r="AE51" t="n">
        <v>78277.4</v>
      </c>
      <c r="AF51"/>
    </row>
    <row r="52">
      <c r="A52" t="s">
        <v>138</v>
      </c>
      <c r="B52" t="s">
        <v>374</v>
      </c>
      <c r="C52" t="s">
        <v>246</v>
      </c>
      <c r="D52" t="s">
        <v>375</v>
      </c>
      <c r="E52" t="s">
        <v>247</v>
      </c>
      <c r="F52"/>
      <c r="G52" t="n">
        <v>4659.6</v>
      </c>
      <c r="H52" t="n">
        <v>4861.7</v>
      </c>
      <c r="I52" t="n">
        <v>5069.2</v>
      </c>
      <c r="J52" t="n">
        <v>5284.6</v>
      </c>
      <c r="K52" t="n">
        <v>5479.9</v>
      </c>
      <c r="L52" t="n">
        <v>5838.2</v>
      </c>
      <c r="M52" t="n">
        <v>6080.1</v>
      </c>
      <c r="N52" t="n">
        <v>6354.6</v>
      </c>
      <c r="O52" t="n">
        <v>6667.4</v>
      </c>
      <c r="P52" t="n">
        <v>7005.4</v>
      </c>
      <c r="Q52" t="n">
        <v>7335.8</v>
      </c>
      <c r="R52" t="n">
        <v>7752.5</v>
      </c>
      <c r="S52" t="n">
        <v>7987.9</v>
      </c>
      <c r="T52" t="n">
        <v>8236</v>
      </c>
      <c r="U52" t="n">
        <v>8433.2</v>
      </c>
      <c r="V52" t="n">
        <v>8723</v>
      </c>
      <c r="W52" t="n">
        <v>9017.8</v>
      </c>
      <c r="X52" t="n">
        <v>9344.1</v>
      </c>
      <c r="Y52" t="n">
        <v>9250.4</v>
      </c>
      <c r="Z52" t="n">
        <v>9093.7</v>
      </c>
      <c r="AA52" t="n">
        <v>9166.5</v>
      </c>
      <c r="AB52" t="n">
        <v>9259.4</v>
      </c>
      <c r="AC52" t="n">
        <v>9283.7</v>
      </c>
      <c r="AD52" t="n">
        <v>9756.5</v>
      </c>
      <c r="AE52" t="n">
        <v>10220.9</v>
      </c>
      <c r="AF52"/>
    </row>
    <row r="53">
      <c r="A53" t="s">
        <v>138</v>
      </c>
      <c r="B53" t="s">
        <v>376</v>
      </c>
      <c r="C53" t="s">
        <v>246</v>
      </c>
      <c r="D53" t="s">
        <v>377</v>
      </c>
      <c r="E53" t="s">
        <v>247</v>
      </c>
      <c r="F53"/>
      <c r="G53" t="n">
        <v>15349.4</v>
      </c>
      <c r="H53" t="n">
        <v>16561.5</v>
      </c>
      <c r="I53" t="n">
        <v>17917.5</v>
      </c>
      <c r="J53" t="n">
        <v>19093.1</v>
      </c>
      <c r="K53" t="n">
        <v>20090.9</v>
      </c>
      <c r="L53" t="n">
        <v>21594.3</v>
      </c>
      <c r="M53" t="n">
        <v>23198.2</v>
      </c>
      <c r="N53" t="n">
        <v>24471.2</v>
      </c>
      <c r="O53" t="n">
        <v>25461.4</v>
      </c>
      <c r="P53" t="n">
        <v>27348.5</v>
      </c>
      <c r="Q53" t="n">
        <v>28702.7</v>
      </c>
      <c r="R53" t="n">
        <v>30291.2</v>
      </c>
      <c r="S53" t="n">
        <v>31085.3</v>
      </c>
      <c r="T53" t="n">
        <v>32430.8</v>
      </c>
      <c r="U53" t="n">
        <v>33458.2</v>
      </c>
      <c r="V53" t="n">
        <v>33734.8</v>
      </c>
      <c r="W53" t="n">
        <v>33269.1</v>
      </c>
      <c r="X53" t="n">
        <v>33579.8</v>
      </c>
      <c r="Y53" t="n">
        <v>32912.8</v>
      </c>
      <c r="Z53" t="n">
        <v>32643</v>
      </c>
      <c r="AA53" t="n">
        <v>33849.4</v>
      </c>
      <c r="AB53" t="n">
        <v>33530.8</v>
      </c>
      <c r="AC53" t="n">
        <v>33928.8</v>
      </c>
      <c r="AD53" t="n">
        <v>33845.2</v>
      </c>
      <c r="AE53" t="n">
        <v>33759.8</v>
      </c>
      <c r="AF53" t="n">
        <v>33789.4</v>
      </c>
    </row>
    <row r="54">
      <c r="A54" t="s">
        <v>138</v>
      </c>
      <c r="B54" t="s">
        <v>378</v>
      </c>
      <c r="C54" t="s">
        <v>246</v>
      </c>
      <c r="D54" t="s">
        <v>379</v>
      </c>
      <c r="E54" t="s">
        <v>247</v>
      </c>
      <c r="F54"/>
      <c r="G54" t="n">
        <v>22611.3</v>
      </c>
      <c r="H54" t="n">
        <v>24511.4</v>
      </c>
      <c r="I54" t="n">
        <v>26618.5</v>
      </c>
      <c r="J54" t="n">
        <v>28476.1</v>
      </c>
      <c r="K54" t="n">
        <v>30147.8</v>
      </c>
      <c r="L54" t="n">
        <v>32628.4</v>
      </c>
      <c r="M54" t="n">
        <v>35198.1</v>
      </c>
      <c r="N54" t="n">
        <v>37492.5</v>
      </c>
      <c r="O54" t="n">
        <v>39242.4</v>
      </c>
      <c r="P54" t="n">
        <v>42146.3</v>
      </c>
      <c r="Q54" t="n">
        <v>44549.4</v>
      </c>
      <c r="R54" t="n">
        <v>47157.2</v>
      </c>
      <c r="S54" t="n">
        <v>49104.8</v>
      </c>
      <c r="T54" t="n">
        <v>50956.4</v>
      </c>
      <c r="U54" t="n">
        <v>52577.6</v>
      </c>
      <c r="V54" t="n">
        <v>53642.3</v>
      </c>
      <c r="W54" t="n">
        <v>53747.9</v>
      </c>
      <c r="X54" t="n">
        <v>53949.7</v>
      </c>
      <c r="Y54" t="n">
        <v>53280.4</v>
      </c>
      <c r="Z54" t="n">
        <v>52831.8</v>
      </c>
      <c r="AA54" t="n">
        <v>54383.5</v>
      </c>
      <c r="AB54" t="n">
        <v>54403.4</v>
      </c>
      <c r="AC54" t="n">
        <v>54776.4</v>
      </c>
      <c r="AD54" t="n">
        <v>54806.1</v>
      </c>
      <c r="AE54" t="n">
        <v>54267.4</v>
      </c>
      <c r="AF54" t="n">
        <v>54373.8</v>
      </c>
    </row>
    <row r="55">
      <c r="A55" t="s">
        <v>138</v>
      </c>
      <c r="B55" t="s">
        <v>380</v>
      </c>
      <c r="C55" t="s">
        <v>246</v>
      </c>
      <c r="D55" t="s">
        <v>381</v>
      </c>
      <c r="E55" t="s">
        <v>247</v>
      </c>
      <c r="F55"/>
      <c r="G55" t="n">
        <v>7261.9</v>
      </c>
      <c r="H55" t="n">
        <v>7949.9</v>
      </c>
      <c r="I55" t="n">
        <v>8701</v>
      </c>
      <c r="J55" t="n">
        <v>9383</v>
      </c>
      <c r="K55" t="n">
        <v>10056.9</v>
      </c>
      <c r="L55" t="n">
        <v>11034.1</v>
      </c>
      <c r="M55" t="n">
        <v>11999.9</v>
      </c>
      <c r="N55" t="n">
        <v>13021.3</v>
      </c>
      <c r="O55" t="n">
        <v>13781</v>
      </c>
      <c r="P55" t="n">
        <v>14797.8</v>
      </c>
      <c r="Q55" t="n">
        <v>15846.7</v>
      </c>
      <c r="R55" t="n">
        <v>16866</v>
      </c>
      <c r="S55" t="n">
        <v>18019.5</v>
      </c>
      <c r="T55" t="n">
        <v>18525.6</v>
      </c>
      <c r="U55" t="n">
        <v>19119.4</v>
      </c>
      <c r="V55" t="n">
        <v>19907.5</v>
      </c>
      <c r="W55" t="n">
        <v>20478.8</v>
      </c>
      <c r="X55" t="n">
        <v>20369.9</v>
      </c>
      <c r="Y55" t="n">
        <v>20367.6</v>
      </c>
      <c r="Z55" t="n">
        <v>20188.8</v>
      </c>
      <c r="AA55" t="n">
        <v>20534.1</v>
      </c>
      <c r="AB55" t="n">
        <v>20872.6</v>
      </c>
      <c r="AC55" t="n">
        <v>20847.6</v>
      </c>
      <c r="AD55" t="n">
        <v>20960.9</v>
      </c>
      <c r="AE55" t="n">
        <v>20507.6</v>
      </c>
      <c r="AF55" t="n">
        <v>20584.4</v>
      </c>
    </row>
    <row r="56">
      <c r="A56" t="s">
        <v>138</v>
      </c>
      <c r="B56" t="s">
        <v>382</v>
      </c>
      <c r="C56" t="s">
        <v>246</v>
      </c>
      <c r="D56" t="s">
        <v>383</v>
      </c>
      <c r="E56" t="s">
        <v>247</v>
      </c>
      <c r="F56"/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138</v>
      </c>
      <c r="B57" t="s">
        <v>384</v>
      </c>
      <c r="C57" t="s">
        <v>246</v>
      </c>
      <c r="D57" t="s">
        <v>385</v>
      </c>
      <c r="E57" t="s">
        <v>247</v>
      </c>
      <c r="F57"/>
      <c r="G57" t="n">
        <v>2906083.7</v>
      </c>
      <c r="H57" t="n">
        <v>3027282.5</v>
      </c>
      <c r="I57" t="n">
        <v>3165787.5</v>
      </c>
      <c r="J57" t="n">
        <v>3295830.5</v>
      </c>
      <c r="K57" t="n">
        <v>3403001.5</v>
      </c>
      <c r="L57" t="n">
        <v>3597664.8</v>
      </c>
      <c r="M57" t="n">
        <v>3766660.5</v>
      </c>
      <c r="N57" t="n">
        <v>3973095.9</v>
      </c>
      <c r="O57" t="n">
        <v>4137613.5</v>
      </c>
      <c r="P57" t="n">
        <v>4368054.6</v>
      </c>
      <c r="Q57" t="n">
        <v>4622651.1</v>
      </c>
      <c r="R57" t="n">
        <v>4861434.4</v>
      </c>
      <c r="S57" t="n">
        <v>5111627</v>
      </c>
      <c r="T57" t="n">
        <v>5326867.7</v>
      </c>
      <c r="U57" t="n">
        <v>5445969</v>
      </c>
      <c r="V57" t="n">
        <v>5609380.3</v>
      </c>
      <c r="W57" t="n">
        <v>5792568</v>
      </c>
      <c r="X57" t="n">
        <v>5849351.7</v>
      </c>
      <c r="Y57" t="n">
        <v>5823830</v>
      </c>
      <c r="Z57" t="n">
        <v>5810975.9</v>
      </c>
      <c r="AA57" t="n">
        <v>5832102.9</v>
      </c>
      <c r="AB57" t="n">
        <v>5847294</v>
      </c>
      <c r="AC57" t="n">
        <v>5909088.7</v>
      </c>
      <c r="AD57" t="n">
        <v>6012698.1</v>
      </c>
      <c r="AE57" t="n">
        <v>6019432.8</v>
      </c>
      <c r="AF57" t="n">
        <v>6089280.3</v>
      </c>
    </row>
    <row r="58">
      <c r="A58" t="s">
        <v>138</v>
      </c>
      <c r="B58" t="s">
        <v>386</v>
      </c>
      <c r="C58" t="s">
        <v>246</v>
      </c>
      <c r="D58" t="s">
        <v>387</v>
      </c>
      <c r="E58" t="s">
        <v>247</v>
      </c>
      <c r="F58"/>
      <c r="G58" t="n">
        <v>2906083.7</v>
      </c>
      <c r="H58" t="n">
        <v>3027282.5</v>
      </c>
      <c r="I58" t="n">
        <v>3165787.5</v>
      </c>
      <c r="J58" t="n">
        <v>3295830.5</v>
      </c>
      <c r="K58" t="n">
        <v>3403001.5</v>
      </c>
      <c r="L58" t="n">
        <v>3597664.8</v>
      </c>
      <c r="M58" t="n">
        <v>3766660.5</v>
      </c>
      <c r="N58" t="n">
        <v>3973095.9</v>
      </c>
      <c r="O58" t="n">
        <v>4137613.5</v>
      </c>
      <c r="P58" t="n">
        <v>4368054.6</v>
      </c>
      <c r="Q58" t="n">
        <v>4622651.1</v>
      </c>
      <c r="R58" t="n">
        <v>4861434.4</v>
      </c>
      <c r="S58" t="n">
        <v>5111627</v>
      </c>
      <c r="T58" t="n">
        <v>5326867.7</v>
      </c>
      <c r="U58" t="n">
        <v>5445969</v>
      </c>
      <c r="V58" t="n">
        <v>5609380.3</v>
      </c>
      <c r="W58" t="n">
        <v>5792568</v>
      </c>
      <c r="X58" t="n">
        <v>5849351.7</v>
      </c>
      <c r="Y58" t="n">
        <v>5823830</v>
      </c>
      <c r="Z58" t="n">
        <v>5810975.9</v>
      </c>
      <c r="AA58" t="n">
        <v>5832102.9</v>
      </c>
      <c r="AB58" t="n">
        <v>5847294</v>
      </c>
      <c r="AC58" t="n">
        <v>5909088.7</v>
      </c>
      <c r="AD58" t="n">
        <v>6012698.1</v>
      </c>
      <c r="AE58" t="n">
        <v>6019432.8</v>
      </c>
      <c r="AF58" t="n">
        <v>6089280.3</v>
      </c>
    </row>
    <row r="59">
      <c r="A59" t="s">
        <v>138</v>
      </c>
      <c r="B59" t="s">
        <v>388</v>
      </c>
      <c r="C59" t="s">
        <v>246</v>
      </c>
      <c r="D59" t="s">
        <v>389</v>
      </c>
      <c r="E59" t="s">
        <v>247</v>
      </c>
      <c r="F59"/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49</v>
      </c>
      <c r="B2" t="s">
        <v>197</v>
      </c>
      <c r="C2" t="s">
        <v>246</v>
      </c>
      <c r="D2" t="s">
        <v>199</v>
      </c>
      <c r="E2" t="s">
        <v>247</v>
      </c>
      <c r="F2" t="n">
        <v>19.7315410213407</v>
      </c>
      <c r="G2" t="n">
        <v>20.5461459258915</v>
      </c>
      <c r="H2" t="n">
        <v>14.818680468674</v>
      </c>
      <c r="I2" t="n">
        <v>28.4768618645</v>
      </c>
      <c r="J2" t="n">
        <v>27.814609263</v>
      </c>
      <c r="K2" t="n">
        <v>30.968843303134</v>
      </c>
      <c r="L2" t="n">
        <v>34.309505700265</v>
      </c>
      <c r="M2" t="n">
        <v>30.3648299111971</v>
      </c>
      <c r="N2" t="n">
        <v>36.8843375097777</v>
      </c>
      <c r="O2" t="n">
        <v>38.7518989026778</v>
      </c>
      <c r="P2" t="n">
        <v>39.8283405388633</v>
      </c>
      <c r="Q2" t="n">
        <v>44.3888375471301</v>
      </c>
      <c r="R2" t="n">
        <v>45.0199584601225</v>
      </c>
      <c r="S2" t="n">
        <v>42.59241168041</v>
      </c>
      <c r="T2" t="n">
        <v>54.475929856436</v>
      </c>
      <c r="U2" t="n">
        <v>31.9920245152786</v>
      </c>
      <c r="V2" t="n">
        <v>39.7922001038095</v>
      </c>
      <c r="W2" t="n">
        <v>24.7061462182993</v>
      </c>
      <c r="X2" t="n">
        <v>22.9561275278364</v>
      </c>
      <c r="Y2" t="n">
        <v>22.2290103663212</v>
      </c>
      <c r="Z2" t="n">
        <v>25.7055854473099</v>
      </c>
      <c r="AA2" t="n">
        <v>27.4989983854943</v>
      </c>
      <c r="AB2" t="n">
        <v>29.2236742424242</v>
      </c>
      <c r="AC2" t="n">
        <v>28.6272727272727</v>
      </c>
      <c r="AD2" t="n">
        <v>33.5</v>
      </c>
      <c r="AE2" t="n">
        <v>29.5</v>
      </c>
      <c r="AF2" t="n">
        <v>33.8</v>
      </c>
    </row>
    <row r="3">
      <c r="A3" t="s">
        <v>49</v>
      </c>
      <c r="B3" t="s">
        <v>276</v>
      </c>
      <c r="C3" t="s">
        <v>246</v>
      </c>
      <c r="D3" t="s">
        <v>277</v>
      </c>
      <c r="E3" t="s">
        <v>247</v>
      </c>
      <c r="F3" t="n">
        <v>5.95304019658042</v>
      </c>
      <c r="G3" t="n">
        <v>17.4811497836092</v>
      </c>
      <c r="H3" t="n">
        <v>198.373047544435</v>
      </c>
      <c r="I3" t="n">
        <v>5.50776932005724</v>
      </c>
      <c r="J3" t="n">
        <v>10.6149735986558</v>
      </c>
      <c r="K3" t="n">
        <v>38.153820198942</v>
      </c>
      <c r="L3" t="n">
        <v>38.4323152368905</v>
      </c>
      <c r="M3" t="n">
        <v>23.7155506217885</v>
      </c>
      <c r="N3" t="n">
        <v>18.5756784337963</v>
      </c>
      <c r="O3" t="n">
        <v>30.6119598679399</v>
      </c>
      <c r="P3" t="n">
        <v>24.3504226222249</v>
      </c>
      <c r="Q3" t="n">
        <v>33.1864409577158</v>
      </c>
      <c r="R3" t="n">
        <v>30.732138250232</v>
      </c>
      <c r="S3" t="n">
        <v>14.917424771098</v>
      </c>
      <c r="T3" t="n">
        <v>19.5716612996806</v>
      </c>
      <c r="U3" t="n">
        <v>25.7938657591166</v>
      </c>
      <c r="V3" t="n">
        <v>27.7341122985192</v>
      </c>
      <c r="W3" t="n">
        <v>16.8385681812438</v>
      </c>
      <c r="X3" t="n">
        <v>7.2312869490004</v>
      </c>
      <c r="Y3" t="n">
        <v>95.0397713297195</v>
      </c>
      <c r="Z3" t="n">
        <v>9.40987834947718</v>
      </c>
      <c r="AA3" t="n">
        <v>6.14118376492195</v>
      </c>
      <c r="AB3" t="n">
        <v>12.9540595041322</v>
      </c>
      <c r="AC3" t="n">
        <v>11.9652</v>
      </c>
      <c r="AD3" t="n">
        <v>50.7</v>
      </c>
      <c r="AE3" t="n">
        <v>34.4</v>
      </c>
      <c r="AF3" t="n">
        <v>22.4</v>
      </c>
    </row>
    <row r="4">
      <c r="A4" t="s">
        <v>49</v>
      </c>
      <c r="B4" t="s">
        <v>278</v>
      </c>
      <c r="C4" t="s">
        <v>246</v>
      </c>
      <c r="D4" t="s">
        <v>279</v>
      </c>
      <c r="E4" t="s">
        <v>247</v>
      </c>
      <c r="F4" t="n">
        <v>592.195842250711</v>
      </c>
      <c r="G4" t="n">
        <v>599.049091534843</v>
      </c>
      <c r="H4" t="n">
        <v>692.573910358035</v>
      </c>
      <c r="I4" t="n">
        <v>832.978035538936</v>
      </c>
      <c r="J4" t="n">
        <v>889.292321389366</v>
      </c>
      <c r="K4" t="n">
        <v>1008.36488046515</v>
      </c>
      <c r="L4" t="n">
        <v>1122.27751316572</v>
      </c>
      <c r="M4" t="n">
        <v>988.355728442741</v>
      </c>
      <c r="N4" t="n">
        <v>804.781123950233</v>
      </c>
      <c r="O4" t="n">
        <v>1039.10924660488</v>
      </c>
      <c r="P4" t="n">
        <v>1074.57339257306</v>
      </c>
      <c r="Q4" t="n">
        <v>1238.17906455328</v>
      </c>
      <c r="R4" t="n">
        <v>1352.79223217998</v>
      </c>
      <c r="S4" t="n">
        <v>1402.22542304594</v>
      </c>
      <c r="T4" t="n">
        <v>1013.60159705689</v>
      </c>
      <c r="U4" t="n">
        <v>987.869989184583</v>
      </c>
      <c r="V4" t="n">
        <v>1065.73778721092</v>
      </c>
      <c r="W4" t="n">
        <v>1054.69443884647</v>
      </c>
      <c r="X4" t="n">
        <v>966.82038511233</v>
      </c>
      <c r="Y4" t="n">
        <v>1005.87544149418</v>
      </c>
      <c r="Z4" t="n">
        <v>1130.91317279962</v>
      </c>
      <c r="AA4" t="n">
        <v>1029.93878237108</v>
      </c>
      <c r="AB4" t="n">
        <v>1396.31146889086</v>
      </c>
      <c r="AC4" t="n">
        <v>1352.23623128333</v>
      </c>
      <c r="AD4" t="n">
        <v>1319.56420708634</v>
      </c>
      <c r="AE4" t="n">
        <v>1161.8</v>
      </c>
      <c r="AF4" t="n">
        <v>1120.6</v>
      </c>
    </row>
    <row r="5">
      <c r="A5" t="s">
        <v>49</v>
      </c>
      <c r="B5" t="s">
        <v>280</v>
      </c>
      <c r="C5" t="s">
        <v>246</v>
      </c>
      <c r="D5" t="s">
        <v>281</v>
      </c>
      <c r="E5" t="s">
        <v>247</v>
      </c>
      <c r="F5" t="n">
        <v>126.241286058423</v>
      </c>
      <c r="G5" t="n">
        <v>65.4202054890117</v>
      </c>
      <c r="H5" t="n">
        <v>89.4578890620636</v>
      </c>
      <c r="I5" t="n">
        <v>125.75964114522</v>
      </c>
      <c r="J5" t="n">
        <v>179.51572304651</v>
      </c>
      <c r="K5" t="n">
        <v>150.09015348223</v>
      </c>
      <c r="L5" t="n">
        <v>173.152786822183</v>
      </c>
      <c r="M5" t="n">
        <v>158.260907186301</v>
      </c>
      <c r="N5" t="n">
        <v>130.937835766244</v>
      </c>
      <c r="O5" t="n">
        <v>169.744571739609</v>
      </c>
      <c r="P5" t="n">
        <v>176.874234419121</v>
      </c>
      <c r="Q5" t="n">
        <v>203.385132255396</v>
      </c>
      <c r="R5" t="n">
        <v>215.867252285511</v>
      </c>
      <c r="S5" t="n">
        <v>226.010146672777</v>
      </c>
      <c r="T5" t="n">
        <v>171.537112883346</v>
      </c>
      <c r="U5" t="n">
        <v>162.479416570732</v>
      </c>
      <c r="V5" t="n">
        <v>175.351309196905</v>
      </c>
      <c r="W5" t="n">
        <v>177.645625392005</v>
      </c>
      <c r="X5" t="n">
        <v>116.750309681485</v>
      </c>
      <c r="Y5" t="n">
        <v>119.970291532131</v>
      </c>
      <c r="Z5" t="n">
        <v>164.025990175394</v>
      </c>
      <c r="AA5" t="n">
        <v>150.995423339144</v>
      </c>
      <c r="AB5" t="n">
        <v>217.689853039641</v>
      </c>
      <c r="AC5" t="n">
        <v>132.023485883594</v>
      </c>
      <c r="AD5" t="n">
        <v>190.880996884735</v>
      </c>
      <c r="AE5" t="n">
        <v>160.4</v>
      </c>
      <c r="AF5" t="n">
        <v>145.9</v>
      </c>
    </row>
    <row r="6">
      <c r="A6" t="s">
        <v>49</v>
      </c>
      <c r="B6" t="s">
        <v>282</v>
      </c>
      <c r="C6" t="s">
        <v>246</v>
      </c>
      <c r="D6" t="s">
        <v>283</v>
      </c>
      <c r="E6" t="s">
        <v>247</v>
      </c>
      <c r="F6" t="n">
        <v>58.0439191421425</v>
      </c>
      <c r="G6" t="n">
        <v>61.6129627139894</v>
      </c>
      <c r="H6" t="n">
        <v>38.1188927051328</v>
      </c>
      <c r="I6" t="n">
        <v>90.4280301399136</v>
      </c>
      <c r="J6" t="n">
        <v>83.7076956595703</v>
      </c>
      <c r="K6" t="n">
        <v>99.7368288709774</v>
      </c>
      <c r="L6" t="n">
        <v>108.269970623508</v>
      </c>
      <c r="M6" t="n">
        <v>88.525532487543</v>
      </c>
      <c r="N6" t="n">
        <v>84.7925281055382</v>
      </c>
      <c r="O6" t="n">
        <v>97.4787589332095</v>
      </c>
      <c r="P6" t="n">
        <v>114.312440194768</v>
      </c>
      <c r="Q6" t="n">
        <v>126.585559328367</v>
      </c>
      <c r="R6" t="n">
        <v>126.795834343863</v>
      </c>
      <c r="S6" t="n">
        <v>84.7884960259311</v>
      </c>
      <c r="T6" t="n">
        <v>109.906645752667</v>
      </c>
      <c r="U6" t="n">
        <v>96.3503724233373</v>
      </c>
      <c r="V6" t="n">
        <v>103.936124423765</v>
      </c>
      <c r="W6" t="n">
        <v>150.701904327819</v>
      </c>
      <c r="X6" t="n">
        <v>106.068576985859</v>
      </c>
      <c r="Y6" t="n">
        <v>104.716722573294</v>
      </c>
      <c r="Z6" t="n">
        <v>130.185513390115</v>
      </c>
      <c r="AA6" t="n">
        <v>117.744237263384</v>
      </c>
      <c r="AB6" t="n">
        <v>113.340794243778</v>
      </c>
      <c r="AC6" t="n">
        <v>164.850314569978</v>
      </c>
      <c r="AD6" t="n">
        <v>159.169319114028</v>
      </c>
      <c r="AE6" t="n">
        <v>121.8</v>
      </c>
      <c r="AF6" t="n">
        <v>127.3</v>
      </c>
    </row>
    <row r="7">
      <c r="A7" t="s">
        <v>49</v>
      </c>
      <c r="B7" t="s">
        <v>284</v>
      </c>
      <c r="C7" t="s">
        <v>246</v>
      </c>
      <c r="D7" t="s">
        <v>285</v>
      </c>
      <c r="E7" t="s">
        <v>247</v>
      </c>
      <c r="F7" t="n">
        <v>38.332882434809</v>
      </c>
      <c r="G7" t="n">
        <v>23.9227325268833</v>
      </c>
      <c r="H7" t="n">
        <v>22.5043887011787</v>
      </c>
      <c r="I7" t="n">
        <v>32.5063392350359</v>
      </c>
      <c r="J7" t="n">
        <v>44.8193465210344</v>
      </c>
      <c r="K7" t="n">
        <v>49.8430534937218</v>
      </c>
      <c r="L7" t="n">
        <v>48.7455917654196</v>
      </c>
      <c r="M7" t="n">
        <v>46.2481895307587</v>
      </c>
      <c r="N7" t="n">
        <v>38.7028994921512</v>
      </c>
      <c r="O7" t="n">
        <v>50.5184481351878</v>
      </c>
      <c r="P7" t="n">
        <v>55.0046423711311</v>
      </c>
      <c r="Q7" t="n">
        <v>49.8479571488375</v>
      </c>
      <c r="R7" t="n">
        <v>65.7657922047688</v>
      </c>
      <c r="S7" t="n">
        <v>47.4791565163407</v>
      </c>
      <c r="T7" t="n">
        <v>44.1803565598703</v>
      </c>
      <c r="U7" t="n">
        <v>45.4106956033098</v>
      </c>
      <c r="V7" t="n">
        <v>49.0254773428767</v>
      </c>
      <c r="W7" t="n">
        <v>41.3823071557913</v>
      </c>
      <c r="X7" t="n">
        <v>35.9399689938634</v>
      </c>
      <c r="Y7" t="n">
        <v>39.7832604758661</v>
      </c>
      <c r="Z7" t="n">
        <v>43.466895705113</v>
      </c>
      <c r="AA7" t="n">
        <v>55.0050190501773</v>
      </c>
      <c r="AB7" t="n">
        <v>54.5267145366975</v>
      </c>
      <c r="AC7" t="n">
        <v>58.2015568643073</v>
      </c>
      <c r="AD7" t="n">
        <v>71.8900763358779</v>
      </c>
      <c r="AE7" t="n">
        <v>65.4</v>
      </c>
      <c r="AF7" t="n">
        <v>53.3</v>
      </c>
    </row>
    <row r="8">
      <c r="A8" t="s">
        <v>49</v>
      </c>
      <c r="B8" t="s">
        <v>286</v>
      </c>
      <c r="C8" t="s">
        <v>246</v>
      </c>
      <c r="D8" t="s">
        <v>287</v>
      </c>
      <c r="E8" t="s">
        <v>247</v>
      </c>
      <c r="F8" t="n">
        <v>11.4436205538973</v>
      </c>
      <c r="G8" t="n">
        <v>25.5136458250825</v>
      </c>
      <c r="H8" t="n">
        <v>47.07314727875</v>
      </c>
      <c r="I8" t="n">
        <v>14.704578423028</v>
      </c>
      <c r="J8" t="n">
        <v>28.5209608339268</v>
      </c>
      <c r="K8" t="n">
        <v>76.9769877178646</v>
      </c>
      <c r="L8" t="n">
        <v>66.359472170573</v>
      </c>
      <c r="M8" t="n">
        <v>50.3480514097513</v>
      </c>
      <c r="N8" t="n">
        <v>42.1787026801268</v>
      </c>
      <c r="O8" t="n">
        <v>48.2308344112708</v>
      </c>
      <c r="P8" t="n">
        <v>35.5385095661995</v>
      </c>
      <c r="Q8" t="n">
        <v>67.139513811144</v>
      </c>
      <c r="R8" t="n">
        <v>72.0623798784197</v>
      </c>
      <c r="S8" t="n">
        <v>209.475986700017</v>
      </c>
      <c r="T8" t="n">
        <v>36.98707164266</v>
      </c>
      <c r="U8" t="n">
        <v>49.7988585068343</v>
      </c>
      <c r="V8" t="n">
        <v>53.7422070311312</v>
      </c>
      <c r="W8" t="n">
        <v>39.7888551041843</v>
      </c>
      <c r="X8" t="n">
        <v>95.882936913434</v>
      </c>
      <c r="Y8" t="n">
        <v>97.8502973900595</v>
      </c>
      <c r="Z8" t="n">
        <v>39.7058487268014</v>
      </c>
      <c r="AA8" t="n">
        <v>23.4264507488129</v>
      </c>
      <c r="AB8" t="n">
        <v>41.1158115183246</v>
      </c>
      <c r="AC8" t="n">
        <v>22.3455497382199</v>
      </c>
      <c r="AD8" t="n">
        <v>19.4</v>
      </c>
      <c r="AE8" t="n">
        <v>34.7</v>
      </c>
      <c r="AF8" t="n">
        <v>19.2</v>
      </c>
    </row>
    <row r="9">
      <c r="A9" t="s">
        <v>49</v>
      </c>
      <c r="B9" t="s">
        <v>288</v>
      </c>
      <c r="C9" t="s">
        <v>246</v>
      </c>
      <c r="D9" t="s">
        <v>289</v>
      </c>
      <c r="E9" t="s">
        <v>247</v>
      </c>
      <c r="F9" t="n">
        <v>33.6018228623107</v>
      </c>
      <c r="G9" t="n">
        <v>19.4289869622858</v>
      </c>
      <c r="H9" t="n">
        <v>31.6899981520778</v>
      </c>
      <c r="I9" t="n">
        <v>35.5817523111049</v>
      </c>
      <c r="J9" t="n">
        <v>41.3143679612274</v>
      </c>
      <c r="K9" t="n">
        <v>48.0514831203724</v>
      </c>
      <c r="L9" t="n">
        <v>66.2430579919474</v>
      </c>
      <c r="M9" t="n">
        <v>50.2853465429069</v>
      </c>
      <c r="N9" t="n">
        <v>39.3382711008227</v>
      </c>
      <c r="O9" t="n">
        <v>59.2410068359183</v>
      </c>
      <c r="P9" t="n">
        <v>54.5331122529314</v>
      </c>
      <c r="Q9" t="n">
        <v>68.0394510418325</v>
      </c>
      <c r="R9" t="n">
        <v>68.776720635165</v>
      </c>
      <c r="S9" t="n">
        <v>55.507899933847</v>
      </c>
      <c r="T9" t="n">
        <v>32.8323323012967</v>
      </c>
      <c r="U9" t="n">
        <v>50.2009722559076</v>
      </c>
      <c r="V9" t="n">
        <v>54.1582561049094</v>
      </c>
      <c r="W9" t="n">
        <v>38.1843058194209</v>
      </c>
      <c r="X9" t="n">
        <v>42.0953667928387</v>
      </c>
      <c r="Y9" t="n">
        <v>63.972515544782</v>
      </c>
      <c r="Z9" t="n">
        <v>44.3290666008177</v>
      </c>
      <c r="AA9" t="n">
        <v>44.2296740748069</v>
      </c>
      <c r="AB9" t="n">
        <v>57.8240760631675</v>
      </c>
      <c r="AC9" t="n">
        <v>44.4112749144946</v>
      </c>
      <c r="AD9" t="n">
        <v>49.4810551558753</v>
      </c>
      <c r="AE9" t="n">
        <v>41.6</v>
      </c>
      <c r="AF9" t="n">
        <v>40.9</v>
      </c>
    </row>
    <row r="10">
      <c r="A10" t="s">
        <v>49</v>
      </c>
      <c r="B10" t="s">
        <v>290</v>
      </c>
      <c r="C10" t="s">
        <v>246</v>
      </c>
      <c r="D10" t="s">
        <v>291</v>
      </c>
      <c r="E10" t="s">
        <v>247</v>
      </c>
      <c r="F10" t="n">
        <v>50.3093032855535</v>
      </c>
      <c r="G10" t="n">
        <v>31.7841953467609</v>
      </c>
      <c r="H10" t="n">
        <v>38.2919386076704</v>
      </c>
      <c r="I10" t="n">
        <v>55.8153681399942</v>
      </c>
      <c r="J10" t="n">
        <v>64.0147939021526</v>
      </c>
      <c r="K10" t="n">
        <v>67.6812759058363</v>
      </c>
      <c r="L10" t="n">
        <v>91.5904222856154</v>
      </c>
      <c r="M10" t="n">
        <v>74.8700612192759</v>
      </c>
      <c r="N10" t="n">
        <v>53.7711260124169</v>
      </c>
      <c r="O10" t="n">
        <v>88.6522216691674</v>
      </c>
      <c r="P10" t="n">
        <v>73.6314133464845</v>
      </c>
      <c r="Q10" t="n">
        <v>100.887240386343</v>
      </c>
      <c r="R10" t="n">
        <v>98.8842544225602</v>
      </c>
      <c r="S10" t="n">
        <v>72.9728148538266</v>
      </c>
      <c r="T10" t="n">
        <v>46.2869634671522</v>
      </c>
      <c r="U10" t="n">
        <v>71.5038321841237</v>
      </c>
      <c r="V10" t="n">
        <v>77.0476419578928</v>
      </c>
      <c r="W10" t="n">
        <v>78.7987247296631</v>
      </c>
      <c r="X10" t="n">
        <v>82.3991886533422</v>
      </c>
      <c r="Y10" t="n">
        <v>102.843319843151</v>
      </c>
      <c r="Z10" t="n">
        <v>88.9626263673885</v>
      </c>
      <c r="AA10" t="n">
        <v>96.525444716294</v>
      </c>
      <c r="AB10" t="n">
        <v>97.8660758929092</v>
      </c>
      <c r="AC10" t="n">
        <v>85.1484538479423</v>
      </c>
      <c r="AD10" t="n">
        <v>94.8913043478261</v>
      </c>
      <c r="AE10" t="n">
        <v>87.3</v>
      </c>
      <c r="AF10" t="n">
        <v>77.1</v>
      </c>
    </row>
    <row r="11">
      <c r="A11" t="s">
        <v>49</v>
      </c>
      <c r="B11" t="s">
        <v>292</v>
      </c>
      <c r="C11" t="s">
        <v>246</v>
      </c>
      <c r="D11" t="s">
        <v>293</v>
      </c>
      <c r="E11" t="s">
        <v>247</v>
      </c>
      <c r="F11" t="n">
        <v>16.6553888555792</v>
      </c>
      <c r="G11" t="n">
        <v>12.326869717971</v>
      </c>
      <c r="H11" t="n">
        <v>6.58687694853414</v>
      </c>
      <c r="I11" t="n">
        <v>20.2244954194428</v>
      </c>
      <c r="J11" t="n">
        <v>22.6908972998627</v>
      </c>
      <c r="K11" t="n">
        <v>19.6192037789206</v>
      </c>
      <c r="L11" t="n">
        <v>25.3299579305313</v>
      </c>
      <c r="M11" t="n">
        <v>24.5849591678686</v>
      </c>
      <c r="N11" t="n">
        <v>14.4303021202707</v>
      </c>
      <c r="O11" t="n">
        <v>29.4228238036688</v>
      </c>
      <c r="P11" t="n">
        <v>19.0903940398386</v>
      </c>
      <c r="Q11" t="n">
        <v>32.8722293092409</v>
      </c>
      <c r="R11" t="n">
        <v>30.1240686595937</v>
      </c>
      <c r="S11" t="n">
        <v>17.4519512160746</v>
      </c>
      <c r="T11" t="n">
        <v>13.4427191799493</v>
      </c>
      <c r="U11" t="n">
        <v>21.2843053682531</v>
      </c>
      <c r="V11" t="n">
        <v>22.8693068318464</v>
      </c>
      <c r="W11" t="n">
        <v>40.5957551895456</v>
      </c>
      <c r="X11" t="n">
        <v>40.2874329982326</v>
      </c>
      <c r="Y11" t="n">
        <v>38.8337627354098</v>
      </c>
      <c r="Z11" t="n">
        <v>44.6219929534248</v>
      </c>
      <c r="AA11" t="n">
        <v>52.2913979922947</v>
      </c>
      <c r="AB11" t="n">
        <v>40.0326087193758</v>
      </c>
      <c r="AC11" t="n">
        <v>40.7279642058166</v>
      </c>
      <c r="AD11" t="n">
        <v>45.4</v>
      </c>
      <c r="AE11" t="n">
        <v>45.7</v>
      </c>
      <c r="AF11" t="n">
        <v>36.2</v>
      </c>
    </row>
    <row r="12">
      <c r="A12" t="s">
        <v>49</v>
      </c>
      <c r="B12" t="s">
        <v>294</v>
      </c>
      <c r="C12" t="s">
        <v>246</v>
      </c>
      <c r="D12" t="s">
        <v>295</v>
      </c>
      <c r="E12" t="s">
        <v>247</v>
      </c>
      <c r="F12" t="n">
        <v>27.8562685207519</v>
      </c>
      <c r="G12" t="n">
        <v>112.82723525016</v>
      </c>
      <c r="H12" t="n">
        <v>238.138682054621</v>
      </c>
      <c r="I12" t="n">
        <v>37.9066608537759</v>
      </c>
      <c r="J12" t="n">
        <v>62.0647918642134</v>
      </c>
      <c r="K12" t="n">
        <v>65.3055167558575</v>
      </c>
      <c r="L12" t="n">
        <v>73.0474538886997</v>
      </c>
      <c r="M12" t="n">
        <v>70.6524554005456</v>
      </c>
      <c r="N12" t="n">
        <v>55.1089152124256</v>
      </c>
      <c r="O12" t="n">
        <v>80.0656461756284</v>
      </c>
      <c r="P12" t="n">
        <v>87.3620294844645</v>
      </c>
      <c r="Q12" t="n">
        <v>82.4246137465882</v>
      </c>
      <c r="R12" t="n">
        <v>94.4383407185244</v>
      </c>
      <c r="S12" t="n">
        <v>94.4383407185244</v>
      </c>
      <c r="T12" t="n">
        <v>58.5400397745884</v>
      </c>
      <c r="U12" t="n">
        <v>70.1365428918402</v>
      </c>
      <c r="V12" t="n">
        <v>75.65290019794</v>
      </c>
      <c r="W12" t="n">
        <v>83.1745862406747</v>
      </c>
      <c r="X12" t="n">
        <v>60.2015809164933</v>
      </c>
      <c r="Y12" t="n">
        <v>74.9152203143281</v>
      </c>
      <c r="Z12" t="n">
        <v>63.1638132061982</v>
      </c>
      <c r="AA12" t="n">
        <v>62.2699856608275</v>
      </c>
      <c r="AB12" t="n">
        <v>78.6970370928249</v>
      </c>
      <c r="AC12" t="n">
        <v>63.2351507118669</v>
      </c>
      <c r="AD12" t="n">
        <v>95.9674482758621</v>
      </c>
      <c r="AE12" t="n">
        <v>72.4</v>
      </c>
      <c r="AF12" t="n">
        <v>79.8</v>
      </c>
    </row>
    <row r="13">
      <c r="A13" t="s">
        <v>49</v>
      </c>
      <c r="B13" t="s">
        <v>296</v>
      </c>
      <c r="C13" t="s">
        <v>246</v>
      </c>
      <c r="D13" t="s">
        <v>297</v>
      </c>
      <c r="E13" t="s">
        <v>247</v>
      </c>
      <c r="F13" t="n">
        <v>53.9832382895345</v>
      </c>
      <c r="G13" t="n">
        <v>54.9237128241954</v>
      </c>
      <c r="H13" t="n">
        <v>25.8575555220439</v>
      </c>
      <c r="I13" t="n">
        <v>110.751895515564</v>
      </c>
      <c r="J13" t="n">
        <v>84.1990792110306</v>
      </c>
      <c r="K13" t="n">
        <v>91.1087340114669</v>
      </c>
      <c r="L13" t="n">
        <v>103.287087401944</v>
      </c>
      <c r="M13" t="n">
        <v>91.44053974294</v>
      </c>
      <c r="N13" t="n">
        <v>75.0167534784314</v>
      </c>
      <c r="O13" t="n">
        <v>101.728674382042</v>
      </c>
      <c r="P13" t="n">
        <v>110.027078722227</v>
      </c>
      <c r="Q13" t="n">
        <v>122.072361489426</v>
      </c>
      <c r="R13" t="n">
        <v>116.299377928017</v>
      </c>
      <c r="S13" t="n">
        <v>135.406493200142</v>
      </c>
      <c r="T13" t="n">
        <v>71.0618932982466</v>
      </c>
      <c r="U13" t="n">
        <v>94.3388599219243</v>
      </c>
      <c r="V13" t="n">
        <v>101.804525095602</v>
      </c>
      <c r="W13" t="n">
        <v>75.6418568183449</v>
      </c>
      <c r="X13" t="n">
        <v>93.573305164928</v>
      </c>
      <c r="Y13" t="n">
        <v>95.3408009291545</v>
      </c>
      <c r="Z13" t="n">
        <v>128.278627298719</v>
      </c>
      <c r="AA13" t="n">
        <v>114.84370512236</v>
      </c>
      <c r="AB13" t="n">
        <v>221.074132360542</v>
      </c>
      <c r="AC13" t="n">
        <v>169.056689452179</v>
      </c>
      <c r="AD13" t="n">
        <v>183.466083150985</v>
      </c>
      <c r="AE13" t="n">
        <v>137</v>
      </c>
      <c r="AF13" t="n">
        <v>109.3</v>
      </c>
    </row>
    <row r="14">
      <c r="A14" t="s">
        <v>49</v>
      </c>
      <c r="B14" t="s">
        <v>298</v>
      </c>
      <c r="C14" t="s">
        <v>246</v>
      </c>
      <c r="D14" t="s">
        <v>299</v>
      </c>
      <c r="E14" t="s">
        <v>247</v>
      </c>
      <c r="F14" t="n">
        <v>11.2130999562994</v>
      </c>
      <c r="G14" t="n">
        <v>26.1953091416069</v>
      </c>
      <c r="H14" t="n">
        <v>19.102716413735</v>
      </c>
      <c r="I14" t="n">
        <v>45.2530369412751</v>
      </c>
      <c r="J14" t="n">
        <v>40.8164646921305</v>
      </c>
      <c r="K14" t="n">
        <v>34.0960782537168</v>
      </c>
      <c r="L14" t="n">
        <v>59.6681369440044</v>
      </c>
      <c r="M14" t="n">
        <v>41.6009215649968</v>
      </c>
      <c r="N14" t="n">
        <v>42.3120484293558</v>
      </c>
      <c r="O14" t="n">
        <v>47.8107507582808</v>
      </c>
      <c r="P14" t="n">
        <v>55.4370054804606</v>
      </c>
      <c r="Q14" t="n">
        <v>59.3895524891223</v>
      </c>
      <c r="R14" t="n">
        <v>60.5458092632469</v>
      </c>
      <c r="S14" t="n">
        <v>50.4916694038391</v>
      </c>
      <c r="T14" t="n">
        <v>42.2529354684807</v>
      </c>
      <c r="U14" t="n">
        <v>46.1652443081549</v>
      </c>
      <c r="V14" t="n">
        <v>49.7771949630716</v>
      </c>
      <c r="W14" t="n">
        <v>50.6504790852308</v>
      </c>
      <c r="X14" t="n">
        <v>58.3559272219292</v>
      </c>
      <c r="Y14" t="n">
        <v>35.5525453590083</v>
      </c>
      <c r="Z14" t="n">
        <v>50.444761999065</v>
      </c>
      <c r="AA14" t="n">
        <v>24.8251781491461</v>
      </c>
      <c r="AB14" t="n">
        <v>60.821686465408</v>
      </c>
      <c r="AC14" t="n">
        <v>49.3309443970248</v>
      </c>
      <c r="AD14" t="n">
        <v>42.2402542372881</v>
      </c>
      <c r="AE14" t="n">
        <v>70.7</v>
      </c>
      <c r="AF14" t="n">
        <v>44.3</v>
      </c>
    </row>
    <row r="15">
      <c r="A15" t="s">
        <v>49</v>
      </c>
      <c r="B15" t="s">
        <v>300</v>
      </c>
      <c r="C15" t="s">
        <v>246</v>
      </c>
      <c r="D15" t="s">
        <v>301</v>
      </c>
      <c r="E15" t="s">
        <v>247</v>
      </c>
      <c r="F15" t="n">
        <v>39.9456341914122</v>
      </c>
      <c r="G15" t="n">
        <v>45.5850178419646</v>
      </c>
      <c r="H15" t="n">
        <v>63.3282546003276</v>
      </c>
      <c r="I15" t="n">
        <v>64.626344738548</v>
      </c>
      <c r="J15" t="n">
        <v>94.4235296409014</v>
      </c>
      <c r="K15" t="n">
        <v>77.7315040035455</v>
      </c>
      <c r="L15" t="n">
        <v>111.790537559869</v>
      </c>
      <c r="M15" t="n">
        <v>81.1591899337792</v>
      </c>
      <c r="N15" t="n">
        <v>82.8463065735405</v>
      </c>
      <c r="O15" t="n">
        <v>90.6743040450561</v>
      </c>
      <c r="P15" t="n">
        <v>110.900145572348</v>
      </c>
      <c r="Q15" t="n">
        <v>118.496045954015</v>
      </c>
      <c r="R15" t="n">
        <v>116.710201289815</v>
      </c>
      <c r="S15" t="n">
        <v>103.128976352589</v>
      </c>
      <c r="T15" t="n">
        <v>102.422613500859</v>
      </c>
      <c r="U15" t="n">
        <v>90.3465848348192</v>
      </c>
      <c r="V15" t="n">
        <v>97.4613783905613</v>
      </c>
      <c r="W15" t="n">
        <v>95.3854073261883</v>
      </c>
      <c r="X15" t="n">
        <v>101.655353281897</v>
      </c>
      <c r="Y15" t="n">
        <v>85.88840052797</v>
      </c>
      <c r="Z15" t="n">
        <v>107.6229957716</v>
      </c>
      <c r="AA15" t="n">
        <v>79.102405017723</v>
      </c>
      <c r="AB15" t="n">
        <v>129.892461927531</v>
      </c>
      <c r="AC15" t="n">
        <v>137.632425281501</v>
      </c>
      <c r="AD15" t="n">
        <v>110.247933884298</v>
      </c>
      <c r="AE15" t="n">
        <v>145</v>
      </c>
      <c r="AF15" t="n">
        <v>101.8</v>
      </c>
    </row>
    <row r="16">
      <c r="A16" t="s">
        <v>49</v>
      </c>
      <c r="B16" t="s">
        <v>302</v>
      </c>
      <c r="C16" t="s">
        <v>246</v>
      </c>
      <c r="D16" t="s">
        <v>303</v>
      </c>
      <c r="E16" t="s">
        <v>247</v>
      </c>
      <c r="F16" t="n">
        <v>28.6661302382848</v>
      </c>
      <c r="G16" t="n">
        <v>19.391793984722</v>
      </c>
      <c r="H16" t="n">
        <v>44.1492785380322</v>
      </c>
      <c r="I16" t="n">
        <v>19.3442331539806</v>
      </c>
      <c r="J16" t="n">
        <v>53.5914214418951</v>
      </c>
      <c r="K16" t="n">
        <v>43.6232196635684</v>
      </c>
      <c r="L16" t="n">
        <v>52.1283756986038</v>
      </c>
      <c r="M16" t="n">
        <v>39.5584127641887</v>
      </c>
      <c r="N16" t="n">
        <v>40.5340686843817</v>
      </c>
      <c r="O16" t="n">
        <v>42.863612861645</v>
      </c>
      <c r="P16" t="n">
        <v>55.459070855158</v>
      </c>
      <c r="Q16" t="n">
        <v>59.1023674806793</v>
      </c>
      <c r="R16" t="n">
        <v>56.1629957409653</v>
      </c>
      <c r="S16" t="n">
        <v>52.632119780826</v>
      </c>
      <c r="T16" t="n">
        <v>60.1678147830024</v>
      </c>
      <c r="U16" t="n">
        <v>44.1752543481152</v>
      </c>
      <c r="V16" t="n">
        <v>47.6776402427228</v>
      </c>
      <c r="W16" t="n">
        <v>44.725125824022</v>
      </c>
      <c r="X16" t="n">
        <v>43.285696487157</v>
      </c>
      <c r="Y16" t="n">
        <v>50.344275290818</v>
      </c>
      <c r="Z16" t="n">
        <v>57.1759619169207</v>
      </c>
      <c r="AA16" t="n">
        <v>54.2923047071978</v>
      </c>
      <c r="AB16" t="n">
        <v>69.0383627758194</v>
      </c>
      <c r="AC16" t="n">
        <v>88.3095028887819</v>
      </c>
      <c r="AD16" t="n">
        <v>68.0084677419355</v>
      </c>
      <c r="AE16" t="n">
        <v>74.3</v>
      </c>
      <c r="AF16" t="n">
        <v>57.5</v>
      </c>
    </row>
    <row r="17">
      <c r="A17" t="s">
        <v>49</v>
      </c>
      <c r="B17" t="s">
        <v>304</v>
      </c>
      <c r="C17" t="s">
        <v>246</v>
      </c>
      <c r="D17" t="s">
        <v>305</v>
      </c>
      <c r="E17" t="s">
        <v>247</v>
      </c>
      <c r="F17" t="n">
        <v>44.2103078074681</v>
      </c>
      <c r="G17" t="n">
        <v>31.6324283038572</v>
      </c>
      <c r="H17" t="n">
        <v>43.400444785947</v>
      </c>
      <c r="I17" t="n">
        <v>73.4753798721576</v>
      </c>
      <c r="J17" t="n">
        <v>67.4673394268471</v>
      </c>
      <c r="K17" t="n">
        <v>93.6060016316929</v>
      </c>
      <c r="L17" t="n">
        <v>92.7824884208569</v>
      </c>
      <c r="M17" t="n">
        <v>87.0471800638348</v>
      </c>
      <c r="N17" t="n">
        <v>66.1061663073975</v>
      </c>
      <c r="O17" t="n">
        <v>89.0105563237634</v>
      </c>
      <c r="P17" t="n">
        <v>83.8377937303868</v>
      </c>
      <c r="Q17" t="n">
        <v>109.525127394462</v>
      </c>
      <c r="R17" t="n">
        <v>110.887640940996</v>
      </c>
      <c r="S17" t="n">
        <v>114.525108287967</v>
      </c>
      <c r="T17" t="n">
        <v>60.8524984428355</v>
      </c>
      <c r="U17" t="n">
        <v>83.3366017277802</v>
      </c>
      <c r="V17" t="n">
        <v>89.8949774404142</v>
      </c>
      <c r="W17" t="n">
        <v>144.247536793073</v>
      </c>
      <c r="X17" t="n">
        <v>89.9873998266567</v>
      </c>
      <c r="Y17" t="n">
        <v>89.8834882795128</v>
      </c>
      <c r="Z17" t="n">
        <v>112.827985287632</v>
      </c>
      <c r="AA17" t="n">
        <v>98.2888097783696</v>
      </c>
      <c r="AB17" t="n">
        <v>175.426863022153</v>
      </c>
      <c r="AC17" t="n">
        <v>267.558231943805</v>
      </c>
      <c r="AD17" t="n">
        <v>154.079437060203</v>
      </c>
      <c r="AE17" t="n">
        <v>127.8</v>
      </c>
      <c r="AF17" t="n">
        <v>130.1</v>
      </c>
    </row>
    <row r="18">
      <c r="A18" t="s">
        <v>49</v>
      </c>
      <c r="B18" t="s">
        <v>306</v>
      </c>
      <c r="C18" t="s">
        <v>246</v>
      </c>
      <c r="D18" t="s">
        <v>307</v>
      </c>
      <c r="E18" t="s">
        <v>247</v>
      </c>
      <c r="F18" t="n">
        <v>101.830814565882</v>
      </c>
      <c r="G18" t="n">
        <v>109.620637246959</v>
      </c>
      <c r="H18" t="n">
        <v>57.5461176597632</v>
      </c>
      <c r="I18" t="n">
        <v>166.059006193713</v>
      </c>
      <c r="J18" t="n">
        <v>118.895485718018</v>
      </c>
      <c r="K18" t="n">
        <v>170.782543076255</v>
      </c>
      <c r="L18" t="n">
        <v>179.399590338288</v>
      </c>
      <c r="M18" t="n">
        <v>173.472087095309</v>
      </c>
      <c r="N18" t="n">
        <v>116.95146855401</v>
      </c>
      <c r="O18" t="n">
        <v>149.56741595951</v>
      </c>
      <c r="P18" t="n">
        <v>152.30459742805</v>
      </c>
      <c r="Q18" t="n">
        <v>176.624692825743</v>
      </c>
      <c r="R18" t="n">
        <v>243.765191764262</v>
      </c>
      <c r="S18" t="n">
        <v>241.003918635985</v>
      </c>
      <c r="T18" t="n">
        <v>254.556706236542</v>
      </c>
      <c r="U18" t="n">
        <v>156.22815890892</v>
      </c>
      <c r="V18" t="n">
        <v>168.558983906076</v>
      </c>
      <c r="W18" t="n">
        <v>110.657878395482</v>
      </c>
      <c r="X18" t="n">
        <v>120.5490854029</v>
      </c>
      <c r="Y18" t="n">
        <v>132.198349911204</v>
      </c>
      <c r="Z18" t="n">
        <v>176.510057962651</v>
      </c>
      <c r="AA18" t="n">
        <v>152.019660749559</v>
      </c>
      <c r="AB18" t="n">
        <v>146.27584485222</v>
      </c>
      <c r="AC18" t="n">
        <v>154.418831463138</v>
      </c>
      <c r="AD18" t="n">
        <v>132.794103585657</v>
      </c>
      <c r="AE18" t="n">
        <v>125.4</v>
      </c>
      <c r="AF18" t="n">
        <v>150.7</v>
      </c>
    </row>
    <row r="19">
      <c r="A19" t="s">
        <v>49</v>
      </c>
      <c r="B19" t="s">
        <v>308</v>
      </c>
      <c r="C19" t="s">
        <v>246</v>
      </c>
      <c r="D19" t="s">
        <v>309</v>
      </c>
      <c r="E19" t="s">
        <v>247</v>
      </c>
      <c r="F19" t="n">
        <v>40.2291052030605</v>
      </c>
      <c r="G19" t="n">
        <v>35.9994095625518</v>
      </c>
      <c r="H19" t="n">
        <v>27.9680452244497</v>
      </c>
      <c r="I19" t="n">
        <v>61.1222180401881</v>
      </c>
      <c r="J19" t="n">
        <v>61.7137233760609</v>
      </c>
      <c r="K19" t="n">
        <v>65.5646597147271</v>
      </c>
      <c r="L19" t="n">
        <v>73.9891690635468</v>
      </c>
      <c r="M19" t="n">
        <v>66.3957875075883</v>
      </c>
      <c r="N19" t="n">
        <v>58.4069895454453</v>
      </c>
      <c r="O19" t="n">
        <v>73.4977906720197</v>
      </c>
      <c r="P19" t="n">
        <v>74.7683641809775</v>
      </c>
      <c r="Q19" t="n">
        <v>81.2523415625257</v>
      </c>
      <c r="R19" t="n">
        <v>91.3301513687305</v>
      </c>
      <c r="S19" t="n">
        <v>72.4456823432735</v>
      </c>
      <c r="T19" t="n">
        <v>57.3429993792034</v>
      </c>
      <c r="U19" t="n">
        <v>67.8708156714791</v>
      </c>
      <c r="V19" t="n">
        <v>73.1873628990783</v>
      </c>
      <c r="W19" t="n">
        <v>57.2152328792495</v>
      </c>
      <c r="X19" t="n">
        <v>63.5953487758565</v>
      </c>
      <c r="Y19" t="n">
        <v>62.2444671842125</v>
      </c>
      <c r="Z19" t="n">
        <v>76.2521053153466</v>
      </c>
      <c r="AA19" t="n">
        <v>79.8357551735091</v>
      </c>
      <c r="AB19" t="n">
        <v>120.519443361448</v>
      </c>
      <c r="AC19" t="n">
        <v>97.8661596958175</v>
      </c>
      <c r="AD19" t="n">
        <v>106.8</v>
      </c>
      <c r="AE19" t="n">
        <v>84.6</v>
      </c>
      <c r="AF19" t="n">
        <v>126.1</v>
      </c>
    </row>
    <row r="20">
      <c r="A20" t="s">
        <v>49</v>
      </c>
      <c r="B20" t="s">
        <v>310</v>
      </c>
      <c r="C20" t="s">
        <v>246</v>
      </c>
      <c r="D20" t="s">
        <v>311</v>
      </c>
      <c r="E20" t="s">
        <v>247</v>
      </c>
      <c r="F20" t="n">
        <v>41.7148438393594</v>
      </c>
      <c r="G20" t="n">
        <v>17.529608534742</v>
      </c>
      <c r="H20" t="n">
        <v>18.4720606065024</v>
      </c>
      <c r="I20" t="n">
        <v>17.0866560610147</v>
      </c>
      <c r="J20" t="n">
        <v>37.9048806870786</v>
      </c>
      <c r="K20" t="n">
        <v>25.6965554787727</v>
      </c>
      <c r="L20" t="n">
        <v>34.1096626106129</v>
      </c>
      <c r="M20" t="n">
        <v>32.076024189384</v>
      </c>
      <c r="N20" t="n">
        <v>34.4684348333435</v>
      </c>
      <c r="O20" t="n">
        <v>37.5343603036949</v>
      </c>
      <c r="P20" t="n">
        <v>30.1249800879005</v>
      </c>
      <c r="Q20" t="n">
        <v>40.5373054202957</v>
      </c>
      <c r="R20" t="n">
        <v>38.3376066765587</v>
      </c>
      <c r="S20" t="n">
        <v>39.108765431547</v>
      </c>
      <c r="T20" t="n">
        <v>22.6171173580031</v>
      </c>
      <c r="U20" t="n">
        <v>30.3427663565289</v>
      </c>
      <c r="V20" t="n">
        <v>32.7115325033211</v>
      </c>
      <c r="W20" t="n">
        <v>25.6003297852078</v>
      </c>
      <c r="X20" t="n">
        <v>37.7811318604277</v>
      </c>
      <c r="Y20" t="n">
        <v>24.2506989627538</v>
      </c>
      <c r="Z20" t="n">
        <v>21.8256290664785</v>
      </c>
      <c r="AA20" t="n">
        <v>34.482500716902</v>
      </c>
      <c r="AB20" t="n">
        <v>67.6240152948134</v>
      </c>
      <c r="AC20" t="n">
        <v>74.5750888199778</v>
      </c>
      <c r="AD20" t="n">
        <v>50.9342783505155</v>
      </c>
      <c r="AE20" t="n">
        <v>77.5</v>
      </c>
      <c r="AF20" t="n">
        <v>75</v>
      </c>
    </row>
    <row r="21">
      <c r="A21" t="s">
        <v>49</v>
      </c>
      <c r="B21" t="s">
        <v>312</v>
      </c>
      <c r="C21" t="s">
        <v>246</v>
      </c>
      <c r="D21" t="s">
        <v>313</v>
      </c>
      <c r="E21" t="s">
        <v>247</v>
      </c>
      <c r="F21" t="n">
        <v>57.1108403795012</v>
      </c>
      <c r="G21" t="n">
        <v>30.1522693450985</v>
      </c>
      <c r="H21" t="n">
        <v>26.6659132020715</v>
      </c>
      <c r="I21" t="n">
        <v>40.6469996378798</v>
      </c>
      <c r="J21" t="n">
        <v>58.7560745370805</v>
      </c>
      <c r="K21" t="n">
        <v>47.6160805392783</v>
      </c>
      <c r="L21" t="n">
        <v>57.1392966471339</v>
      </c>
      <c r="M21" t="n">
        <v>51.7767089359142</v>
      </c>
      <c r="N21" t="n">
        <v>55.7663526039213</v>
      </c>
      <c r="O21" t="n">
        <v>67.4772866507448</v>
      </c>
      <c r="P21" t="n">
        <v>53.43577035348</v>
      </c>
      <c r="Q21" t="n">
        <v>72.0573266887836</v>
      </c>
      <c r="R21" t="n">
        <v>68.4911707827885</v>
      </c>
      <c r="S21" t="n">
        <v>61.1016241765939</v>
      </c>
      <c r="T21" t="n">
        <v>44.0308428555802</v>
      </c>
      <c r="U21" t="n">
        <v>52.7476087000859</v>
      </c>
      <c r="V21" t="n">
        <v>56.4669913648356</v>
      </c>
      <c r="W21" t="n">
        <v>89.8884601417015</v>
      </c>
      <c r="X21" t="n">
        <v>81.9601538061792</v>
      </c>
      <c r="Y21" t="n">
        <v>98.2690817498675</v>
      </c>
      <c r="Z21" t="n">
        <v>94.6918346626133</v>
      </c>
      <c r="AA21" t="n">
        <v>92.3021353651341</v>
      </c>
      <c r="AB21" t="n">
        <v>146.974873221453</v>
      </c>
      <c r="AC21" t="n">
        <v>157.600759325977</v>
      </c>
      <c r="AD21" t="n">
        <v>132.839274924471</v>
      </c>
      <c r="AE21" t="n">
        <v>165.3</v>
      </c>
      <c r="AF21" t="n">
        <v>142.8</v>
      </c>
    </row>
    <row r="22">
      <c r="A22" t="s">
        <v>49</v>
      </c>
      <c r="B22" t="s">
        <v>314</v>
      </c>
      <c r="C22" t="s">
        <v>246</v>
      </c>
      <c r="D22" t="s">
        <v>315</v>
      </c>
      <c r="E22" t="s">
        <v>247</v>
      </c>
      <c r="F22" t="n">
        <v>15.3461605186083</v>
      </c>
      <c r="G22" t="n">
        <v>12.6158620214326</v>
      </c>
      <c r="H22" t="n">
        <v>8.19089549152715</v>
      </c>
      <c r="I22" t="n">
        <v>23.6419028959988</v>
      </c>
      <c r="J22" t="n">
        <v>20.8721402136224</v>
      </c>
      <c r="K22" t="n">
        <v>21.9602612674131</v>
      </c>
      <c r="L22" t="n">
        <v>23.0628685277017</v>
      </c>
      <c r="M22" t="n">
        <v>19.7284778971906</v>
      </c>
      <c r="N22" t="n">
        <v>21.328084213179</v>
      </c>
      <c r="O22" t="n">
        <v>29.9897079329417</v>
      </c>
      <c r="P22" t="n">
        <v>23.3470364689676</v>
      </c>
      <c r="Q22" t="n">
        <v>31.5692536602127</v>
      </c>
      <c r="R22" t="n">
        <v>30.2012526682702</v>
      </c>
      <c r="S22" t="n">
        <v>22.0148325310834</v>
      </c>
      <c r="T22" t="n">
        <v>21.4262006452255</v>
      </c>
      <c r="U22" t="n">
        <v>22.4305538004705</v>
      </c>
      <c r="V22" t="n">
        <v>23.7831500095441</v>
      </c>
      <c r="W22" t="n">
        <v>64.258143833126</v>
      </c>
      <c r="X22" t="n">
        <v>44.2096029571907</v>
      </c>
      <c r="Y22" t="n">
        <v>73.9940068274107</v>
      </c>
      <c r="Z22" t="n">
        <v>72.8378504707324</v>
      </c>
      <c r="AA22" t="n">
        <v>57.8125561796387</v>
      </c>
      <c r="AB22" t="n">
        <v>79.3486905180802</v>
      </c>
      <c r="AC22" t="n">
        <v>83.0231605420714</v>
      </c>
      <c r="AD22" t="n">
        <v>81.9067121729238</v>
      </c>
      <c r="AE22" t="n">
        <v>87.8</v>
      </c>
      <c r="AF22" t="n">
        <v>67.8</v>
      </c>
    </row>
    <row r="23">
      <c r="A23" t="s">
        <v>49</v>
      </c>
      <c r="B23" t="s">
        <v>316</v>
      </c>
      <c r="C23" t="s">
        <v>246</v>
      </c>
      <c r="D23" t="s">
        <v>317</v>
      </c>
      <c r="E23" t="s">
        <v>247</v>
      </c>
      <c r="F23" t="n">
        <v>56.6794308659451</v>
      </c>
      <c r="G23" t="n">
        <v>43.0951044600574</v>
      </c>
      <c r="H23" t="n">
        <v>45.8238337817641</v>
      </c>
      <c r="I23" t="n">
        <v>89.2456117604519</v>
      </c>
      <c r="J23" t="n">
        <v>97.1173305485843</v>
      </c>
      <c r="K23" t="n">
        <v>99.2842486744148</v>
      </c>
      <c r="L23" t="n">
        <v>98.1881944112198</v>
      </c>
      <c r="M23" t="n">
        <v>103.083748789202</v>
      </c>
      <c r="N23" t="n">
        <v>104.76783410906</v>
      </c>
      <c r="O23" t="n">
        <v>105.790412791579</v>
      </c>
      <c r="P23" t="n">
        <v>89.312459094089</v>
      </c>
      <c r="Q23" t="n">
        <v>103.456966190438</v>
      </c>
      <c r="R23" t="n">
        <v>153.455925534753</v>
      </c>
      <c r="S23" t="n">
        <v>108.509753518831</v>
      </c>
      <c r="T23" t="n">
        <v>85.4675956751789</v>
      </c>
      <c r="U23" t="n">
        <v>102.672837157503</v>
      </c>
      <c r="V23" t="n">
        <v>110.579436278542</v>
      </c>
      <c r="W23" t="n">
        <v>93.6261102417727</v>
      </c>
      <c r="X23" t="n">
        <v>140.439165362659</v>
      </c>
      <c r="Y23" t="n">
        <v>309.755614727403</v>
      </c>
      <c r="Z23" t="n">
        <v>147.833127734803</v>
      </c>
      <c r="AA23" t="n">
        <v>134.800732221169</v>
      </c>
      <c r="AB23" t="n">
        <v>212.390081995029</v>
      </c>
      <c r="AC23" t="n">
        <v>191.945055410461</v>
      </c>
      <c r="AD23" t="n">
        <v>172.973741794311</v>
      </c>
      <c r="AE23" t="n">
        <v>137</v>
      </c>
      <c r="AF23" t="n">
        <v>192.1</v>
      </c>
    </row>
    <row r="24">
      <c r="A24" t="s">
        <v>49</v>
      </c>
      <c r="B24" t="s">
        <v>318</v>
      </c>
      <c r="C24" t="s">
        <v>246</v>
      </c>
      <c r="D24" t="s">
        <v>319</v>
      </c>
      <c r="E24" t="s">
        <v>247</v>
      </c>
      <c r="F24" t="n">
        <v>444.636455933097</v>
      </c>
      <c r="G24" t="n">
        <v>324.753462118224</v>
      </c>
      <c r="H24" t="n">
        <v>342.654001080354</v>
      </c>
      <c r="I24" t="n">
        <v>523.699713158466</v>
      </c>
      <c r="J24" t="n">
        <v>522.220613987429</v>
      </c>
      <c r="K24" t="n">
        <v>721.928043495287</v>
      </c>
      <c r="L24" t="n">
        <v>709.20482832528</v>
      </c>
      <c r="M24" t="n">
        <v>632.789071972987</v>
      </c>
      <c r="N24" t="n">
        <v>597.555234445178</v>
      </c>
      <c r="O24" t="n">
        <v>702.765177561889</v>
      </c>
      <c r="P24" t="n">
        <v>719.858145744423</v>
      </c>
      <c r="Q24" t="n">
        <v>795.973630221336</v>
      </c>
      <c r="R24" t="n">
        <v>916.566154103761</v>
      </c>
      <c r="S24" t="n">
        <v>792.201832447737</v>
      </c>
      <c r="T24" t="n">
        <v>551.726711017935</v>
      </c>
      <c r="U24" t="n">
        <v>674.805068778983</v>
      </c>
      <c r="V24" t="n">
        <v>728.599611190437</v>
      </c>
      <c r="W24" t="n">
        <v>936.614690818809</v>
      </c>
      <c r="X24" t="n">
        <v>623.311930505352</v>
      </c>
      <c r="Y24" t="n">
        <v>745.917044357047</v>
      </c>
      <c r="Z24" t="n">
        <v>683.967645157061</v>
      </c>
      <c r="AA24" t="n">
        <v>614.625761713501</v>
      </c>
      <c r="AB24" t="n">
        <v>890.36540138634</v>
      </c>
      <c r="AC24" t="n">
        <v>861.086860152478</v>
      </c>
      <c r="AD24" t="n">
        <v>839.374525043178</v>
      </c>
      <c r="AE24" t="n">
        <v>694.2</v>
      </c>
      <c r="AF24" t="n">
        <v>812.9</v>
      </c>
    </row>
    <row r="25">
      <c r="A25" t="s">
        <v>49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49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49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49</v>
      </c>
      <c r="B28" t="s">
        <v>326</v>
      </c>
      <c r="C28" t="s">
        <v>246</v>
      </c>
      <c r="D28" t="s">
        <v>327</v>
      </c>
      <c r="E28" t="s">
        <v>247</v>
      </c>
      <c r="F28" t="n">
        <v>130.982729896975</v>
      </c>
      <c r="G28" t="n">
        <v>294.75812316127</v>
      </c>
      <c r="H28" t="n">
        <v>275.409607231696</v>
      </c>
      <c r="I28" t="n">
        <v>155.230869530592</v>
      </c>
      <c r="J28" t="n">
        <v>275.779348733216</v>
      </c>
      <c r="K28" t="n">
        <v>271.031354206963</v>
      </c>
      <c r="L28" t="n">
        <v>299.647862671454</v>
      </c>
      <c r="M28" t="n">
        <v>376.297656185</v>
      </c>
      <c r="N28" t="n">
        <v>374.608628198344</v>
      </c>
      <c r="O28" t="n">
        <v>317.643503303075</v>
      </c>
      <c r="P28" t="n">
        <v>311.677907951632</v>
      </c>
      <c r="Q28" t="n">
        <v>414.523511518247</v>
      </c>
      <c r="R28" t="n">
        <v>415.468952877513</v>
      </c>
      <c r="S28" t="n">
        <v>401.664163108855</v>
      </c>
      <c r="T28" t="n">
        <v>313.387620219028</v>
      </c>
      <c r="U28" t="n">
        <v>339.587228340233</v>
      </c>
      <c r="V28" t="n">
        <v>359.489776521345</v>
      </c>
      <c r="W28" t="n">
        <v>402.82553040337</v>
      </c>
      <c r="X28" t="n">
        <v>346.499976944617</v>
      </c>
      <c r="Y28" t="n">
        <v>295.663346663813</v>
      </c>
      <c r="Z28" t="n">
        <v>436.340177443001</v>
      </c>
      <c r="AA28" t="n">
        <v>321.482384384328</v>
      </c>
      <c r="AB28" t="n">
        <v>287.017328285949</v>
      </c>
      <c r="AC28" t="n">
        <v>242.540066759797</v>
      </c>
      <c r="AD28" t="n">
        <v>397.704820766378</v>
      </c>
      <c r="AE28" t="n">
        <v>404.2</v>
      </c>
      <c r="AF28" t="n">
        <v>635.9</v>
      </c>
    </row>
    <row r="29">
      <c r="A29" t="s">
        <v>49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49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49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49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49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49</v>
      </c>
      <c r="B34" t="s">
        <v>338</v>
      </c>
      <c r="C34" t="s">
        <v>246</v>
      </c>
      <c r="D34" t="s">
        <v>339</v>
      </c>
      <c r="E34" t="s">
        <v>247</v>
      </c>
      <c r="F34" t="n">
        <v>192.736683119736</v>
      </c>
      <c r="G34" t="n">
        <v>127.271863257169</v>
      </c>
      <c r="H34" t="n">
        <v>183.606855283658</v>
      </c>
      <c r="I34" t="n">
        <v>317.610245631812</v>
      </c>
      <c r="J34" t="n">
        <v>243.875775199597</v>
      </c>
      <c r="K34" t="n">
        <v>310.791103238985</v>
      </c>
      <c r="L34" t="n">
        <v>276.929881743571</v>
      </c>
      <c r="M34" t="n">
        <v>375.344509056584</v>
      </c>
      <c r="N34" t="n">
        <v>278.736101974897</v>
      </c>
      <c r="O34" t="n">
        <v>387.867426279487</v>
      </c>
      <c r="P34" t="n">
        <v>388.550635133024</v>
      </c>
      <c r="Q34" t="n">
        <v>433.363947125716</v>
      </c>
      <c r="R34" t="n">
        <v>432.944325777737</v>
      </c>
      <c r="S34" t="n">
        <v>294.181532955216</v>
      </c>
      <c r="T34" t="n">
        <v>274.169183774589</v>
      </c>
      <c r="U34" t="n">
        <v>342.963165015459</v>
      </c>
      <c r="V34" t="n">
        <v>369.623015787412</v>
      </c>
      <c r="W34" t="n">
        <v>201.374029896602</v>
      </c>
      <c r="X34" t="n">
        <v>286.06019576523</v>
      </c>
      <c r="Y34" t="n">
        <v>226.312788367843</v>
      </c>
      <c r="Z34" t="n">
        <v>303.187624937031</v>
      </c>
      <c r="AA34" t="n">
        <v>407.467451301983</v>
      </c>
      <c r="AB34" t="n">
        <v>387.371592970978</v>
      </c>
      <c r="AC34" t="n">
        <v>557.386335158856</v>
      </c>
      <c r="AD34" t="n">
        <v>327.146103140752</v>
      </c>
      <c r="AE34" t="n">
        <v>257.7</v>
      </c>
      <c r="AF34" t="n">
        <v>373.9</v>
      </c>
    </row>
    <row r="35">
      <c r="A35" t="s">
        <v>49</v>
      </c>
      <c r="B35" t="s">
        <v>340</v>
      </c>
      <c r="C35" t="s">
        <v>246</v>
      </c>
      <c r="D35" t="s">
        <v>341</v>
      </c>
      <c r="E35" t="s">
        <v>247</v>
      </c>
      <c r="F35" t="n">
        <v>424.614206093148</v>
      </c>
      <c r="G35" t="n">
        <v>770.950726978142</v>
      </c>
      <c r="H35" t="n">
        <v>806.769442744335</v>
      </c>
      <c r="I35" t="n">
        <v>567.321975863026</v>
      </c>
      <c r="J35" t="n">
        <v>831.302780489952</v>
      </c>
      <c r="K35" t="n">
        <v>1388.03959569987</v>
      </c>
      <c r="L35" t="n">
        <v>786.049075701786</v>
      </c>
      <c r="M35" t="n">
        <v>892.85475489169</v>
      </c>
      <c r="N35" t="n">
        <v>879.091205711361</v>
      </c>
      <c r="O35" t="n">
        <v>1240.11658326352</v>
      </c>
      <c r="P35" t="n">
        <v>1563.53179683129</v>
      </c>
      <c r="Q35" t="n">
        <v>1231.64956993153</v>
      </c>
      <c r="R35" t="n">
        <v>1554.23195537427</v>
      </c>
      <c r="S35" t="n">
        <v>1107.75313572446</v>
      </c>
      <c r="T35" t="n">
        <v>1134.37502095136</v>
      </c>
      <c r="U35" t="n">
        <v>1031.52472061056</v>
      </c>
      <c r="V35" t="n">
        <v>1098.89144573481</v>
      </c>
      <c r="W35" t="n">
        <v>773.391202626741</v>
      </c>
      <c r="X35" t="n">
        <v>773.494129323923</v>
      </c>
      <c r="Y35" t="n">
        <v>845.492978433591</v>
      </c>
      <c r="Z35" t="n">
        <v>722.244499487799</v>
      </c>
      <c r="AA35" t="n">
        <v>774.863607080286</v>
      </c>
      <c r="AB35" t="n">
        <v>795.335312255</v>
      </c>
      <c r="AC35" t="n">
        <v>806.45055495185</v>
      </c>
      <c r="AD35" t="n">
        <v>753.390592662277</v>
      </c>
      <c r="AE35" t="n">
        <v>743.4</v>
      </c>
      <c r="AF35" t="n">
        <v>895.4</v>
      </c>
    </row>
    <row r="36">
      <c r="A36" t="s">
        <v>49</v>
      </c>
      <c r="B36" t="s">
        <v>342</v>
      </c>
      <c r="C36" t="s">
        <v>246</v>
      </c>
      <c r="D36" t="s">
        <v>343</v>
      </c>
      <c r="E36" t="s">
        <v>247</v>
      </c>
      <c r="F36" t="n">
        <v>13.1146447507801</v>
      </c>
      <c r="G36" t="n">
        <v>19.1017651804841</v>
      </c>
      <c r="H36" t="n">
        <v>11.7475855859977</v>
      </c>
      <c r="I36" t="n">
        <v>43.540654513182</v>
      </c>
      <c r="J36" t="n">
        <v>25.5478269632141</v>
      </c>
      <c r="K36" t="n">
        <v>37.3237784540706</v>
      </c>
      <c r="L36" t="n">
        <v>36.8618505029063</v>
      </c>
      <c r="M36" t="n">
        <v>36.9554084991066</v>
      </c>
      <c r="N36" t="n">
        <v>32.5495325466584</v>
      </c>
      <c r="O36" t="n">
        <v>37.644241988744</v>
      </c>
      <c r="P36" t="n">
        <v>42.6832350108594</v>
      </c>
      <c r="Q36" t="n">
        <v>38.9983514127996</v>
      </c>
      <c r="R36" t="n">
        <v>51.2913100103125</v>
      </c>
      <c r="S36" t="n">
        <v>57.7584751855258</v>
      </c>
      <c r="T36" t="n">
        <v>25.1279139466927</v>
      </c>
      <c r="U36" t="n">
        <v>35.9940388966138</v>
      </c>
      <c r="V36" t="n">
        <v>38.7364418601653</v>
      </c>
      <c r="W36" t="n">
        <v>41.826528390321</v>
      </c>
      <c r="X36" t="n">
        <v>41.826528390321</v>
      </c>
      <c r="Y36" t="n">
        <v>32.1018605395714</v>
      </c>
      <c r="Z36" t="n">
        <v>35.7977984306404</v>
      </c>
      <c r="AA36" t="n">
        <v>23.4330992512549</v>
      </c>
      <c r="AB36" t="n">
        <v>39.214574257202</v>
      </c>
      <c r="AC36" t="n">
        <v>47.256043915008</v>
      </c>
      <c r="AD36" t="n">
        <v>43.301138952164</v>
      </c>
      <c r="AE36" t="n">
        <v>43.8</v>
      </c>
      <c r="AF36" t="n">
        <v>47.6</v>
      </c>
    </row>
    <row r="37">
      <c r="A37" t="s">
        <v>49</v>
      </c>
      <c r="B37" t="s">
        <v>344</v>
      </c>
      <c r="C37" t="s">
        <v>246</v>
      </c>
      <c r="D37" t="s">
        <v>345</v>
      </c>
      <c r="E37" t="s">
        <v>247</v>
      </c>
      <c r="F37" t="n">
        <v>282.660052709342</v>
      </c>
      <c r="G37" t="n">
        <v>650.315129565601</v>
      </c>
      <c r="H37" t="n">
        <v>661.904344421667</v>
      </c>
      <c r="I37" t="n">
        <v>323.408443491722</v>
      </c>
      <c r="J37" t="n">
        <v>594.953215862515</v>
      </c>
      <c r="K37" t="n">
        <v>1123.3837927915</v>
      </c>
      <c r="L37" t="n">
        <v>584.434126335357</v>
      </c>
      <c r="M37" t="n">
        <v>629.290994712102</v>
      </c>
      <c r="N37" t="n">
        <v>567.710629465317</v>
      </c>
      <c r="O37" t="n">
        <v>899.829259721465</v>
      </c>
      <c r="P37" t="n">
        <v>1276.94706775666</v>
      </c>
      <c r="Q37" t="n">
        <v>904.99323090456</v>
      </c>
      <c r="R37" t="n">
        <v>1149.75896330664</v>
      </c>
      <c r="S37" t="n">
        <v>740.840563903616</v>
      </c>
      <c r="T37" t="n">
        <v>793.698884766913</v>
      </c>
      <c r="U37" t="n">
        <v>733.410877595356</v>
      </c>
      <c r="V37" t="n">
        <v>791.252277676813</v>
      </c>
      <c r="W37" t="n">
        <v>464.934503586555</v>
      </c>
      <c r="X37" t="n">
        <v>497.754620126522</v>
      </c>
      <c r="Y37" t="n">
        <v>539.398601489079</v>
      </c>
      <c r="Z37" t="n">
        <v>296.769099981226</v>
      </c>
      <c r="AA37" t="n">
        <v>473.597337168431</v>
      </c>
      <c r="AB37" t="n">
        <v>397.263126895677</v>
      </c>
      <c r="AC37" t="n">
        <v>531.238950355373</v>
      </c>
      <c r="AD37" t="n">
        <v>445.810532441082</v>
      </c>
      <c r="AE37" t="n">
        <v>343.4</v>
      </c>
      <c r="AF37" t="n">
        <v>630</v>
      </c>
    </row>
    <row r="38">
      <c r="A38" t="s">
        <v>49</v>
      </c>
      <c r="B38" t="s">
        <v>346</v>
      </c>
      <c r="C38" t="s">
        <v>246</v>
      </c>
      <c r="D38" t="s">
        <v>347</v>
      </c>
      <c r="E38" t="s">
        <v>247</v>
      </c>
      <c r="F38" t="n">
        <v>128.892157471235</v>
      </c>
      <c r="G38" t="n">
        <v>101.480278387768</v>
      </c>
      <c r="H38" t="n">
        <v>132.95141393235</v>
      </c>
      <c r="I38" t="n">
        <v>200.53813549963</v>
      </c>
      <c r="J38" t="n">
        <v>210.698208277034</v>
      </c>
      <c r="K38" t="n">
        <v>226.996944500996</v>
      </c>
      <c r="L38" t="n">
        <v>164.730739474503</v>
      </c>
      <c r="M38" t="n">
        <v>226.551039457069</v>
      </c>
      <c r="N38" t="n">
        <v>278.750103407208</v>
      </c>
      <c r="O38" t="n">
        <v>302.398241772416</v>
      </c>
      <c r="P38" t="n">
        <v>243.5009097993</v>
      </c>
      <c r="Q38" t="n">
        <v>287.424182805491</v>
      </c>
      <c r="R38" t="n">
        <v>352.905267168626</v>
      </c>
      <c r="S38" t="n">
        <v>309.205928269697</v>
      </c>
      <c r="T38" t="n">
        <v>315.211070060159</v>
      </c>
      <c r="U38" t="n">
        <v>261.967468446023</v>
      </c>
      <c r="V38" t="n">
        <v>268.745410708533</v>
      </c>
      <c r="W38" t="n">
        <v>266.668045857654</v>
      </c>
      <c r="X38" t="n">
        <v>233.951827268636</v>
      </c>
      <c r="Y38" t="n">
        <v>273.948032196889</v>
      </c>
      <c r="Z38" t="n">
        <v>389.731826227128</v>
      </c>
      <c r="AA38" t="n">
        <v>277.825673979676</v>
      </c>
      <c r="AB38" t="n">
        <v>358.858162223748</v>
      </c>
      <c r="AC38" t="n">
        <v>227.958296080738</v>
      </c>
      <c r="AD38" t="n">
        <v>264.277419354839</v>
      </c>
      <c r="AE38" t="n">
        <v>356.2</v>
      </c>
      <c r="AF38" t="n">
        <v>217.8</v>
      </c>
    </row>
    <row r="39">
      <c r="A39" t="s">
        <v>49</v>
      </c>
      <c r="B39" t="s">
        <v>348</v>
      </c>
      <c r="C39" t="s">
        <v>246</v>
      </c>
      <c r="D39" t="s">
        <v>349</v>
      </c>
      <c r="E39" t="s">
        <v>247</v>
      </c>
      <c r="F39" t="n">
        <v>389.614763789797</v>
      </c>
      <c r="G39" t="n">
        <v>395.770994196818</v>
      </c>
      <c r="H39" t="n">
        <v>307.43678176425</v>
      </c>
      <c r="I39" t="n">
        <v>716.554989403836</v>
      </c>
      <c r="J39" t="n">
        <v>677.835533752056</v>
      </c>
      <c r="K39" t="n">
        <v>623.172960666795</v>
      </c>
      <c r="L39" t="n">
        <v>693.081057931969</v>
      </c>
      <c r="M39" t="n">
        <v>675.618466630142</v>
      </c>
      <c r="N39" t="n">
        <v>730.803377918043</v>
      </c>
      <c r="O39" t="n">
        <v>878.962958524195</v>
      </c>
      <c r="P39" t="n">
        <v>808.241800941789</v>
      </c>
      <c r="Q39" t="n">
        <v>834.125681669769</v>
      </c>
      <c r="R39" t="n">
        <v>807.683657178796</v>
      </c>
      <c r="S39" t="n">
        <v>1363.77028132491</v>
      </c>
      <c r="T39" t="n">
        <v>456.705012794857</v>
      </c>
      <c r="U39" t="n">
        <v>1262.53662939616</v>
      </c>
      <c r="V39" t="n">
        <v>739.371106392419</v>
      </c>
      <c r="W39" t="n">
        <v>519.528514107099</v>
      </c>
      <c r="X39" t="n">
        <v>611.658100024645</v>
      </c>
      <c r="Y39" t="n">
        <v>461.80913973998</v>
      </c>
      <c r="Z39" t="n">
        <v>571.212671705715</v>
      </c>
      <c r="AA39" t="n">
        <v>607.72809593773</v>
      </c>
      <c r="AB39" t="n">
        <v>538.352742520181</v>
      </c>
      <c r="AC39" t="n">
        <v>406.221542023341</v>
      </c>
      <c r="AD39" t="n">
        <v>509.223007212872</v>
      </c>
      <c r="AE39" t="n">
        <v>540.3</v>
      </c>
      <c r="AF39" t="n">
        <v>542.9</v>
      </c>
    </row>
    <row r="40">
      <c r="A40" t="s">
        <v>49</v>
      </c>
      <c r="B40" t="s">
        <v>350</v>
      </c>
      <c r="C40" t="s">
        <v>246</v>
      </c>
      <c r="D40" t="s">
        <v>351</v>
      </c>
      <c r="E40" t="s">
        <v>247</v>
      </c>
      <c r="F40" t="n">
        <v>4.19548569434369</v>
      </c>
      <c r="G40" t="n">
        <v>3.81407790394881</v>
      </c>
      <c r="H40" t="n">
        <v>4.19548569434369</v>
      </c>
      <c r="I40" t="n">
        <v>6.89924314180962</v>
      </c>
      <c r="J40" t="n">
        <v>7.59916635909465</v>
      </c>
      <c r="K40" t="n">
        <v>9.3989689178276</v>
      </c>
      <c r="L40" t="n">
        <v>7.35166875750872</v>
      </c>
      <c r="M40" t="n">
        <v>8.19993822952895</v>
      </c>
      <c r="N40" t="n">
        <v>6.66808163719937</v>
      </c>
      <c r="O40" t="n">
        <v>10.4247473482976</v>
      </c>
      <c r="P40" t="n">
        <v>10.9164807137833</v>
      </c>
      <c r="Q40" t="n">
        <v>8.26387792351823</v>
      </c>
      <c r="R40" t="n">
        <v>8.89956084071194</v>
      </c>
      <c r="S40" t="n">
        <v>8.23209377765855</v>
      </c>
      <c r="T40" t="n">
        <v>5.88006698404182</v>
      </c>
      <c r="U40" t="n">
        <v>11.0944660076261</v>
      </c>
      <c r="V40" t="n">
        <v>8.40489849062581</v>
      </c>
      <c r="W40" t="n">
        <v>20.5210508602293</v>
      </c>
      <c r="X40" t="n">
        <v>10.6709464473192</v>
      </c>
      <c r="Y40" t="n">
        <v>9.73853365095152</v>
      </c>
      <c r="Z40" t="n">
        <v>8.48194866373196</v>
      </c>
      <c r="AA40" t="n">
        <v>15.5668704887316</v>
      </c>
      <c r="AB40" t="n">
        <v>12.9883091194325</v>
      </c>
      <c r="AC40" t="n">
        <v>8.03093922651933</v>
      </c>
      <c r="AD40" t="n">
        <v>36.8</v>
      </c>
      <c r="AE40" t="n">
        <v>26.2</v>
      </c>
      <c r="AF40" t="n">
        <v>22.9</v>
      </c>
    </row>
    <row r="41">
      <c r="A41" t="s">
        <v>49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49</v>
      </c>
      <c r="B42" t="s">
        <v>354</v>
      </c>
      <c r="C42" t="s">
        <v>246</v>
      </c>
      <c r="D42" t="s">
        <v>355</v>
      </c>
      <c r="E42" t="s">
        <v>247</v>
      </c>
      <c r="F42" t="n">
        <v>263.720467261026</v>
      </c>
      <c r="G42" t="n">
        <v>229.101878709151</v>
      </c>
      <c r="H42" t="n">
        <v>272.076151309469</v>
      </c>
      <c r="I42" t="n">
        <v>407.188167905969</v>
      </c>
      <c r="J42" t="n">
        <v>419.715517063929</v>
      </c>
      <c r="K42" t="n">
        <v>491.198470334755</v>
      </c>
      <c r="L42" t="n">
        <v>520.679534164726</v>
      </c>
      <c r="M42" t="n">
        <v>483.01886766303</v>
      </c>
      <c r="N42" t="n">
        <v>450.089797486076</v>
      </c>
      <c r="O42" t="n">
        <v>459.866261850171</v>
      </c>
      <c r="P42" t="n">
        <v>521.500843674185</v>
      </c>
      <c r="Q42" t="n">
        <v>612.0954195842</v>
      </c>
      <c r="R42" t="n">
        <v>606.532824035852</v>
      </c>
      <c r="S42" t="n">
        <v>594.94513362032</v>
      </c>
      <c r="T42" t="n">
        <v>470.586055808947</v>
      </c>
      <c r="U42" t="n">
        <v>494.864984508552</v>
      </c>
      <c r="V42" t="n">
        <v>501.984530985839</v>
      </c>
      <c r="W42" t="n">
        <v>367.823123989624</v>
      </c>
      <c r="X42" t="n">
        <v>494.719014274796</v>
      </c>
      <c r="Y42" t="n">
        <v>470.201230283017</v>
      </c>
      <c r="Z42" t="n">
        <v>443.17333581137</v>
      </c>
      <c r="AA42" t="n">
        <v>565.133046182804</v>
      </c>
      <c r="AB42" t="n">
        <v>448.796194285345</v>
      </c>
      <c r="AC42" t="n">
        <v>334.661823779342</v>
      </c>
      <c r="AD42" t="n">
        <v>399.199398043642</v>
      </c>
      <c r="AE42" t="n">
        <v>398.4</v>
      </c>
      <c r="AF42" t="n">
        <v>415.1</v>
      </c>
    </row>
    <row r="43">
      <c r="A43" t="s">
        <v>49</v>
      </c>
      <c r="B43" t="s">
        <v>356</v>
      </c>
      <c r="C43" t="s">
        <v>246</v>
      </c>
      <c r="D43" t="s">
        <v>357</v>
      </c>
      <c r="E43" t="s">
        <v>247</v>
      </c>
      <c r="F43" t="n">
        <v>321.970574823158</v>
      </c>
      <c r="G43" t="n">
        <v>280.317038919463</v>
      </c>
      <c r="H43" t="n">
        <v>333.742168689995</v>
      </c>
      <c r="I43" t="n">
        <v>498.761187725948</v>
      </c>
      <c r="J43" t="n">
        <v>518.388135789516</v>
      </c>
      <c r="K43" t="n">
        <v>608.340819923659</v>
      </c>
      <c r="L43" t="n">
        <v>634.527676410439</v>
      </c>
      <c r="M43" t="n">
        <v>601.48707249</v>
      </c>
      <c r="N43" t="n">
        <v>550.17201302148</v>
      </c>
      <c r="O43" t="n">
        <v>559.392773016254</v>
      </c>
      <c r="P43" t="n">
        <v>634.030579265716</v>
      </c>
      <c r="Q43" t="n">
        <v>752.088652632663</v>
      </c>
      <c r="R43" t="n">
        <v>756.182937592556</v>
      </c>
      <c r="S43" t="n">
        <v>754.306553132029</v>
      </c>
      <c r="T43" t="n">
        <v>573.150482126866</v>
      </c>
      <c r="U43" t="n">
        <v>610.301196704398</v>
      </c>
      <c r="V43" t="n">
        <v>623.298351819399</v>
      </c>
      <c r="W43" t="n">
        <v>522.568788382715</v>
      </c>
      <c r="X43" t="n">
        <v>621.792013121918</v>
      </c>
      <c r="Y43" t="n">
        <v>624.804873335876</v>
      </c>
      <c r="Z43" t="n">
        <v>617.232755699083</v>
      </c>
      <c r="AA43" t="n">
        <v>738.709415065392</v>
      </c>
      <c r="AB43" t="n">
        <v>584.173701939666</v>
      </c>
      <c r="AC43" t="n">
        <v>474.405418836494</v>
      </c>
      <c r="AD43" t="n">
        <v>582.47852494577</v>
      </c>
      <c r="AE43" t="n">
        <v>552.8</v>
      </c>
      <c r="AF43" t="n">
        <v>526.9</v>
      </c>
    </row>
    <row r="44">
      <c r="A44" t="s">
        <v>49</v>
      </c>
      <c r="B44" t="s">
        <v>358</v>
      </c>
      <c r="C44" t="s">
        <v>246</v>
      </c>
      <c r="D44" t="s">
        <v>359</v>
      </c>
      <c r="E44" t="s">
        <v>247</v>
      </c>
      <c r="F44" t="n">
        <v>2670.27413570387</v>
      </c>
      <c r="G44" t="n">
        <v>2973.42889786304</v>
      </c>
      <c r="H44" t="n">
        <v>3260.01084274146</v>
      </c>
      <c r="I44" t="n">
        <v>3953.8938746386</v>
      </c>
      <c r="J44" t="n">
        <v>4244.81550248052</v>
      </c>
      <c r="K44" t="n">
        <v>5254.97387866919</v>
      </c>
      <c r="L44" t="n">
        <v>4879.8733986869</v>
      </c>
      <c r="M44" t="n">
        <v>4851.86056046622</v>
      </c>
      <c r="N44" t="n">
        <v>4544.09593365981</v>
      </c>
      <c r="O44" t="n">
        <v>5473.73928023191</v>
      </c>
      <c r="P44" t="n">
        <v>5838.73332672108</v>
      </c>
      <c r="Q44" t="n">
        <v>6084.15516902868</v>
      </c>
      <c r="R44" t="n">
        <v>6682.111692012</v>
      </c>
      <c r="S44" t="n">
        <v>6510.36821812727</v>
      </c>
      <c r="T44" t="n">
        <v>4619.38012612257</v>
      </c>
      <c r="U44" t="n">
        <v>5573.6209005776</v>
      </c>
      <c r="V44" t="n">
        <v>5333.56471497836</v>
      </c>
      <c r="W44" t="n">
        <v>4783.55144880192</v>
      </c>
      <c r="X44" t="n">
        <v>4625.76372699421</v>
      </c>
      <c r="Y44" t="n">
        <v>4905.45816913671</v>
      </c>
      <c r="Z44" t="n">
        <v>4869.0676859455</v>
      </c>
      <c r="AA44" t="n">
        <v>4895.53217316376</v>
      </c>
      <c r="AB44" t="n">
        <v>5547.07687649387</v>
      </c>
      <c r="AC44" t="n">
        <v>5268.65101867114</v>
      </c>
      <c r="AD44" t="n">
        <v>5315.22506569314</v>
      </c>
      <c r="AE44" t="n">
        <v>4981.2</v>
      </c>
      <c r="AF44" t="n">
        <v>5575.4</v>
      </c>
    </row>
    <row r="45">
      <c r="A45" t="s">
        <v>49</v>
      </c>
      <c r="B45" t="s">
        <v>360</v>
      </c>
      <c r="C45" t="s">
        <v>246</v>
      </c>
      <c r="D45" t="s">
        <v>361</v>
      </c>
      <c r="E45" t="s">
        <v>247</v>
      </c>
      <c r="F45" t="n">
        <v>2650.40139965237</v>
      </c>
      <c r="G45" t="n">
        <v>2952.77668314887</v>
      </c>
      <c r="H45" t="n">
        <v>3245.35177497983</v>
      </c>
      <c r="I45" t="n">
        <v>3925.22891848971</v>
      </c>
      <c r="J45" t="n">
        <v>4216.91364217936</v>
      </c>
      <c r="K45" t="n">
        <v>5224.00847547058</v>
      </c>
      <c r="L45" t="n">
        <v>4845.49425604321</v>
      </c>
      <c r="M45" t="n">
        <v>4821.45585602468</v>
      </c>
      <c r="N45" t="n">
        <v>4507.23287578232</v>
      </c>
      <c r="O45" t="n">
        <v>5434.99281063969</v>
      </c>
      <c r="P45" t="n">
        <v>5798.90705167395</v>
      </c>
      <c r="Q45" t="n">
        <v>6039.77367920628</v>
      </c>
      <c r="R45" t="n">
        <v>6637.08972487542</v>
      </c>
      <c r="S45" t="n">
        <v>6467.77339761338</v>
      </c>
      <c r="T45" t="n">
        <v>4564.88452306705</v>
      </c>
      <c r="U45" t="n">
        <v>5541.61161030451</v>
      </c>
      <c r="V45" t="n">
        <v>5293.75808074427</v>
      </c>
      <c r="W45" t="n">
        <v>4758.83729540203</v>
      </c>
      <c r="X45" t="n">
        <v>4602.7997191107</v>
      </c>
      <c r="Y45" t="n">
        <v>4883.22129970436</v>
      </c>
      <c r="Z45" t="n">
        <v>4843.36041509123</v>
      </c>
      <c r="AA45" t="n">
        <v>4868.03387515742</v>
      </c>
      <c r="AB45" t="n">
        <v>5517.85142530473</v>
      </c>
      <c r="AC45" t="n">
        <v>5240.02328824001</v>
      </c>
      <c r="AD45" t="n">
        <v>5281.72673836717</v>
      </c>
      <c r="AE45" t="n">
        <v>4951.7</v>
      </c>
      <c r="AF45" t="n">
        <v>5541.6</v>
      </c>
    </row>
    <row r="46">
      <c r="A46" t="s">
        <v>49</v>
      </c>
      <c r="B46" t="s">
        <v>362</v>
      </c>
      <c r="C46" t="s">
        <v>246</v>
      </c>
      <c r="D46" t="s">
        <v>363</v>
      </c>
      <c r="E46" t="s">
        <v>247</v>
      </c>
      <c r="F46" t="n">
        <v>58.238312039707</v>
      </c>
      <c r="G46" t="n">
        <v>51.204699474525</v>
      </c>
      <c r="H46" t="n">
        <v>61.6527171981872</v>
      </c>
      <c r="I46" t="n">
        <v>91.5533593228336</v>
      </c>
      <c r="J46" t="n">
        <v>98.6489910464547</v>
      </c>
      <c r="K46" t="n">
        <v>117.114818199295</v>
      </c>
      <c r="L46" t="n">
        <v>113.818388601816</v>
      </c>
      <c r="M46" t="n">
        <v>118.448917023371</v>
      </c>
      <c r="N46" t="n">
        <v>100.055124207289</v>
      </c>
      <c r="O46" t="n">
        <v>99.4956360942937</v>
      </c>
      <c r="P46" t="n">
        <v>112.494574798165</v>
      </c>
      <c r="Q46" t="n">
        <v>139.959466483122</v>
      </c>
      <c r="R46" t="n">
        <v>149.626336540515</v>
      </c>
      <c r="S46" t="n">
        <v>159.343766515102</v>
      </c>
      <c r="T46" t="n">
        <v>102.536299458683</v>
      </c>
      <c r="U46" t="n">
        <v>115.409306486792</v>
      </c>
      <c r="V46" t="n">
        <v>121.287155592878</v>
      </c>
      <c r="W46" t="n">
        <v>154.783427805351</v>
      </c>
      <c r="X46" t="n">
        <v>127.081004598672</v>
      </c>
      <c r="Y46" t="n">
        <v>154.616954082439</v>
      </c>
      <c r="Z46" t="n">
        <v>174.075550344515</v>
      </c>
      <c r="AA46" t="n">
        <v>173.577907261769</v>
      </c>
      <c r="AB46" t="n">
        <v>135.377363964778</v>
      </c>
      <c r="AC46" t="n">
        <v>139.744375705577</v>
      </c>
      <c r="AD46" t="n">
        <v>183.281294498382</v>
      </c>
      <c r="AE46" t="n">
        <v>154.4</v>
      </c>
      <c r="AF46" t="n">
        <v>111.8</v>
      </c>
    </row>
    <row r="47">
      <c r="A47" t="s">
        <v>49</v>
      </c>
      <c r="B47" t="s">
        <v>364</v>
      </c>
      <c r="C47" t="s">
        <v>246</v>
      </c>
      <c r="D47" t="s">
        <v>365</v>
      </c>
      <c r="E47" t="s">
        <v>247</v>
      </c>
      <c r="F47" t="n">
        <v>144.329996873954</v>
      </c>
      <c r="G47" t="n">
        <v>175.450861274148</v>
      </c>
      <c r="H47" t="n">
        <v>185.743978468898</v>
      </c>
      <c r="I47" t="n">
        <v>231.329833649785</v>
      </c>
      <c r="J47" t="n">
        <v>272.3485388124</v>
      </c>
      <c r="K47" t="n">
        <v>234.911639990401</v>
      </c>
      <c r="L47" t="n">
        <v>244.533214116746</v>
      </c>
      <c r="M47" t="n">
        <v>260.866014159065</v>
      </c>
      <c r="N47" t="n">
        <v>364.24462010743</v>
      </c>
      <c r="O47" t="n">
        <v>350.203234802756</v>
      </c>
      <c r="P47" t="n">
        <v>404.028434280887</v>
      </c>
      <c r="Q47" t="n">
        <v>443.848060954663</v>
      </c>
      <c r="R47" t="n">
        <v>502.812122661548</v>
      </c>
      <c r="S47" t="n">
        <v>613.986662345509</v>
      </c>
      <c r="T47" t="n">
        <v>666.82544567989</v>
      </c>
      <c r="U47" t="n">
        <v>452.268961060861</v>
      </c>
      <c r="V47" t="n">
        <v>347.029670196662</v>
      </c>
      <c r="W47" t="n">
        <v>294.625126683358</v>
      </c>
      <c r="X47" t="n">
        <v>298.229418691019</v>
      </c>
      <c r="Y47" t="n">
        <v>238.126000279788</v>
      </c>
      <c r="Z47" t="n">
        <v>249.806064809641</v>
      </c>
      <c r="AA47" t="n">
        <v>302.255385986804</v>
      </c>
      <c r="AB47" t="n">
        <v>296.321303044695</v>
      </c>
      <c r="AC47" t="n">
        <v>265.448296261814</v>
      </c>
      <c r="AD47" t="n">
        <v>263.215932914046</v>
      </c>
      <c r="AE47" t="n">
        <v>286</v>
      </c>
      <c r="AF47" t="n">
        <v>372.8</v>
      </c>
    </row>
    <row r="48">
      <c r="A48" t="s">
        <v>49</v>
      </c>
      <c r="B48" t="s">
        <v>366</v>
      </c>
      <c r="C48" t="s">
        <v>246</v>
      </c>
      <c r="D48" t="s">
        <v>367</v>
      </c>
      <c r="E48" t="s">
        <v>247</v>
      </c>
      <c r="F48" t="n">
        <v>193.501700330938</v>
      </c>
      <c r="G48" t="n">
        <v>230.896486756338</v>
      </c>
      <c r="H48" t="n">
        <v>240.727845681486</v>
      </c>
      <c r="I48" t="n">
        <v>314.224807354971</v>
      </c>
      <c r="J48" t="n">
        <v>361.353629412264</v>
      </c>
      <c r="K48" t="n">
        <v>328.788644351224</v>
      </c>
      <c r="L48" t="n">
        <v>357.687148746937</v>
      </c>
      <c r="M48" t="n">
        <v>372.755397499698</v>
      </c>
      <c r="N48" t="n">
        <v>465.371454892649</v>
      </c>
      <c r="O48" t="n">
        <v>478.509177873714</v>
      </c>
      <c r="P48" t="n">
        <v>539.306162925255</v>
      </c>
      <c r="Q48" t="n">
        <v>615.918444050161</v>
      </c>
      <c r="R48" t="n">
        <v>663.136072393219</v>
      </c>
      <c r="S48" t="n">
        <v>771.955020125572</v>
      </c>
      <c r="T48" t="n">
        <v>830.559242709272</v>
      </c>
      <c r="U48" t="n">
        <v>606.00518866858</v>
      </c>
      <c r="V48" t="n">
        <v>509.279393124984</v>
      </c>
      <c r="W48" t="n">
        <v>400.273048138808</v>
      </c>
      <c r="X48" t="n">
        <v>430.833741017272</v>
      </c>
      <c r="Y48" t="n">
        <v>416.808528806679</v>
      </c>
      <c r="Z48" t="n">
        <v>411.130511512138</v>
      </c>
      <c r="AA48" t="n">
        <v>460.072251571168</v>
      </c>
      <c r="AB48" t="n">
        <v>523.405133779551</v>
      </c>
      <c r="AC48" t="n">
        <v>463.363399623952</v>
      </c>
      <c r="AD48" t="n">
        <v>481.220189274448</v>
      </c>
      <c r="AE48" t="n">
        <v>760.2</v>
      </c>
      <c r="AF48" t="n">
        <v>591.5</v>
      </c>
    </row>
    <row r="49">
      <c r="A49" t="s">
        <v>49</v>
      </c>
      <c r="B49" t="s">
        <v>368</v>
      </c>
      <c r="C49" t="s">
        <v>246</v>
      </c>
      <c r="D49" t="s">
        <v>369</v>
      </c>
      <c r="E49" t="s">
        <v>247</v>
      </c>
      <c r="F49" t="n">
        <v>20.7988295559872</v>
      </c>
      <c r="G49" t="n">
        <v>25.1084969414621</v>
      </c>
      <c r="H49" t="n">
        <v>24.8253184045283</v>
      </c>
      <c r="I49" t="n">
        <v>37.7937683173416</v>
      </c>
      <c r="J49" t="n">
        <v>36.8069858547478</v>
      </c>
      <c r="K49" t="n">
        <v>40.3594027200854</v>
      </c>
      <c r="L49" t="n">
        <v>53.2634294401127</v>
      </c>
      <c r="M49" t="n">
        <v>58.0802961025229</v>
      </c>
      <c r="N49" t="n">
        <v>47.4233610378398</v>
      </c>
      <c r="O49" t="n">
        <v>66.9889913285006</v>
      </c>
      <c r="P49" t="n">
        <v>63.0829276941857</v>
      </c>
      <c r="Q49" t="n">
        <v>98.1177478903145</v>
      </c>
      <c r="R49" t="n">
        <v>75.3460352783378</v>
      </c>
      <c r="S49" t="n">
        <v>74.2428722435158</v>
      </c>
      <c r="T49" t="n">
        <v>69.6468849141553</v>
      </c>
      <c r="U49" t="n">
        <v>65.5039030141171</v>
      </c>
      <c r="V49" t="n">
        <v>64.146309169265</v>
      </c>
      <c r="W49" t="n">
        <v>54.5134163247337</v>
      </c>
      <c r="X49" t="n">
        <v>47.6090705898431</v>
      </c>
      <c r="Y49" t="n">
        <v>67.9236630734741</v>
      </c>
      <c r="Z49" t="n">
        <v>69.5057359711482</v>
      </c>
      <c r="AA49" t="n">
        <v>48.3648234519468</v>
      </c>
      <c r="AB49" t="n">
        <v>103.529453765454</v>
      </c>
      <c r="AC49" t="n">
        <v>94.388657463706</v>
      </c>
      <c r="AD49" t="n">
        <v>70.2332806074027</v>
      </c>
      <c r="AE49" t="n">
        <v>315.8</v>
      </c>
      <c r="AF49" t="n">
        <v>58.4</v>
      </c>
    </row>
    <row r="50">
      <c r="A50" t="s">
        <v>49</v>
      </c>
      <c r="B50" t="s">
        <v>370</v>
      </c>
      <c r="C50" t="s">
        <v>246</v>
      </c>
      <c r="D50" t="s">
        <v>371</v>
      </c>
      <c r="E50" t="s">
        <v>247</v>
      </c>
      <c r="F50" t="n">
        <v>28.7088014713361</v>
      </c>
      <c r="G50" t="n">
        <v>30.7864121041302</v>
      </c>
      <c r="H50" t="n">
        <v>30.5022298385536</v>
      </c>
      <c r="I50" t="n">
        <v>45.6603501546641</v>
      </c>
      <c r="J50" t="n">
        <v>52.6926383563586</v>
      </c>
      <c r="K50" t="n">
        <v>54.0792867341575</v>
      </c>
      <c r="L50" t="n">
        <v>60.598182079022</v>
      </c>
      <c r="M50" t="n">
        <v>54.3806044384485</v>
      </c>
      <c r="N50" t="n">
        <v>53.8474612576794</v>
      </c>
      <c r="O50" t="n">
        <v>61.6730438626016</v>
      </c>
      <c r="P50" t="n">
        <v>72.424287642136</v>
      </c>
      <c r="Q50" t="n">
        <v>74.450141841916</v>
      </c>
      <c r="R50" t="n">
        <v>85.2658888231817</v>
      </c>
      <c r="S50" t="n">
        <v>84.0525320611441</v>
      </c>
      <c r="T50" t="n">
        <v>94.2942271442247</v>
      </c>
      <c r="U50" t="n">
        <v>88.4777386371076</v>
      </c>
      <c r="V50" t="n">
        <v>98.547455694272</v>
      </c>
      <c r="W50" t="n">
        <v>51.4636713070087</v>
      </c>
      <c r="X50" t="n">
        <v>85.6008961619584</v>
      </c>
      <c r="Y50" t="n">
        <v>111.322819947851</v>
      </c>
      <c r="Z50" t="n">
        <v>92.3652914799105</v>
      </c>
      <c r="AA50" t="n">
        <v>109.901743799721</v>
      </c>
      <c r="AB50" t="n">
        <v>123.986797277104</v>
      </c>
      <c r="AC50" t="n">
        <v>103.819073040524</v>
      </c>
      <c r="AD50" t="n">
        <v>147.906624605678</v>
      </c>
      <c r="AE50" t="n">
        <v>158.4</v>
      </c>
      <c r="AF50" t="n">
        <v>160.3</v>
      </c>
    </row>
    <row r="51">
      <c r="A51" t="s">
        <v>49</v>
      </c>
      <c r="B51" t="s">
        <v>372</v>
      </c>
      <c r="C51" t="s">
        <v>246</v>
      </c>
      <c r="D51" t="s">
        <v>373</v>
      </c>
      <c r="E51" t="s">
        <v>247</v>
      </c>
      <c r="F51" t="n">
        <v>23.9029920070654</v>
      </c>
      <c r="G51" t="n">
        <v>26.4438612361629</v>
      </c>
      <c r="H51" t="n">
        <v>26.4438612361629</v>
      </c>
      <c r="I51" t="n">
        <v>38.0420459888659</v>
      </c>
      <c r="J51" t="n">
        <v>41.4016032969735</v>
      </c>
      <c r="K51" t="n">
        <v>44.1682975507092</v>
      </c>
      <c r="L51" t="n">
        <v>48.2002583229731</v>
      </c>
      <c r="M51" t="n">
        <v>42.4533044460033</v>
      </c>
      <c r="N51" t="n">
        <v>46.0058822239115</v>
      </c>
      <c r="O51" t="n">
        <v>49.7310548736209</v>
      </c>
      <c r="P51" t="n">
        <v>58.7197720609945</v>
      </c>
      <c r="Q51" t="n">
        <v>59.5296999514909</v>
      </c>
      <c r="R51" t="n">
        <v>68.0339428017039</v>
      </c>
      <c r="S51" t="n">
        <v>71.7829769269194</v>
      </c>
      <c r="T51" t="n">
        <v>81.9031999035014</v>
      </c>
      <c r="U51" t="n">
        <v>80.227145335217</v>
      </c>
      <c r="V51" t="n">
        <v>85.650952343795</v>
      </c>
      <c r="W51" t="n">
        <v>33.8009505418041</v>
      </c>
      <c r="X51" t="n">
        <v>64.2011956937317</v>
      </c>
      <c r="Y51" t="n">
        <v>81.7862881933113</v>
      </c>
      <c r="Z51" t="n">
        <v>69.8920146207963</v>
      </c>
      <c r="AA51" t="n">
        <v>85.2244508766405</v>
      </c>
      <c r="AB51" t="n">
        <v>102.173583241995</v>
      </c>
      <c r="AC51" t="n">
        <v>80.7260672261825</v>
      </c>
      <c r="AD51" t="n">
        <v>119.210569715142</v>
      </c>
      <c r="AE51" t="n">
        <v>133.3</v>
      </c>
      <c r="AF51" t="n">
        <v>141.8</v>
      </c>
    </row>
    <row r="52">
      <c r="A52" t="s">
        <v>49</v>
      </c>
      <c r="B52" t="s">
        <v>374</v>
      </c>
      <c r="C52" t="s">
        <v>246</v>
      </c>
      <c r="D52" t="s">
        <v>375</v>
      </c>
      <c r="E52" t="s">
        <v>247</v>
      </c>
      <c r="F52" t="n">
        <v>4.78956548043576</v>
      </c>
      <c r="G52" t="n">
        <v>4.31060893239219</v>
      </c>
      <c r="H52" t="n">
        <v>4.02323500356604</v>
      </c>
      <c r="I52" t="n">
        <v>7.57865198346162</v>
      </c>
      <c r="J52" t="n">
        <v>11.2682588701469</v>
      </c>
      <c r="K52" t="n">
        <v>9.87219139950921</v>
      </c>
      <c r="L52" t="n">
        <v>12.3633051171424</v>
      </c>
      <c r="M52" t="n">
        <v>11.8985192104829</v>
      </c>
      <c r="N52" t="n">
        <v>7.81395291434697</v>
      </c>
      <c r="O52" t="n">
        <v>11.9069758694811</v>
      </c>
      <c r="P52" t="n">
        <v>13.6637428010439</v>
      </c>
      <c r="Q52" t="n">
        <v>14.8782977166922</v>
      </c>
      <c r="R52" t="n">
        <v>17.1833860953347</v>
      </c>
      <c r="S52" t="n">
        <v>12.2266401062958</v>
      </c>
      <c r="T52" t="n">
        <v>12.3442039534718</v>
      </c>
      <c r="U52" t="n">
        <v>8.19206262366762</v>
      </c>
      <c r="V52" t="n">
        <v>12.8569871732561</v>
      </c>
      <c r="W52" t="n">
        <v>17.6920934606345</v>
      </c>
      <c r="X52" t="n">
        <v>21.4167447155049</v>
      </c>
      <c r="Y52" t="n">
        <v>29.5655548999409</v>
      </c>
      <c r="Z52" t="n">
        <v>22.4909399774551</v>
      </c>
      <c r="AA52" t="n">
        <v>24.690054108584</v>
      </c>
      <c r="AB52" t="n">
        <v>21.8079466250917</v>
      </c>
      <c r="AC52" t="n">
        <v>23.1024822695035</v>
      </c>
      <c r="AD52" t="n">
        <v>28.7</v>
      </c>
      <c r="AE52" t="n">
        <v>25.1</v>
      </c>
      <c r="AF52" t="n">
        <v>18.5</v>
      </c>
    </row>
    <row r="53">
      <c r="A53" t="s">
        <v>49</v>
      </c>
      <c r="B53" t="s">
        <v>376</v>
      </c>
      <c r="C53" t="s">
        <v>246</v>
      </c>
      <c r="D53" t="s">
        <v>377</v>
      </c>
      <c r="E53" t="s">
        <v>247</v>
      </c>
      <c r="F53" t="n">
        <v>22.1800082834271</v>
      </c>
      <c r="G53" t="n">
        <v>36.6534035192228</v>
      </c>
      <c r="H53" t="n">
        <v>22.4832732927191</v>
      </c>
      <c r="I53" t="n">
        <v>84.8232583316222</v>
      </c>
      <c r="J53" t="n">
        <v>49.3895051429166</v>
      </c>
      <c r="K53" t="n">
        <v>48.2985722983943</v>
      </c>
      <c r="L53" t="n">
        <v>63.1101344699019</v>
      </c>
      <c r="M53" t="n">
        <v>56.2321522154501</v>
      </c>
      <c r="N53" t="n">
        <v>55.1627610481199</v>
      </c>
      <c r="O53" t="n">
        <v>49.9269735588068</v>
      </c>
      <c r="P53" t="n">
        <v>71.3102353187673</v>
      </c>
      <c r="Q53" t="n">
        <v>61.3552452030419</v>
      </c>
      <c r="R53" t="n">
        <v>77.4847168801303</v>
      </c>
      <c r="S53" t="n">
        <v>63.0741114517798</v>
      </c>
      <c r="T53" t="n">
        <v>54.4354432792096</v>
      </c>
      <c r="U53" t="n">
        <v>56.1190136899068</v>
      </c>
      <c r="V53" t="n">
        <v>55.098667986454</v>
      </c>
      <c r="W53" t="n">
        <v>35.6714483976047</v>
      </c>
      <c r="X53" t="n">
        <v>41.2548055380993</v>
      </c>
      <c r="Y53" t="n">
        <v>52.9228313468546</v>
      </c>
      <c r="Z53" t="n">
        <v>43.6455222661311</v>
      </c>
      <c r="AA53" t="n">
        <v>31.3889029996148</v>
      </c>
      <c r="AB53" t="n">
        <v>44.2516338924234</v>
      </c>
      <c r="AC53" t="n">
        <v>41.7655870445344</v>
      </c>
      <c r="AD53" t="n">
        <v>50.2</v>
      </c>
      <c r="AE53" t="n">
        <v>41.4</v>
      </c>
      <c r="AF53" t="n">
        <v>133.9</v>
      </c>
    </row>
    <row r="54">
      <c r="A54" t="s">
        <v>49</v>
      </c>
      <c r="B54" t="s">
        <v>378</v>
      </c>
      <c r="C54" t="s">
        <v>246</v>
      </c>
      <c r="D54" t="s">
        <v>379</v>
      </c>
      <c r="E54" t="s">
        <v>247</v>
      </c>
      <c r="F54" t="n">
        <v>33.8644435484528</v>
      </c>
      <c r="G54" t="n">
        <v>69.6933990154623</v>
      </c>
      <c r="H54" t="n">
        <v>35.0818324328845</v>
      </c>
      <c r="I54" t="n">
        <v>176.519932584461</v>
      </c>
      <c r="J54" t="n">
        <v>91.4156298915058</v>
      </c>
      <c r="K54" t="n">
        <v>108.611651081908</v>
      </c>
      <c r="L54" t="n">
        <v>130.517292101803</v>
      </c>
      <c r="M54" t="n">
        <v>100.597430250219</v>
      </c>
      <c r="N54" t="n">
        <v>112.15013867118</v>
      </c>
      <c r="O54" t="n">
        <v>104.971783993141</v>
      </c>
      <c r="P54" t="n">
        <v>131.777253530999</v>
      </c>
      <c r="Q54" t="n">
        <v>131.777253530999</v>
      </c>
      <c r="R54" t="n">
        <v>149.536707954235</v>
      </c>
      <c r="S54" t="n">
        <v>165.894012298084</v>
      </c>
      <c r="T54" t="n">
        <v>99.1591075640998</v>
      </c>
      <c r="U54" t="n">
        <v>110.910469070003</v>
      </c>
      <c r="V54" t="n">
        <v>114.076109369657</v>
      </c>
      <c r="W54" t="n">
        <v>147.576387169191</v>
      </c>
      <c r="X54" t="n">
        <v>143.557197853829</v>
      </c>
      <c r="Y54" t="n">
        <v>173.703169886856</v>
      </c>
      <c r="Z54" t="n">
        <v>126.358271977053</v>
      </c>
      <c r="AA54" t="n">
        <v>139.9890461982</v>
      </c>
      <c r="AB54" t="n">
        <v>266.668600315996</v>
      </c>
      <c r="AC54" t="n">
        <v>178.176338535157</v>
      </c>
      <c r="AD54" t="n">
        <v>196.349309815951</v>
      </c>
      <c r="AE54" t="n">
        <v>260.6</v>
      </c>
      <c r="AF54" t="n">
        <v>275.8</v>
      </c>
    </row>
    <row r="55">
      <c r="A55" t="s">
        <v>49</v>
      </c>
      <c r="B55" t="s">
        <v>380</v>
      </c>
      <c r="C55" t="s">
        <v>246</v>
      </c>
      <c r="D55" t="s">
        <v>381</v>
      </c>
      <c r="E55" t="s">
        <v>247</v>
      </c>
      <c r="F55" t="n">
        <v>11.7392514061796</v>
      </c>
      <c r="G55" t="n">
        <v>33.0748749936011</v>
      </c>
      <c r="H55" t="n">
        <v>12.6490315131336</v>
      </c>
      <c r="I55" t="n">
        <v>91.7747249931006</v>
      </c>
      <c r="J55" t="n">
        <v>42.1003025691823</v>
      </c>
      <c r="K55" t="n">
        <v>60.3404804972823</v>
      </c>
      <c r="L55" t="n">
        <v>67.4716281924157</v>
      </c>
      <c r="M55" t="n">
        <v>44.4573330966465</v>
      </c>
      <c r="N55" t="n">
        <v>57.0580143336201</v>
      </c>
      <c r="O55" t="n">
        <v>55.1033352128925</v>
      </c>
      <c r="P55" t="n">
        <v>60.5745883545982</v>
      </c>
      <c r="Q55" t="n">
        <v>70.4849550636977</v>
      </c>
      <c r="R55" t="n">
        <v>72.1631682795</v>
      </c>
      <c r="S55" t="n">
        <v>102.838031860083</v>
      </c>
      <c r="T55" t="n">
        <v>44.8298514172671</v>
      </c>
      <c r="U55" t="n">
        <v>54.8914140794966</v>
      </c>
      <c r="V55" t="n">
        <v>59.0703900485118</v>
      </c>
      <c r="W55" t="n">
        <v>111.90557225857</v>
      </c>
      <c r="X55" t="n">
        <v>102.331314466438</v>
      </c>
      <c r="Y55" t="n">
        <v>120.823673831947</v>
      </c>
      <c r="Z55" t="n">
        <v>82.7573814671384</v>
      </c>
      <c r="AA55" t="n">
        <v>108.619063175619</v>
      </c>
      <c r="AB55" t="n">
        <v>222.405905568404</v>
      </c>
      <c r="AC55" t="n">
        <v>136.422193862048</v>
      </c>
      <c r="AD55" t="n">
        <v>146.166636280766</v>
      </c>
      <c r="AE55" t="n">
        <v>219.2</v>
      </c>
      <c r="AF55" t="n">
        <v>141.9</v>
      </c>
    </row>
    <row r="56">
      <c r="A56" t="s">
        <v>49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49</v>
      </c>
      <c r="B57" t="s">
        <v>384</v>
      </c>
      <c r="C57" t="s">
        <v>246</v>
      </c>
      <c r="D57" t="s">
        <v>385</v>
      </c>
      <c r="E57" t="s">
        <v>247</v>
      </c>
      <c r="F57" t="n">
        <v>2867.500999634</v>
      </c>
      <c r="G57" t="n">
        <v>3207.79714832443</v>
      </c>
      <c r="H57" t="n">
        <v>3504.40240549004</v>
      </c>
      <c r="I57" t="n">
        <v>4274.4686721813</v>
      </c>
      <c r="J57" t="n">
        <v>4613.19643611365</v>
      </c>
      <c r="K57" t="n">
        <v>5591.85184110789</v>
      </c>
      <c r="L57" t="n">
        <v>5244.0293691368</v>
      </c>
      <c r="M57" t="n">
        <v>5231.92506199797</v>
      </c>
      <c r="N57" t="n">
        <v>5015.82650710435</v>
      </c>
      <c r="O57" t="n">
        <v>5961.85619093497</v>
      </c>
      <c r="P57" t="n">
        <v>6388.11422517319</v>
      </c>
      <c r="Q57" t="n">
        <v>6707.82832606111</v>
      </c>
      <c r="R57" t="n">
        <v>7353.42482145844</v>
      </c>
      <c r="S57" t="n">
        <v>7290.35640248953</v>
      </c>
      <c r="T57" t="n">
        <v>5456.20231411314</v>
      </c>
      <c r="U57" t="n">
        <v>6191.16228707456</v>
      </c>
      <c r="V57" t="n">
        <v>5851.85548873591</v>
      </c>
      <c r="W57" t="n">
        <v>5204.89415615259</v>
      </c>
      <c r="X57" t="n">
        <v>5067.98826999479</v>
      </c>
      <c r="Y57" t="n">
        <v>5332.65172697168</v>
      </c>
      <c r="Z57" t="n">
        <v>5289.31564839831</v>
      </c>
      <c r="AA57" t="n">
        <v>5371.70157283018</v>
      </c>
      <c r="AB57" t="n">
        <v>6083.9539476222</v>
      </c>
      <c r="AC57" t="n">
        <v>5740.39766417106</v>
      </c>
      <c r="AD57" t="n">
        <v>5833.34642343606</v>
      </c>
      <c r="AE57" t="n">
        <v>5767.6</v>
      </c>
      <c r="AF57" t="n">
        <v>6189.8</v>
      </c>
    </row>
    <row r="58">
      <c r="A58" t="s">
        <v>49</v>
      </c>
      <c r="B58" t="s">
        <v>386</v>
      </c>
      <c r="C58" t="s">
        <v>246</v>
      </c>
      <c r="D58" t="s">
        <v>387</v>
      </c>
      <c r="E58" t="s">
        <v>247</v>
      </c>
      <c r="F58" t="n">
        <v>2867.500999634</v>
      </c>
      <c r="G58" t="n">
        <v>3207.79714832443</v>
      </c>
      <c r="H58" t="n">
        <v>3504.40240549004</v>
      </c>
      <c r="I58" t="n">
        <v>4274.4686721813</v>
      </c>
      <c r="J58" t="n">
        <v>4613.19643611365</v>
      </c>
      <c r="K58" t="n">
        <v>5591.85184110789</v>
      </c>
      <c r="L58" t="n">
        <v>5244.0293691368</v>
      </c>
      <c r="M58" t="n">
        <v>5231.92506199797</v>
      </c>
      <c r="N58" t="n">
        <v>5015.82650710435</v>
      </c>
      <c r="O58" t="n">
        <v>5961.85619093497</v>
      </c>
      <c r="P58" t="n">
        <v>6388.11422517319</v>
      </c>
      <c r="Q58" t="n">
        <v>6707.82832606111</v>
      </c>
      <c r="R58" t="n">
        <v>7353.42482145844</v>
      </c>
      <c r="S58" t="n">
        <v>7290.35640248953</v>
      </c>
      <c r="T58" t="n">
        <v>5456.20231411314</v>
      </c>
      <c r="U58" t="n">
        <v>6191.16228707456</v>
      </c>
      <c r="V58" t="n">
        <v>5851.85548873591</v>
      </c>
      <c r="W58" t="n">
        <v>5204.89415615259</v>
      </c>
      <c r="X58" t="n">
        <v>5067.98826999479</v>
      </c>
      <c r="Y58" t="n">
        <v>5332.65172697168</v>
      </c>
      <c r="Z58" t="n">
        <v>5289.31564839831</v>
      </c>
      <c r="AA58" t="n">
        <v>5371.70157283018</v>
      </c>
      <c r="AB58" t="n">
        <v>6083.9539476222</v>
      </c>
      <c r="AC58" t="n">
        <v>5740.39766417106</v>
      </c>
      <c r="AD58" t="n">
        <v>5833.34642343606</v>
      </c>
      <c r="AE58" t="n">
        <v>5767.6</v>
      </c>
      <c r="AF58" t="n">
        <v>6189.8</v>
      </c>
    </row>
    <row r="59">
      <c r="A59" t="s">
        <v>49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51</v>
      </c>
      <c r="B2" t="s">
        <v>197</v>
      </c>
      <c r="C2" t="s">
        <v>246</v>
      </c>
      <c r="D2" t="s">
        <v>199</v>
      </c>
      <c r="E2" t="s">
        <v>247</v>
      </c>
      <c r="F2" t="n">
        <v>4.10777079890524</v>
      </c>
      <c r="G2" t="n">
        <v>2.53934922114142</v>
      </c>
      <c r="H2" t="n">
        <v>4.10777079890524</v>
      </c>
      <c r="I2" t="n">
        <v>2.9127829301328</v>
      </c>
      <c r="J2" t="n">
        <v>2.75947856538897</v>
      </c>
      <c r="K2" t="n">
        <v>4.57285019407316</v>
      </c>
      <c r="L2" t="n">
        <v>4.41516570462236</v>
      </c>
      <c r="M2" t="n">
        <v>3.79549332502624</v>
      </c>
      <c r="N2" t="n">
        <v>5.50718639317533</v>
      </c>
      <c r="O2" t="n">
        <v>7.01600458308637</v>
      </c>
      <c r="P2" t="n">
        <v>6.15849291182026</v>
      </c>
      <c r="Q2" t="n">
        <v>5.51864949241036</v>
      </c>
      <c r="R2" t="n">
        <v>4.3114449159456</v>
      </c>
      <c r="S2" t="n">
        <v>7.12708241207333</v>
      </c>
      <c r="T2" t="n">
        <v>5.8798429899605</v>
      </c>
      <c r="U2" t="n">
        <v>6.65805750333762</v>
      </c>
      <c r="V2" t="n">
        <v>7.19790000360824</v>
      </c>
      <c r="W2" t="n">
        <v>6.0905307722839</v>
      </c>
      <c r="X2" t="n">
        <v>5.35228461806767</v>
      </c>
      <c r="Y2" t="n">
        <v>4.57377049180328</v>
      </c>
      <c r="Z2" t="n">
        <v>5.38688524590164</v>
      </c>
      <c r="AA2" t="n">
        <v>6.2</v>
      </c>
      <c r="AB2" t="n">
        <v>5.2</v>
      </c>
      <c r="AC2" t="n">
        <v>4.9</v>
      </c>
      <c r="AD2" t="n">
        <v>4.9</v>
      </c>
      <c r="AE2" t="n">
        <v>4.4</v>
      </c>
      <c r="AF2" t="n">
        <v>4.3</v>
      </c>
    </row>
    <row r="3">
      <c r="A3" t="s">
        <v>51</v>
      </c>
      <c r="B3" t="s">
        <v>276</v>
      </c>
      <c r="C3" t="s">
        <v>246</v>
      </c>
      <c r="D3" t="s">
        <v>277</v>
      </c>
      <c r="E3" t="s">
        <v>247</v>
      </c>
      <c r="F3" t="n">
        <v>50.8807152993915</v>
      </c>
      <c r="G3" t="n">
        <v>13.8959936742035</v>
      </c>
      <c r="H3" t="n">
        <v>9.50399567354854</v>
      </c>
      <c r="I3" t="n">
        <v>11.3902848911994</v>
      </c>
      <c r="J3" t="n">
        <v>22.2594456370498</v>
      </c>
      <c r="K3" t="n">
        <v>33.0106064549446</v>
      </c>
      <c r="L3" t="n">
        <v>21.5319183012934</v>
      </c>
      <c r="M3" t="n">
        <v>9.29117022590058</v>
      </c>
      <c r="N3" t="n">
        <v>10.9477354599759</v>
      </c>
      <c r="O3" t="n">
        <v>39.088558823538</v>
      </c>
      <c r="P3" t="n">
        <v>28.2897740901871</v>
      </c>
      <c r="Q3" t="n">
        <v>22.6630786910338</v>
      </c>
      <c r="R3" t="n">
        <v>18.7876079855039</v>
      </c>
      <c r="S3" t="n">
        <v>9.39380399275194</v>
      </c>
      <c r="T3" t="n">
        <v>15.1344619883226</v>
      </c>
      <c r="U3" t="n">
        <v>26.6776957082296</v>
      </c>
      <c r="V3" t="n">
        <v>28.3672831030842</v>
      </c>
      <c r="W3" t="n">
        <v>75.9188506124207</v>
      </c>
      <c r="X3" t="n">
        <v>67.6845056711451</v>
      </c>
      <c r="Y3" t="n">
        <v>369.617901081253</v>
      </c>
      <c r="Z3" t="n">
        <v>146.443177901356</v>
      </c>
      <c r="AA3" t="n">
        <v>293.971120083464</v>
      </c>
      <c r="AB3" t="n">
        <v>201.877860465207</v>
      </c>
      <c r="AC3" t="n">
        <v>745.924921075633</v>
      </c>
      <c r="AD3" t="n">
        <v>1076.67899455089</v>
      </c>
      <c r="AE3" t="n">
        <v>560.2</v>
      </c>
      <c r="AF3" t="n">
        <v>561.2</v>
      </c>
    </row>
    <row r="4">
      <c r="A4" t="s">
        <v>51</v>
      </c>
      <c r="B4" t="s">
        <v>278</v>
      </c>
      <c r="C4" t="s">
        <v>246</v>
      </c>
      <c r="D4" t="s">
        <v>279</v>
      </c>
      <c r="E4" t="s">
        <v>247</v>
      </c>
      <c r="F4" t="n">
        <v>362.027882185686</v>
      </c>
      <c r="G4" t="n">
        <v>288.072078321393</v>
      </c>
      <c r="H4" t="n">
        <v>496.936947717289</v>
      </c>
      <c r="I4" t="n">
        <v>420.800467807746</v>
      </c>
      <c r="J4" t="n">
        <v>368.71344412805</v>
      </c>
      <c r="K4" t="n">
        <v>486.622632986823</v>
      </c>
      <c r="L4" t="n">
        <v>548.959837522666</v>
      </c>
      <c r="M4" t="n">
        <v>376.72841707575</v>
      </c>
      <c r="N4" t="n">
        <v>445.500899055373</v>
      </c>
      <c r="O4" t="n">
        <v>573.596202978644</v>
      </c>
      <c r="P4" t="n">
        <v>493.272958005107</v>
      </c>
      <c r="Q4" t="n">
        <v>604.345173722891</v>
      </c>
      <c r="R4" t="n">
        <v>578.646226646849</v>
      </c>
      <c r="S4" t="n">
        <v>519.812476612798</v>
      </c>
      <c r="T4" t="n">
        <v>376.461005694432</v>
      </c>
      <c r="U4" t="n">
        <v>608.536536081701</v>
      </c>
      <c r="V4" t="n">
        <v>647.352835347166</v>
      </c>
      <c r="W4" t="n">
        <v>500.909380955015</v>
      </c>
      <c r="X4" t="n">
        <v>440.61557149974</v>
      </c>
      <c r="Y4" t="n">
        <v>431.156241926967</v>
      </c>
      <c r="Z4" t="n">
        <v>455.634915693914</v>
      </c>
      <c r="AA4" t="n">
        <v>581.898758969127</v>
      </c>
      <c r="AB4" t="n">
        <v>444.709512938718</v>
      </c>
      <c r="AC4" t="n">
        <v>450.615349763933</v>
      </c>
      <c r="AD4" t="n">
        <v>444.577279375914</v>
      </c>
      <c r="AE4" t="n">
        <v>404</v>
      </c>
      <c r="AF4" t="n">
        <v>364</v>
      </c>
    </row>
    <row r="5">
      <c r="A5" t="s">
        <v>51</v>
      </c>
      <c r="B5" t="s">
        <v>280</v>
      </c>
      <c r="C5" t="s">
        <v>246</v>
      </c>
      <c r="D5" t="s">
        <v>281</v>
      </c>
      <c r="E5" t="s">
        <v>247</v>
      </c>
      <c r="F5" t="n">
        <v>53.1534841748504</v>
      </c>
      <c r="G5" t="n">
        <v>38.3249515276886</v>
      </c>
      <c r="H5" t="n">
        <v>49.5543796690719</v>
      </c>
      <c r="I5" t="n">
        <v>45.2421253910848</v>
      </c>
      <c r="J5" t="n">
        <v>60.2234552158097</v>
      </c>
      <c r="K5" t="n">
        <v>63.8641678736924</v>
      </c>
      <c r="L5" t="n">
        <v>70.6342210051793</v>
      </c>
      <c r="M5" t="n">
        <v>45.4869590766338</v>
      </c>
      <c r="N5" t="n">
        <v>58.8442407102484</v>
      </c>
      <c r="O5" t="n">
        <v>84.5243956336736</v>
      </c>
      <c r="P5" t="n">
        <v>71.6256997111202</v>
      </c>
      <c r="Q5" t="n">
        <v>86.5574416704416</v>
      </c>
      <c r="R5" t="n">
        <v>80.1054348857136</v>
      </c>
      <c r="S5" t="n">
        <v>76.4253775138272</v>
      </c>
      <c r="T5" t="n">
        <v>63.8182333278148</v>
      </c>
      <c r="U5" t="n">
        <v>81.5407867753254</v>
      </c>
      <c r="V5" t="n">
        <v>86.770032883743</v>
      </c>
      <c r="W5" t="n">
        <v>83.956360269312</v>
      </c>
      <c r="X5" t="n">
        <v>70.5811812382483</v>
      </c>
      <c r="Y5" t="n">
        <v>76.5258529200794</v>
      </c>
      <c r="Z5" t="n">
        <v>95.9007189901758</v>
      </c>
      <c r="AA5" t="n">
        <v>121.526810395567</v>
      </c>
      <c r="AB5" t="n">
        <v>81.5418372096368</v>
      </c>
      <c r="AC5" t="n">
        <v>65.8039675431206</v>
      </c>
      <c r="AD5" t="n">
        <v>115.546315789474</v>
      </c>
      <c r="AE5" t="n">
        <v>112.2</v>
      </c>
      <c r="AF5" t="n">
        <v>85.7</v>
      </c>
    </row>
    <row r="6">
      <c r="A6" t="s">
        <v>51</v>
      </c>
      <c r="B6" t="s">
        <v>282</v>
      </c>
      <c r="C6" t="s">
        <v>246</v>
      </c>
      <c r="D6" t="s">
        <v>283</v>
      </c>
      <c r="E6" t="s">
        <v>247</v>
      </c>
      <c r="F6" t="n">
        <v>37.172063888706</v>
      </c>
      <c r="G6" t="n">
        <v>22.9634371513242</v>
      </c>
      <c r="H6" t="n">
        <v>40.9853751688191</v>
      </c>
      <c r="I6" t="n">
        <v>48.9914789204343</v>
      </c>
      <c r="J6" t="n">
        <v>34.4588383844033</v>
      </c>
      <c r="K6" t="n">
        <v>51.2698831591343</v>
      </c>
      <c r="L6" t="n">
        <v>61.3879455204362</v>
      </c>
      <c r="M6" t="n">
        <v>35.184868411955</v>
      </c>
      <c r="N6" t="n">
        <v>44.8860461222471</v>
      </c>
      <c r="O6" t="n">
        <v>48.9331486414661</v>
      </c>
      <c r="P6" t="n">
        <v>46.3497215392769</v>
      </c>
      <c r="Q6" t="n">
        <v>59.5924991219274</v>
      </c>
      <c r="R6" t="n">
        <v>80.5462611197922</v>
      </c>
      <c r="S6" t="n">
        <v>27.9900397302572</v>
      </c>
      <c r="T6" t="n">
        <v>42.5066131307323</v>
      </c>
      <c r="U6" t="n">
        <v>56.3063552693668</v>
      </c>
      <c r="V6" t="n">
        <v>59.9418837198298</v>
      </c>
      <c r="W6" t="n">
        <v>53.1303060243946</v>
      </c>
      <c r="X6" t="n">
        <v>49.8774301453501</v>
      </c>
      <c r="Y6" t="n">
        <v>34.5741277143904</v>
      </c>
      <c r="Z6" t="n">
        <v>37.3984930769744</v>
      </c>
      <c r="AA6" t="n">
        <v>43.8940208219226</v>
      </c>
      <c r="AB6" t="n">
        <v>49.000260380625</v>
      </c>
      <c r="AC6" t="n">
        <v>54.1167534324171</v>
      </c>
      <c r="AD6" t="n">
        <v>38.2515901060071</v>
      </c>
      <c r="AE6" t="n">
        <v>27.9</v>
      </c>
      <c r="AF6" t="n">
        <v>29.3</v>
      </c>
    </row>
    <row r="7">
      <c r="A7" t="s">
        <v>51</v>
      </c>
      <c r="B7" t="s">
        <v>284</v>
      </c>
      <c r="C7" t="s">
        <v>246</v>
      </c>
      <c r="D7" t="s">
        <v>285</v>
      </c>
      <c r="E7" t="s">
        <v>247</v>
      </c>
      <c r="F7" t="n">
        <v>28.3240135579653</v>
      </c>
      <c r="G7" t="n">
        <v>39.7253253445893</v>
      </c>
      <c r="H7" t="n">
        <v>30.8651979368381</v>
      </c>
      <c r="I7" t="n">
        <v>45.082341616575</v>
      </c>
      <c r="J7" t="n">
        <v>30.5057178272158</v>
      </c>
      <c r="K7" t="n">
        <v>52.8101497059087</v>
      </c>
      <c r="L7" t="n">
        <v>58.433100897617</v>
      </c>
      <c r="M7" t="n">
        <v>50.4377789077896</v>
      </c>
      <c r="N7" t="n">
        <v>51.8955181825812</v>
      </c>
      <c r="O7" t="n">
        <v>46.8542392734162</v>
      </c>
      <c r="P7" t="n">
        <v>63.4180947285027</v>
      </c>
      <c r="Q7" t="n">
        <v>52.87463977364</v>
      </c>
      <c r="R7" t="n">
        <v>51.1799397808951</v>
      </c>
      <c r="S7" t="n">
        <v>42.6932492588516</v>
      </c>
      <c r="T7" t="n">
        <v>36.09120040439</v>
      </c>
      <c r="U7" t="n">
        <v>62.8796570291282</v>
      </c>
      <c r="V7" t="n">
        <v>66.9104042745851</v>
      </c>
      <c r="W7" t="n">
        <v>37.3560144578274</v>
      </c>
      <c r="X7" t="n">
        <v>30.6885595545966</v>
      </c>
      <c r="Y7" t="n">
        <v>24.4743652522639</v>
      </c>
      <c r="Z7" t="n">
        <v>24.9658183697793</v>
      </c>
      <c r="AA7" t="n">
        <v>49.4343096803996</v>
      </c>
      <c r="AB7" t="n">
        <v>30.9088268943581</v>
      </c>
      <c r="AC7" t="n">
        <v>33.1873622102883</v>
      </c>
      <c r="AD7" t="n">
        <v>23.8870689655172</v>
      </c>
      <c r="AE7" t="n">
        <v>22.9</v>
      </c>
      <c r="AF7" t="n">
        <v>24.3</v>
      </c>
    </row>
    <row r="8">
      <c r="A8" t="s">
        <v>51</v>
      </c>
      <c r="B8" t="s">
        <v>286</v>
      </c>
      <c r="C8" t="s">
        <v>246</v>
      </c>
      <c r="D8" t="s">
        <v>287</v>
      </c>
      <c r="E8" t="s">
        <v>247</v>
      </c>
      <c r="F8" t="n">
        <v>9.4732127417381</v>
      </c>
      <c r="G8" t="n">
        <v>4.33887606491821</v>
      </c>
      <c r="H8" t="n">
        <v>8.31617912442657</v>
      </c>
      <c r="I8" t="n">
        <v>7.5137407878591</v>
      </c>
      <c r="J8" t="n">
        <v>3.86846060365023</v>
      </c>
      <c r="K8" t="n">
        <v>15.1762685220124</v>
      </c>
      <c r="L8" t="n">
        <v>13.8437181152016</v>
      </c>
      <c r="M8" t="n">
        <v>5.90179561753331</v>
      </c>
      <c r="N8" t="n">
        <v>8.03497475640077</v>
      </c>
      <c r="O8" t="n">
        <v>5.28426267763294</v>
      </c>
      <c r="P8" t="n">
        <v>4.9068153435163</v>
      </c>
      <c r="Q8" t="n">
        <v>9.8136306870326</v>
      </c>
      <c r="R8" t="n">
        <v>8.80710446272156</v>
      </c>
      <c r="S8" t="n">
        <v>10.7737394398341</v>
      </c>
      <c r="T8" t="n">
        <v>6.16883467925987</v>
      </c>
      <c r="U8" t="n">
        <v>10.9855960041614</v>
      </c>
      <c r="V8" t="n">
        <v>11.6886741484277</v>
      </c>
      <c r="W8" t="n">
        <v>8.81146205035323</v>
      </c>
      <c r="X8" t="n">
        <v>6.67535003814638</v>
      </c>
      <c r="Y8" t="n">
        <v>4.51291270184544</v>
      </c>
      <c r="Z8" t="n">
        <v>6.67126225490196</v>
      </c>
      <c r="AA8" t="n">
        <v>6.37254901960784</v>
      </c>
      <c r="AB8" t="n">
        <v>4.80392156862745</v>
      </c>
      <c r="AC8" t="n">
        <v>4.90196078431373</v>
      </c>
      <c r="AD8" t="n">
        <v>6.07843137254902</v>
      </c>
      <c r="AE8" t="n">
        <v>5</v>
      </c>
      <c r="AF8" t="n">
        <v>3.6</v>
      </c>
    </row>
    <row r="9">
      <c r="A9" t="s">
        <v>51</v>
      </c>
      <c r="B9" t="s">
        <v>288</v>
      </c>
      <c r="C9" t="s">
        <v>246</v>
      </c>
      <c r="D9" t="s">
        <v>289</v>
      </c>
      <c r="E9" t="s">
        <v>247</v>
      </c>
      <c r="F9" t="n">
        <v>12.7057538679574</v>
      </c>
      <c r="G9" t="n">
        <v>12.4218264072209</v>
      </c>
      <c r="H9" t="n">
        <v>34.2322425408298</v>
      </c>
      <c r="I9" t="n">
        <v>27.3121763067696</v>
      </c>
      <c r="J9" t="n">
        <v>19.2307652351775</v>
      </c>
      <c r="K9" t="n">
        <v>24.6923025619679</v>
      </c>
      <c r="L9" t="n">
        <v>24.3874593204621</v>
      </c>
      <c r="M9" t="n">
        <v>18.9264638284568</v>
      </c>
      <c r="N9" t="n">
        <v>24.0417243226343</v>
      </c>
      <c r="O9" t="n">
        <v>33.094472370046</v>
      </c>
      <c r="P9" t="n">
        <v>22.6516690235814</v>
      </c>
      <c r="Q9" t="n">
        <v>46.4044608469202</v>
      </c>
      <c r="R9" t="n">
        <v>31.2467993659006</v>
      </c>
      <c r="S9" t="n">
        <v>36.6998419145204</v>
      </c>
      <c r="T9" t="n">
        <v>13.6965917192947</v>
      </c>
      <c r="U9" t="n">
        <v>33.556649712272</v>
      </c>
      <c r="V9" t="n">
        <v>35.6928820546978</v>
      </c>
      <c r="W9" t="n">
        <v>20.1227727910414</v>
      </c>
      <c r="X9" t="n">
        <v>20.2134159117217</v>
      </c>
      <c r="Y9" t="n">
        <v>28.997750864012</v>
      </c>
      <c r="Z9" t="n">
        <v>19.2669619834711</v>
      </c>
      <c r="AA9" t="n">
        <v>22.6091900826446</v>
      </c>
      <c r="AB9" t="n">
        <v>11.0096925619835</v>
      </c>
      <c r="AC9" t="n">
        <v>12.2876033057851</v>
      </c>
      <c r="AD9" t="n">
        <v>11.8</v>
      </c>
      <c r="AE9" t="n">
        <v>11.8</v>
      </c>
      <c r="AF9" t="n">
        <v>9.6</v>
      </c>
    </row>
    <row r="10">
      <c r="A10" t="s">
        <v>51</v>
      </c>
      <c r="B10" t="s">
        <v>290</v>
      </c>
      <c r="C10" t="s">
        <v>246</v>
      </c>
      <c r="D10" t="s">
        <v>291</v>
      </c>
      <c r="E10" t="s">
        <v>247</v>
      </c>
      <c r="F10" t="n">
        <v>26.9948978944051</v>
      </c>
      <c r="G10" t="n">
        <v>21.8800751354652</v>
      </c>
      <c r="H10" t="n">
        <v>60.8742684461952</v>
      </c>
      <c r="I10" t="n">
        <v>35.1112769635249</v>
      </c>
      <c r="J10" t="n">
        <v>30.7691574243257</v>
      </c>
      <c r="K10" t="n">
        <v>39.5383672902585</v>
      </c>
      <c r="L10" t="n">
        <v>40.9886162835305</v>
      </c>
      <c r="M10" t="n">
        <v>30.6288561239569</v>
      </c>
      <c r="N10" t="n">
        <v>34.8787930980944</v>
      </c>
      <c r="O10" t="n">
        <v>56.5200058732447</v>
      </c>
      <c r="P10" t="n">
        <v>31.7588604430613</v>
      </c>
      <c r="Q10" t="n">
        <v>66.5911589935157</v>
      </c>
      <c r="R10" t="n">
        <v>47.5045210654379</v>
      </c>
      <c r="S10" t="n">
        <v>44.2970990226985</v>
      </c>
      <c r="T10" t="n">
        <v>21.2696388164544</v>
      </c>
      <c r="U10" t="n">
        <v>49.5719807899624</v>
      </c>
      <c r="V10" t="n">
        <v>52.7816773878736</v>
      </c>
      <c r="W10" t="n">
        <v>35.6139345696725</v>
      </c>
      <c r="X10" t="n">
        <v>31.6164521179746</v>
      </c>
      <c r="Y10" t="n">
        <v>42.218376181487</v>
      </c>
      <c r="Z10" t="n">
        <v>35.6857406060606</v>
      </c>
      <c r="AA10" t="n">
        <v>43.6706715151515</v>
      </c>
      <c r="AB10" t="n">
        <v>28.9823418181818</v>
      </c>
      <c r="AC10" t="n">
        <v>26.6164363636364</v>
      </c>
      <c r="AD10" t="n">
        <v>26.8114285714286</v>
      </c>
      <c r="AE10" t="n">
        <v>27.6</v>
      </c>
      <c r="AF10" t="n">
        <v>23.7</v>
      </c>
    </row>
    <row r="11">
      <c r="A11" t="s">
        <v>51</v>
      </c>
      <c r="B11" t="s">
        <v>292</v>
      </c>
      <c r="C11" t="s">
        <v>246</v>
      </c>
      <c r="D11" t="s">
        <v>293</v>
      </c>
      <c r="E11" t="s">
        <v>247</v>
      </c>
      <c r="F11" t="n">
        <v>14.2639292242587</v>
      </c>
      <c r="G11" t="n">
        <v>9.43832132749459</v>
      </c>
      <c r="H11" t="n">
        <v>26.5858058766832</v>
      </c>
      <c r="I11" t="n">
        <v>7.78479398599012</v>
      </c>
      <c r="J11" t="n">
        <v>11.5274834023315</v>
      </c>
      <c r="K11" t="n">
        <v>14.8320286443332</v>
      </c>
      <c r="L11" t="n">
        <v>16.5904650300016</v>
      </c>
      <c r="M11" t="n">
        <v>11.6887367256829</v>
      </c>
      <c r="N11" t="n">
        <v>10.8065679161974</v>
      </c>
      <c r="O11" t="n">
        <v>23.401809142662</v>
      </c>
      <c r="P11" t="n">
        <v>9.08359696984908</v>
      </c>
      <c r="Q11" t="n">
        <v>20.1418889331436</v>
      </c>
      <c r="R11" t="n">
        <v>16.2324927689048</v>
      </c>
      <c r="S11" t="n">
        <v>7.55201535237816</v>
      </c>
      <c r="T11" t="n">
        <v>7.55201535237816</v>
      </c>
      <c r="U11" t="n">
        <v>15.9622142675266</v>
      </c>
      <c r="V11" t="n">
        <v>17.0323068441205</v>
      </c>
      <c r="W11" t="n">
        <v>15.4755906271848</v>
      </c>
      <c r="X11" t="n">
        <v>11.3791107552829</v>
      </c>
      <c r="Y11" t="n">
        <v>13.1808032915361</v>
      </c>
      <c r="Z11" t="n">
        <v>16.4027774294671</v>
      </c>
      <c r="AA11" t="n">
        <v>21.0469373040752</v>
      </c>
      <c r="AB11" t="n">
        <v>17.9837680250784</v>
      </c>
      <c r="AC11" t="n">
        <v>14.3277272727273</v>
      </c>
      <c r="AD11" t="n">
        <v>15.01</v>
      </c>
      <c r="AE11" t="n">
        <v>15.8</v>
      </c>
      <c r="AF11" t="n">
        <v>14.1</v>
      </c>
    </row>
    <row r="12">
      <c r="A12" t="s">
        <v>51</v>
      </c>
      <c r="B12" t="s">
        <v>294</v>
      </c>
      <c r="C12" t="s">
        <v>246</v>
      </c>
      <c r="D12" t="s">
        <v>295</v>
      </c>
      <c r="E12" t="s">
        <v>247</v>
      </c>
      <c r="F12" t="n">
        <v>29.6847943254112</v>
      </c>
      <c r="G12" t="n">
        <v>23.4617169608069</v>
      </c>
      <c r="H12" t="n">
        <v>37.2925439346159</v>
      </c>
      <c r="I12" t="n">
        <v>35.6806854541413</v>
      </c>
      <c r="J12" t="n">
        <v>35.8299770250792</v>
      </c>
      <c r="K12" t="n">
        <v>36.5890867078139</v>
      </c>
      <c r="L12" t="n">
        <v>41.7838335860838</v>
      </c>
      <c r="M12" t="n">
        <v>27.8805402866435</v>
      </c>
      <c r="N12" t="n">
        <v>41.3152047770987</v>
      </c>
      <c r="O12" t="n">
        <v>54.9646329983071</v>
      </c>
      <c r="P12" t="n">
        <v>40.843884741836</v>
      </c>
      <c r="Q12" t="n">
        <v>45.5986117823932</v>
      </c>
      <c r="R12" t="n">
        <v>43.7511542147824</v>
      </c>
      <c r="S12" t="n">
        <v>48.8882760403929</v>
      </c>
      <c r="T12" t="n">
        <v>23.1805373025749</v>
      </c>
      <c r="U12" t="n">
        <v>48.6620838226848</v>
      </c>
      <c r="V12" t="n">
        <v>51.7700636288781</v>
      </c>
      <c r="W12" t="n">
        <v>44.7765638053279</v>
      </c>
      <c r="X12" t="n">
        <v>38.444524479322</v>
      </c>
      <c r="Y12" t="n">
        <v>31.3427034548167</v>
      </c>
      <c r="Z12" t="n">
        <v>31.8309075584742</v>
      </c>
      <c r="AA12" t="n">
        <v>35.3786248095735</v>
      </c>
      <c r="AB12" t="n">
        <v>30.3666529615506</v>
      </c>
      <c r="AC12" t="n">
        <v>22.7995582106141</v>
      </c>
      <c r="AD12" t="n">
        <v>29.7173728813559</v>
      </c>
      <c r="AE12" t="n">
        <v>23.3</v>
      </c>
      <c r="AF12" t="n">
        <v>21.3</v>
      </c>
    </row>
    <row r="13">
      <c r="A13" t="s">
        <v>51</v>
      </c>
      <c r="B13" t="s">
        <v>296</v>
      </c>
      <c r="C13" t="s">
        <v>246</v>
      </c>
      <c r="D13" t="s">
        <v>297</v>
      </c>
      <c r="E13" t="s">
        <v>247</v>
      </c>
      <c r="F13" t="n">
        <v>37.2422146771883</v>
      </c>
      <c r="G13" t="n">
        <v>37.3840897807205</v>
      </c>
      <c r="H13" t="n">
        <v>75.8444969255691</v>
      </c>
      <c r="I13" t="n">
        <v>58.6598451365062</v>
      </c>
      <c r="J13" t="n">
        <v>56.2187670917335</v>
      </c>
      <c r="K13" t="n">
        <v>56.9723698677621</v>
      </c>
      <c r="L13" t="n">
        <v>73.6235343245261</v>
      </c>
      <c r="M13" t="n">
        <v>52.2844422045689</v>
      </c>
      <c r="N13" t="n">
        <v>56.581793618643</v>
      </c>
      <c r="O13" t="n">
        <v>87.3850094496417</v>
      </c>
      <c r="P13" t="n">
        <v>63.9016994166631</v>
      </c>
      <c r="Q13" t="n">
        <v>65.5223946917234</v>
      </c>
      <c r="R13" t="n">
        <v>63.7762395032384</v>
      </c>
      <c r="S13" t="n">
        <v>70.4850583058427</v>
      </c>
      <c r="T13" t="n">
        <v>40.5980115241986</v>
      </c>
      <c r="U13" t="n">
        <v>81.5350461091421</v>
      </c>
      <c r="V13" t="n">
        <v>86.7356598609685</v>
      </c>
      <c r="W13" t="n">
        <v>52.9448923734662</v>
      </c>
      <c r="X13" t="n">
        <v>51.5042150299705</v>
      </c>
      <c r="Y13" t="n">
        <v>66.2869604773295</v>
      </c>
      <c r="Z13" t="n">
        <v>72.9934124904317</v>
      </c>
      <c r="AA13" t="n">
        <v>60.303183095195</v>
      </c>
      <c r="AB13" t="n">
        <v>44.2223342698096</v>
      </c>
      <c r="AC13" t="n">
        <v>38.7313127196781</v>
      </c>
      <c r="AD13" t="n">
        <v>39.0225255972696</v>
      </c>
      <c r="AE13" t="n">
        <v>28.8</v>
      </c>
      <c r="AF13" t="n">
        <v>26.2</v>
      </c>
    </row>
    <row r="14">
      <c r="A14" t="s">
        <v>51</v>
      </c>
      <c r="B14" t="s">
        <v>298</v>
      </c>
      <c r="C14" t="s">
        <v>246</v>
      </c>
      <c r="D14" t="s">
        <v>299</v>
      </c>
      <c r="E14" t="s">
        <v>247</v>
      </c>
      <c r="F14" t="n">
        <v>21.8848511479614</v>
      </c>
      <c r="G14" t="n">
        <v>20.6222635817329</v>
      </c>
      <c r="H14" t="n">
        <v>20.1955960593522</v>
      </c>
      <c r="I14" t="n">
        <v>23.8148785072648</v>
      </c>
      <c r="J14" t="n">
        <v>21.6767005607921</v>
      </c>
      <c r="K14" t="n">
        <v>14.1500684216282</v>
      </c>
      <c r="L14" t="n">
        <v>33.9152433597755</v>
      </c>
      <c r="M14" t="n">
        <v>19.0543341218695</v>
      </c>
      <c r="N14" t="n">
        <v>22.7932977986137</v>
      </c>
      <c r="O14" t="n">
        <v>30.2449528481605</v>
      </c>
      <c r="P14" t="n">
        <v>25.3424043815011</v>
      </c>
      <c r="Q14" t="n">
        <v>39.0180311361526</v>
      </c>
      <c r="R14" t="n">
        <v>40.6819130609352</v>
      </c>
      <c r="S14" t="n">
        <v>18.260148868687</v>
      </c>
      <c r="T14" t="n">
        <v>19.6382733116068</v>
      </c>
      <c r="U14" t="n">
        <v>33.1819100782321</v>
      </c>
      <c r="V14" t="n">
        <v>35.2999043385448</v>
      </c>
      <c r="W14" t="n">
        <v>20.2229630993198</v>
      </c>
      <c r="X14" t="n">
        <v>18.6950058873712</v>
      </c>
      <c r="Y14" t="n">
        <v>12.7764864355904</v>
      </c>
      <c r="Z14" t="n">
        <v>13.2604442551203</v>
      </c>
      <c r="AA14" t="n">
        <v>18.6628474701693</v>
      </c>
      <c r="AB14" t="n">
        <v>21.609612860196</v>
      </c>
      <c r="AC14" t="n">
        <v>28.714143115603</v>
      </c>
      <c r="AD14" t="n">
        <v>22.7766423357664</v>
      </c>
      <c r="AE14" t="n">
        <v>26.9</v>
      </c>
      <c r="AF14" t="n">
        <v>22.8</v>
      </c>
    </row>
    <row r="15">
      <c r="A15" t="s">
        <v>51</v>
      </c>
      <c r="B15" t="s">
        <v>300</v>
      </c>
      <c r="C15" t="s">
        <v>246</v>
      </c>
      <c r="D15" t="s">
        <v>301</v>
      </c>
      <c r="E15" t="s">
        <v>247</v>
      </c>
      <c r="F15" t="n">
        <v>25.5482339565893</v>
      </c>
      <c r="G15" t="n">
        <v>37.9309434508693</v>
      </c>
      <c r="H15" t="n">
        <v>48.8198644795409</v>
      </c>
      <c r="I15" t="n">
        <v>43.2404513961648</v>
      </c>
      <c r="J15" t="n">
        <v>31.71963908646</v>
      </c>
      <c r="K15" t="n">
        <v>35.989590501945</v>
      </c>
      <c r="L15" t="n">
        <v>63.8720521960834</v>
      </c>
      <c r="M15" t="n">
        <v>32.0104690493192</v>
      </c>
      <c r="N15" t="n">
        <v>42.8983836919447</v>
      </c>
      <c r="O15" t="n">
        <v>54.3232109638544</v>
      </c>
      <c r="P15" t="n">
        <v>50.975562108939</v>
      </c>
      <c r="Q15" t="n">
        <v>61.1083191030706</v>
      </c>
      <c r="R15" t="n">
        <v>66.2216352420107</v>
      </c>
      <c r="S15" t="n">
        <v>34.4797403133466</v>
      </c>
      <c r="T15" t="n">
        <v>40.9066944271694</v>
      </c>
      <c r="U15" t="n">
        <v>60.0817074399051</v>
      </c>
      <c r="V15" t="n">
        <v>63.8978277056598</v>
      </c>
      <c r="W15" t="n">
        <v>36.1754415744703</v>
      </c>
      <c r="X15" t="n">
        <v>27.9455286162783</v>
      </c>
      <c r="Y15" t="n">
        <v>26.3405489322353</v>
      </c>
      <c r="Z15" t="n">
        <v>25.0769801642683</v>
      </c>
      <c r="AA15" t="n">
        <v>30.3873994931721</v>
      </c>
      <c r="AB15" t="n">
        <v>31.6658337760564</v>
      </c>
      <c r="AC15" t="n">
        <v>38.176565954311</v>
      </c>
      <c r="AD15" t="n">
        <v>31.3593220338983</v>
      </c>
      <c r="AE15" t="n">
        <v>34.8</v>
      </c>
      <c r="AF15" t="n">
        <v>30</v>
      </c>
    </row>
    <row r="16">
      <c r="A16" t="s">
        <v>51</v>
      </c>
      <c r="B16" t="s">
        <v>302</v>
      </c>
      <c r="C16" t="s">
        <v>246</v>
      </c>
      <c r="D16" t="s">
        <v>303</v>
      </c>
      <c r="E16" t="s">
        <v>247</v>
      </c>
      <c r="F16" t="n">
        <v>3.41944147249842</v>
      </c>
      <c r="G16" t="n">
        <v>17.3882236580239</v>
      </c>
      <c r="H16" t="n">
        <v>28.9558131254381</v>
      </c>
      <c r="I16" t="n">
        <v>19.5039155767199</v>
      </c>
      <c r="J16" t="n">
        <v>9.94317264695527</v>
      </c>
      <c r="K16" t="n">
        <v>22.061414310432</v>
      </c>
      <c r="L16" t="n">
        <v>30.0837467869527</v>
      </c>
      <c r="M16" t="n">
        <v>12.9579866513071</v>
      </c>
      <c r="N16" t="n">
        <v>20.1732292185122</v>
      </c>
      <c r="O16" t="n">
        <v>24.1331593984423</v>
      </c>
      <c r="P16" t="n">
        <v>25.7523170577627</v>
      </c>
      <c r="Q16" t="n">
        <v>22.0395596905393</v>
      </c>
      <c r="R16" t="n">
        <v>25.5150287186628</v>
      </c>
      <c r="S16" t="n">
        <v>16.2604250817241</v>
      </c>
      <c r="T16" t="n">
        <v>21.3582880803187</v>
      </c>
      <c r="U16" t="n">
        <v>26.9562264884667</v>
      </c>
      <c r="V16" t="n">
        <v>28.6577823133201</v>
      </c>
      <c r="W16" t="n">
        <v>15.9822247516593</v>
      </c>
      <c r="X16" t="n">
        <v>9.22402685667192</v>
      </c>
      <c r="Y16" t="n">
        <v>13.5983076340627</v>
      </c>
      <c r="Z16" t="n">
        <v>11.8373757102273</v>
      </c>
      <c r="AA16" t="n">
        <v>11.738730912642</v>
      </c>
      <c r="AB16" t="n">
        <v>10.0617693536932</v>
      </c>
      <c r="AC16" t="n">
        <v>9.46990056818182</v>
      </c>
      <c r="AD16" t="n">
        <v>8.59125</v>
      </c>
      <c r="AE16" t="n">
        <v>7.9</v>
      </c>
      <c r="AF16" t="n">
        <v>7.2</v>
      </c>
    </row>
    <row r="17">
      <c r="A17" t="s">
        <v>51</v>
      </c>
      <c r="B17" t="s">
        <v>304</v>
      </c>
      <c r="C17" t="s">
        <v>246</v>
      </c>
      <c r="D17" t="s">
        <v>305</v>
      </c>
      <c r="E17" t="s">
        <v>247</v>
      </c>
      <c r="F17" t="n">
        <v>31.9238150181098</v>
      </c>
      <c r="G17" t="n">
        <v>20.1028014748186</v>
      </c>
      <c r="H17" t="n">
        <v>46.2364433920827</v>
      </c>
      <c r="I17" t="n">
        <v>27.537344642678</v>
      </c>
      <c r="J17" t="n">
        <v>34.9798702217802</v>
      </c>
      <c r="K17" t="n">
        <v>52.2042314806611</v>
      </c>
      <c r="L17" t="n">
        <v>46.4037613161432</v>
      </c>
      <c r="M17" t="n">
        <v>36.6345484074815</v>
      </c>
      <c r="N17" t="n">
        <v>34.5390811415703</v>
      </c>
      <c r="O17" t="n">
        <v>53.7927816928286</v>
      </c>
      <c r="P17" t="n">
        <v>46.042974160811</v>
      </c>
      <c r="Q17" t="n">
        <v>55.3918014015848</v>
      </c>
      <c r="R17" t="n">
        <v>52.4543573878644</v>
      </c>
      <c r="S17" t="n">
        <v>73.1961130869872</v>
      </c>
      <c r="T17" t="n">
        <v>26.4028836492347</v>
      </c>
      <c r="U17" t="n">
        <v>58.0179870479946</v>
      </c>
      <c r="V17" t="n">
        <v>61.6607703082822</v>
      </c>
      <c r="W17" t="n">
        <v>52.7481515911559</v>
      </c>
      <c r="X17" t="n">
        <v>49.7624071614678</v>
      </c>
      <c r="Y17" t="n">
        <v>52.7840334027713</v>
      </c>
      <c r="Z17" t="n">
        <v>49.76502042217</v>
      </c>
      <c r="AA17" t="n">
        <v>111.749570611368</v>
      </c>
      <c r="AB17" t="n">
        <v>86.1198360511157</v>
      </c>
      <c r="AC17" t="n">
        <v>105.388657815977</v>
      </c>
      <c r="AD17" t="n">
        <v>64.5554140127389</v>
      </c>
      <c r="AE17" t="n">
        <v>61.8</v>
      </c>
      <c r="AF17" t="n">
        <v>60.3</v>
      </c>
    </row>
    <row r="18">
      <c r="A18" t="s">
        <v>51</v>
      </c>
      <c r="B18" t="s">
        <v>306</v>
      </c>
      <c r="C18" t="s">
        <v>246</v>
      </c>
      <c r="D18" t="s">
        <v>307</v>
      </c>
      <c r="E18" t="s">
        <v>247</v>
      </c>
      <c r="F18" t="n">
        <v>45.0977673974198</v>
      </c>
      <c r="G18" t="n">
        <v>17.5264748871693</v>
      </c>
      <c r="H18" t="n">
        <v>55.2048480251729</v>
      </c>
      <c r="I18" t="n">
        <v>26.4340674406251</v>
      </c>
      <c r="J18" t="n">
        <v>27.3993564201985</v>
      </c>
      <c r="K18" t="n">
        <v>46.0461406506114</v>
      </c>
      <c r="L18" t="n">
        <v>41.5924975385031</v>
      </c>
      <c r="M18" t="n">
        <v>30.3973689675335</v>
      </c>
      <c r="N18" t="n">
        <v>33.7266046163586</v>
      </c>
      <c r="O18" t="n">
        <v>37.7679188950072</v>
      </c>
      <c r="P18" t="n">
        <v>37.8439106835283</v>
      </c>
      <c r="Q18" t="n">
        <v>57.3510811389553</v>
      </c>
      <c r="R18" t="n">
        <v>39.885451743783</v>
      </c>
      <c r="S18" t="n">
        <v>50.2642467136706</v>
      </c>
      <c r="T18" t="n">
        <v>49.3931159214059</v>
      </c>
      <c r="U18" t="n">
        <v>51.0167650606909</v>
      </c>
      <c r="V18" t="n">
        <v>54.2164227996889</v>
      </c>
      <c r="W18" t="n">
        <v>54.6712585614313</v>
      </c>
      <c r="X18" t="n">
        <v>54.9428045476636</v>
      </c>
      <c r="Y18" t="n">
        <v>42.5546678940596</v>
      </c>
      <c r="Z18" t="n">
        <v>41.1913604558059</v>
      </c>
      <c r="AA18" t="n">
        <v>48.6806987204979</v>
      </c>
      <c r="AB18" t="n">
        <v>23.7514699402429</v>
      </c>
      <c r="AC18" t="n">
        <v>32.4865146703323</v>
      </c>
      <c r="AD18" t="n">
        <v>28.401384083045</v>
      </c>
      <c r="AE18" t="n">
        <v>28.5</v>
      </c>
      <c r="AF18" t="n">
        <v>25.2</v>
      </c>
    </row>
    <row r="19">
      <c r="A19" t="s">
        <v>51</v>
      </c>
      <c r="B19" t="s">
        <v>308</v>
      </c>
      <c r="C19" t="s">
        <v>246</v>
      </c>
      <c r="D19" t="s">
        <v>309</v>
      </c>
      <c r="E19" t="s">
        <v>247</v>
      </c>
      <c r="F19" t="n">
        <v>37.5467884034488</v>
      </c>
      <c r="G19" t="n">
        <v>25.0073075435184</v>
      </c>
      <c r="H19" t="n">
        <v>43.1085272479837</v>
      </c>
      <c r="I19" t="n">
        <v>47.7669101238379</v>
      </c>
      <c r="J19" t="n">
        <v>22.7138071836891</v>
      </c>
      <c r="K19" t="n">
        <v>36.2650955373477</v>
      </c>
      <c r="L19" t="n">
        <v>36.4941382460046</v>
      </c>
      <c r="M19" t="n">
        <v>30.1114185939256</v>
      </c>
      <c r="N19" t="n">
        <v>38.1704357358522</v>
      </c>
      <c r="O19" t="n">
        <v>43.3890499966132</v>
      </c>
      <c r="P19" t="n">
        <v>35.8364267289967</v>
      </c>
      <c r="Q19" t="n">
        <v>44.4403265383814</v>
      </c>
      <c r="R19" t="n">
        <v>44.6952423693855</v>
      </c>
      <c r="S19" t="n">
        <v>40.529472206802</v>
      </c>
      <c r="T19" t="n">
        <v>26.16794183787</v>
      </c>
      <c r="U19" t="n">
        <v>48.1041043026191</v>
      </c>
      <c r="V19" t="n">
        <v>51.1554840531584</v>
      </c>
      <c r="W19" t="n">
        <v>40.777441507365</v>
      </c>
      <c r="X19" t="n">
        <v>28.5259232069459</v>
      </c>
      <c r="Y19" t="n">
        <v>29.3845630359175</v>
      </c>
      <c r="Z19" t="n">
        <v>34.0035411719982</v>
      </c>
      <c r="AA19" t="n">
        <v>30.4346563842666</v>
      </c>
      <c r="AB19" t="n">
        <v>33.3002571477203</v>
      </c>
      <c r="AC19" t="n">
        <v>28.3595661762484</v>
      </c>
      <c r="AD19" t="n">
        <v>40.9746835443038</v>
      </c>
      <c r="AE19" t="n">
        <v>31.2</v>
      </c>
      <c r="AF19" t="n">
        <v>34.4</v>
      </c>
    </row>
    <row r="20">
      <c r="A20" t="s">
        <v>51</v>
      </c>
      <c r="B20" t="s">
        <v>310</v>
      </c>
      <c r="C20" t="s">
        <v>246</v>
      </c>
      <c r="D20" t="s">
        <v>311</v>
      </c>
      <c r="E20" t="s">
        <v>247</v>
      </c>
      <c r="F20" t="n">
        <v>45.9443021626704</v>
      </c>
      <c r="G20" t="n">
        <v>67.2986961256017</v>
      </c>
      <c r="H20" t="n">
        <v>49.4202088179365</v>
      </c>
      <c r="I20" t="n">
        <v>56.8992315173868</v>
      </c>
      <c r="J20" t="n">
        <v>47.0916008216267</v>
      </c>
      <c r="K20" t="n">
        <v>75.0878998561318</v>
      </c>
      <c r="L20" t="n">
        <v>118.857730928048</v>
      </c>
      <c r="M20" t="n">
        <v>45.6004395014032</v>
      </c>
      <c r="N20" t="n">
        <v>125.509781103862</v>
      </c>
      <c r="O20" t="n">
        <v>105.498842967725</v>
      </c>
      <c r="P20" t="n">
        <v>75.1498607441327</v>
      </c>
      <c r="Q20" t="n">
        <v>60.8059039216011</v>
      </c>
      <c r="R20" t="n">
        <v>52.2393262972872</v>
      </c>
      <c r="S20" t="n">
        <v>127.124271876157</v>
      </c>
      <c r="T20" t="n">
        <v>61.9055096241917</v>
      </c>
      <c r="U20" t="n">
        <v>102.263797666482</v>
      </c>
      <c r="V20" t="n">
        <v>108.755325692268</v>
      </c>
      <c r="W20" t="n">
        <v>74.7806720212327</v>
      </c>
      <c r="X20" t="n">
        <v>91.5496712017515</v>
      </c>
      <c r="Y20" t="n">
        <v>70.8160848592659</v>
      </c>
      <c r="Z20" t="n">
        <v>57.0625477171771</v>
      </c>
      <c r="AA20" t="n">
        <v>106.635020086331</v>
      </c>
      <c r="AB20" t="n">
        <v>65.2967664432873</v>
      </c>
      <c r="AC20" t="n">
        <v>65.8867974653652</v>
      </c>
      <c r="AD20" t="n">
        <v>77.2734375</v>
      </c>
      <c r="AE20" t="n">
        <v>81.9</v>
      </c>
      <c r="AF20" t="n">
        <v>99.8</v>
      </c>
    </row>
    <row r="21">
      <c r="A21" t="s">
        <v>51</v>
      </c>
      <c r="B21" t="s">
        <v>312</v>
      </c>
      <c r="C21" t="s">
        <v>246</v>
      </c>
      <c r="D21" t="s">
        <v>313</v>
      </c>
      <c r="E21" t="s">
        <v>247</v>
      </c>
      <c r="F21" t="n">
        <v>64.2340527685805</v>
      </c>
      <c r="G21" t="n">
        <v>88.429839461678</v>
      </c>
      <c r="H21" t="n">
        <v>75.3183311395182</v>
      </c>
      <c r="I21" t="n">
        <v>81.7237024094479</v>
      </c>
      <c r="J21" t="n">
        <v>76.9915394941949</v>
      </c>
      <c r="K21" t="n">
        <v>105.023181353689</v>
      </c>
      <c r="L21" t="n">
        <v>149.578470412829</v>
      </c>
      <c r="M21" t="n">
        <v>68.7614461002259</v>
      </c>
      <c r="N21" t="n">
        <v>160.104528670537</v>
      </c>
      <c r="O21" t="n">
        <v>150.877665561354</v>
      </c>
      <c r="P21" t="n">
        <v>100.737743318658</v>
      </c>
      <c r="Q21" t="n">
        <v>109.888609753661</v>
      </c>
      <c r="R21" t="n">
        <v>104.7520540487</v>
      </c>
      <c r="S21" t="n">
        <v>158.160121014417</v>
      </c>
      <c r="T21" t="n">
        <v>91.5755838801706</v>
      </c>
      <c r="U21" t="n">
        <v>145.544356419467</v>
      </c>
      <c r="V21" t="n">
        <v>154.62974464149</v>
      </c>
      <c r="W21" t="n">
        <v>135.654531139761</v>
      </c>
      <c r="X21" t="n">
        <v>121.862230983745</v>
      </c>
      <c r="Y21" t="n">
        <v>105.089591104956</v>
      </c>
      <c r="Z21" t="n">
        <v>94.2485645132737</v>
      </c>
      <c r="AA21" t="n">
        <v>150.995082413936</v>
      </c>
      <c r="AB21" t="n">
        <v>99.7786514649382</v>
      </c>
      <c r="AC21" t="n">
        <v>105.19070849706</v>
      </c>
      <c r="AD21" t="n">
        <v>126.014771048744</v>
      </c>
      <c r="AE21" t="n">
        <v>133.3</v>
      </c>
      <c r="AF21" t="n">
        <v>142.6</v>
      </c>
    </row>
    <row r="22">
      <c r="A22" t="s">
        <v>51</v>
      </c>
      <c r="B22" t="s">
        <v>314</v>
      </c>
      <c r="C22" t="s">
        <v>246</v>
      </c>
      <c r="D22" t="s">
        <v>315</v>
      </c>
      <c r="E22" t="s">
        <v>247</v>
      </c>
      <c r="F22" t="n">
        <v>18.2853553421181</v>
      </c>
      <c r="G22" t="n">
        <v>21.1040464818122</v>
      </c>
      <c r="H22" t="n">
        <v>25.9403904672275</v>
      </c>
      <c r="I22" t="n">
        <v>24.8254739715014</v>
      </c>
      <c r="J22" t="n">
        <v>29.9722185753493</v>
      </c>
      <c r="K22" t="n">
        <v>29.8951691702713</v>
      </c>
      <c r="L22" t="n">
        <v>30.5068350356476</v>
      </c>
      <c r="M22" t="n">
        <v>23.1612089091281</v>
      </c>
      <c r="N22" t="n">
        <v>34.4130264864332</v>
      </c>
      <c r="O22" t="n">
        <v>45.3389765803979</v>
      </c>
      <c r="P22" t="n">
        <v>25.512780041851</v>
      </c>
      <c r="Q22" t="n">
        <v>49.2144676733238</v>
      </c>
      <c r="R22" t="n">
        <v>52.687433550443</v>
      </c>
      <c r="S22" t="n">
        <v>30.8857369088804</v>
      </c>
      <c r="T22" t="n">
        <v>29.6573269181863</v>
      </c>
      <c r="U22" t="n">
        <v>43.2395230140513</v>
      </c>
      <c r="V22" t="n">
        <v>45.8303208805957</v>
      </c>
      <c r="W22" t="n">
        <v>60.924139134684</v>
      </c>
      <c r="X22" t="n">
        <v>30.2802064654474</v>
      </c>
      <c r="Y22" t="n">
        <v>34.2669421129358</v>
      </c>
      <c r="Z22" t="n">
        <v>37.2041085797589</v>
      </c>
      <c r="AA22" t="n">
        <v>44.3282995843936</v>
      </c>
      <c r="AB22" t="n">
        <v>34.4775663434172</v>
      </c>
      <c r="AC22" t="n">
        <v>39.3044256314956</v>
      </c>
      <c r="AD22" t="n">
        <v>48.7413793103448</v>
      </c>
      <c r="AE22" t="n">
        <v>51.4</v>
      </c>
      <c r="AF22" t="n">
        <v>42.8</v>
      </c>
    </row>
    <row r="23">
      <c r="A23" t="s">
        <v>51</v>
      </c>
      <c r="B23" t="s">
        <v>316</v>
      </c>
      <c r="C23" t="s">
        <v>246</v>
      </c>
      <c r="D23" t="s">
        <v>317</v>
      </c>
      <c r="E23" t="s">
        <v>247</v>
      </c>
      <c r="F23" t="n">
        <v>119.829447462429</v>
      </c>
      <c r="G23" t="n">
        <v>63.3169345826581</v>
      </c>
      <c r="H23" t="n">
        <v>129.169444348832</v>
      </c>
      <c r="I23" t="n">
        <v>109.460663560497</v>
      </c>
      <c r="J23" t="n">
        <v>61.6090073591866</v>
      </c>
      <c r="K23" t="n">
        <v>90.5477252782112</v>
      </c>
      <c r="L23" t="n">
        <v>123.398651463384</v>
      </c>
      <c r="M23" t="n">
        <v>80.9548579353888</v>
      </c>
      <c r="N23" t="n">
        <v>128.456098369749</v>
      </c>
      <c r="O23" t="n">
        <v>99.0105743881449</v>
      </c>
      <c r="P23" t="n">
        <v>93.6792357672448</v>
      </c>
      <c r="Q23" t="n">
        <v>117.255176768668</v>
      </c>
      <c r="R23" t="n">
        <v>125.324350223716</v>
      </c>
      <c r="S23" t="n">
        <v>107.72743803477</v>
      </c>
      <c r="T23" t="n">
        <v>77.5463096460812</v>
      </c>
      <c r="U23" t="n">
        <v>137.052628845279</v>
      </c>
      <c r="V23" t="n">
        <v>145.768500115128</v>
      </c>
      <c r="W23" t="n">
        <v>90.137923244208</v>
      </c>
      <c r="X23" t="n">
        <v>66.6748859374242</v>
      </c>
      <c r="Y23" t="n">
        <v>88.5525828856415</v>
      </c>
      <c r="Z23" t="n">
        <v>185.111022217394</v>
      </c>
      <c r="AA23" t="n">
        <v>214.744590341843</v>
      </c>
      <c r="AB23" t="n">
        <v>189.636900962123</v>
      </c>
      <c r="AC23" t="n">
        <v>184.218703791777</v>
      </c>
      <c r="AD23" t="n">
        <v>137.82288209607</v>
      </c>
      <c r="AE23" t="n">
        <v>112.8</v>
      </c>
      <c r="AF23" t="n">
        <v>126</v>
      </c>
    </row>
    <row r="24">
      <c r="A24" t="s">
        <v>51</v>
      </c>
      <c r="B24" t="s">
        <v>318</v>
      </c>
      <c r="C24" t="s">
        <v>246</v>
      </c>
      <c r="D24" t="s">
        <v>319</v>
      </c>
      <c r="E24" t="s">
        <v>247</v>
      </c>
      <c r="F24" t="n">
        <v>306.90389135976</v>
      </c>
      <c r="G24" t="n">
        <v>238.671171935544</v>
      </c>
      <c r="H24" t="n">
        <v>511.055009408764</v>
      </c>
      <c r="I24" t="n">
        <v>404.872229277807</v>
      </c>
      <c r="J24" t="n">
        <v>326.394134254418</v>
      </c>
      <c r="K24" t="n">
        <v>405.178925281346</v>
      </c>
      <c r="L24" t="n">
        <v>379.987234841292</v>
      </c>
      <c r="M24" t="n">
        <v>313.667309883618</v>
      </c>
      <c r="N24" t="n">
        <v>499.929871031658</v>
      </c>
      <c r="O24" t="n">
        <v>448.481633789353</v>
      </c>
      <c r="P24" t="n">
        <v>450.305347650916</v>
      </c>
      <c r="Q24" t="n">
        <v>506.398747358296</v>
      </c>
      <c r="R24" t="n">
        <v>532.150679682132</v>
      </c>
      <c r="S24" t="n">
        <v>470.03359020064</v>
      </c>
      <c r="T24" t="n">
        <v>241.330939122841</v>
      </c>
      <c r="U24" t="n">
        <v>545.513814266351</v>
      </c>
      <c r="V24" t="n">
        <v>580.424566425067</v>
      </c>
      <c r="W24" t="n">
        <v>412.938418025608</v>
      </c>
      <c r="X24" t="n">
        <v>301.693061657026</v>
      </c>
      <c r="Y24" t="n">
        <v>265.092680822772</v>
      </c>
      <c r="Z24" t="n">
        <v>295.425213470264</v>
      </c>
      <c r="AA24" t="n">
        <v>349.972840531718</v>
      </c>
      <c r="AB24" t="n">
        <v>305.722270641504</v>
      </c>
      <c r="AC24" t="n">
        <v>327.369808311646</v>
      </c>
      <c r="AD24" t="n">
        <v>294.944422776911</v>
      </c>
      <c r="AE24" t="n">
        <v>252.5</v>
      </c>
      <c r="AF24" t="n">
        <v>198.3</v>
      </c>
    </row>
    <row r="25">
      <c r="A25" t="s">
        <v>51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51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51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51</v>
      </c>
      <c r="B28" t="s">
        <v>326</v>
      </c>
      <c r="C28" t="s">
        <v>246</v>
      </c>
      <c r="D28" t="s">
        <v>327</v>
      </c>
      <c r="E28" t="s">
        <v>247</v>
      </c>
      <c r="F28" t="n">
        <v>210.696140705258</v>
      </c>
      <c r="G28" t="n">
        <v>246.051211286501</v>
      </c>
      <c r="H28" t="n">
        <v>340.07844199911</v>
      </c>
      <c r="I28" t="n">
        <v>349.59624554268</v>
      </c>
      <c r="J28" t="n">
        <v>347.056443758823</v>
      </c>
      <c r="K28" t="n">
        <v>295.165123468263</v>
      </c>
      <c r="L28" t="n">
        <v>307.447971342996</v>
      </c>
      <c r="M28" t="n">
        <v>429.672050487538</v>
      </c>
      <c r="N28" t="n">
        <v>249.871490019569</v>
      </c>
      <c r="O28" t="n">
        <v>294.00101264718</v>
      </c>
      <c r="P28" t="n">
        <v>431.054687189577</v>
      </c>
      <c r="Q28" t="n">
        <v>596.719194023497</v>
      </c>
      <c r="R28" t="n">
        <v>666.216273518507</v>
      </c>
      <c r="S28" t="n">
        <v>496.686878637818</v>
      </c>
      <c r="T28" t="n">
        <v>261.789754852384</v>
      </c>
      <c r="U28" t="n">
        <v>470.07814846212</v>
      </c>
      <c r="V28" t="n">
        <v>496.001249378256</v>
      </c>
      <c r="W28" t="n">
        <v>236.407561573504</v>
      </c>
      <c r="X28" t="n">
        <v>207.00363600466</v>
      </c>
      <c r="Y28" t="n">
        <v>289.332479365418</v>
      </c>
      <c r="Z28" t="n">
        <v>364.980054832926</v>
      </c>
      <c r="AA28" t="n">
        <v>287.664636570561</v>
      </c>
      <c r="AB28" t="n">
        <v>247.271686235576</v>
      </c>
      <c r="AC28" t="n">
        <v>321.531878402585</v>
      </c>
      <c r="AD28" t="n">
        <v>525.859887111947</v>
      </c>
      <c r="AE28" t="n">
        <v>523.3</v>
      </c>
      <c r="AF28" t="n">
        <v>687.3</v>
      </c>
    </row>
    <row r="29">
      <c r="A29" t="s">
        <v>51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51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51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51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51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51</v>
      </c>
      <c r="B34" t="s">
        <v>338</v>
      </c>
      <c r="C34" t="s">
        <v>246</v>
      </c>
      <c r="D34" t="s">
        <v>339</v>
      </c>
      <c r="E34" t="s">
        <v>247</v>
      </c>
      <c r="F34" t="n">
        <v>536.528647772342</v>
      </c>
      <c r="G34" t="n">
        <v>779.413726560591</v>
      </c>
      <c r="H34" t="n">
        <v>301.114129295196</v>
      </c>
      <c r="I34" t="n">
        <v>607.130967378431</v>
      </c>
      <c r="J34" t="n">
        <v>570.868751556148</v>
      </c>
      <c r="K34" t="n">
        <v>841.252260116097</v>
      </c>
      <c r="L34" t="n">
        <v>1142.45344125643</v>
      </c>
      <c r="M34" t="n">
        <v>449.2627972003</v>
      </c>
      <c r="N34" t="n">
        <v>654.12374124948</v>
      </c>
      <c r="O34" t="n">
        <v>1006.60987771025</v>
      </c>
      <c r="P34" t="n">
        <v>888.694674283098</v>
      </c>
      <c r="Q34" t="n">
        <v>793.421744177187</v>
      </c>
      <c r="R34" t="n">
        <v>845.349007831837</v>
      </c>
      <c r="S34" t="n">
        <v>569.134839264913</v>
      </c>
      <c r="T34" t="n">
        <v>761.487786011576</v>
      </c>
      <c r="U34" t="n">
        <v>961.358052527228</v>
      </c>
      <c r="V34" t="n">
        <v>1022.46432933236</v>
      </c>
      <c r="W34" t="n">
        <v>579.002264786518</v>
      </c>
      <c r="X34" t="n">
        <v>368.291420262051</v>
      </c>
      <c r="Y34" t="n">
        <v>303.332189011723</v>
      </c>
      <c r="Z34" t="n">
        <v>382.79722727741</v>
      </c>
      <c r="AA34" t="n">
        <v>380.627286798126</v>
      </c>
      <c r="AB34" t="n">
        <v>367.847961569883</v>
      </c>
      <c r="AC34" t="n">
        <v>413.005012749497</v>
      </c>
      <c r="AD34" t="n">
        <v>381.557436342593</v>
      </c>
      <c r="AE34" t="n">
        <v>340.3</v>
      </c>
      <c r="AF34" t="n">
        <v>316.3</v>
      </c>
    </row>
    <row r="35">
      <c r="A35" t="s">
        <v>51</v>
      </c>
      <c r="B35" t="s">
        <v>340</v>
      </c>
      <c r="C35" t="s">
        <v>246</v>
      </c>
      <c r="D35" t="s">
        <v>341</v>
      </c>
      <c r="E35" t="s">
        <v>247</v>
      </c>
      <c r="F35" t="n">
        <v>1244.42095841884</v>
      </c>
      <c r="G35" t="n">
        <v>1451.69337200438</v>
      </c>
      <c r="H35" t="n">
        <v>2086.25292432512</v>
      </c>
      <c r="I35" t="n">
        <v>1942.02502353481</v>
      </c>
      <c r="J35" t="n">
        <v>2074.79391236647</v>
      </c>
      <c r="K35" t="n">
        <v>2276.99228632022</v>
      </c>
      <c r="L35" t="n">
        <v>1737.30600020699</v>
      </c>
      <c r="M35" t="n">
        <v>2553.46369029741</v>
      </c>
      <c r="N35" t="n">
        <v>1835.04010589936</v>
      </c>
      <c r="O35" t="n">
        <v>2141.82267633528</v>
      </c>
      <c r="P35" t="n">
        <v>2637.19938511573</v>
      </c>
      <c r="Q35" t="n">
        <v>2047.33128137989</v>
      </c>
      <c r="R35" t="n">
        <v>2204.86989793719</v>
      </c>
      <c r="S35" t="n">
        <v>2534.54286026809</v>
      </c>
      <c r="T35" t="n">
        <v>1977.97388865163</v>
      </c>
      <c r="U35" t="n">
        <v>2887.98353309621</v>
      </c>
      <c r="V35" t="n">
        <v>3062.95634582622</v>
      </c>
      <c r="W35" t="n">
        <v>3791.80302460863</v>
      </c>
      <c r="X35" t="n">
        <v>4087.9132388562</v>
      </c>
      <c r="Y35" t="n">
        <v>3772.3968128642</v>
      </c>
      <c r="Z35" t="n">
        <v>4464.54393980778</v>
      </c>
      <c r="AA35" t="n">
        <v>3436.02440779835</v>
      </c>
      <c r="AB35" t="n">
        <v>4869.48684739246</v>
      </c>
      <c r="AC35" t="n">
        <v>4780.05994183698</v>
      </c>
      <c r="AD35" t="n">
        <v>4278.57131174202</v>
      </c>
      <c r="AE35" t="n">
        <v>4238.2</v>
      </c>
      <c r="AF35" t="n">
        <v>4308.2</v>
      </c>
    </row>
    <row r="36">
      <c r="A36" t="s">
        <v>51</v>
      </c>
      <c r="B36" t="s">
        <v>342</v>
      </c>
      <c r="C36" t="s">
        <v>246</v>
      </c>
      <c r="D36" t="s">
        <v>343</v>
      </c>
      <c r="E36" t="s">
        <v>247</v>
      </c>
      <c r="F36" t="n">
        <v>212.993885130001</v>
      </c>
      <c r="G36" t="n">
        <v>297.621555877306</v>
      </c>
      <c r="H36" t="n">
        <v>424.007802609964</v>
      </c>
      <c r="I36" t="n">
        <v>303.929612956995</v>
      </c>
      <c r="J36" t="n">
        <v>474.670714610802</v>
      </c>
      <c r="K36" t="n">
        <v>447.088600091237</v>
      </c>
      <c r="L36" t="n">
        <v>429.603004133522</v>
      </c>
      <c r="M36" t="n">
        <v>734.441950706723</v>
      </c>
      <c r="N36" t="n">
        <v>407.758355749512</v>
      </c>
      <c r="O36" t="n">
        <v>469.902756571722</v>
      </c>
      <c r="P36" t="n">
        <v>634.81689891204</v>
      </c>
      <c r="Q36" t="n">
        <v>401.248517138367</v>
      </c>
      <c r="R36" t="n">
        <v>396.467755123967</v>
      </c>
      <c r="S36" t="n">
        <v>597.57086357743</v>
      </c>
      <c r="T36" t="n">
        <v>272.279921525157</v>
      </c>
      <c r="U36" t="n">
        <v>634.949948660075</v>
      </c>
      <c r="V36" t="n">
        <v>675.261412328328</v>
      </c>
      <c r="W36" t="n">
        <v>747.744017799799</v>
      </c>
      <c r="X36" t="n">
        <v>489.295885785249</v>
      </c>
      <c r="Y36" t="n">
        <v>392.854957572504</v>
      </c>
      <c r="Z36" t="n">
        <v>345.17412504509</v>
      </c>
      <c r="AA36" t="n">
        <v>245.073628782014</v>
      </c>
      <c r="AB36" t="n">
        <v>191.989088251614</v>
      </c>
      <c r="AC36" t="n">
        <v>269.138983274302</v>
      </c>
      <c r="AD36" t="n">
        <v>352.879766782225</v>
      </c>
      <c r="AE36" t="n">
        <v>312.5</v>
      </c>
      <c r="AF36" t="n">
        <v>301.4</v>
      </c>
    </row>
    <row r="37">
      <c r="A37" t="s">
        <v>51</v>
      </c>
      <c r="B37" t="s">
        <v>344</v>
      </c>
      <c r="C37" t="s">
        <v>246</v>
      </c>
      <c r="D37" t="s">
        <v>345</v>
      </c>
      <c r="E37" t="s">
        <v>247</v>
      </c>
      <c r="F37" t="n">
        <v>876.476605030093</v>
      </c>
      <c r="G37" t="n">
        <v>1016.20787817836</v>
      </c>
      <c r="H37" t="n">
        <v>1428.92676812421</v>
      </c>
      <c r="I37" t="n">
        <v>1471.17584551123</v>
      </c>
      <c r="J37" t="n">
        <v>1443.98579688132</v>
      </c>
      <c r="K37" t="n">
        <v>1671.9355648588</v>
      </c>
      <c r="L37" t="n">
        <v>1154.58959655646</v>
      </c>
      <c r="M37" t="n">
        <v>1721.29658463156</v>
      </c>
      <c r="N37" t="n">
        <v>936.077843791409</v>
      </c>
      <c r="O37" t="n">
        <v>1415.27978406592</v>
      </c>
      <c r="P37" t="n">
        <v>1689.04077679853</v>
      </c>
      <c r="Q37" t="n">
        <v>1400.50085245008</v>
      </c>
      <c r="R37" t="n">
        <v>1524.91529513406</v>
      </c>
      <c r="S37" t="n">
        <v>1756.27702950725</v>
      </c>
      <c r="T37" t="n">
        <v>1448.18878944503</v>
      </c>
      <c r="U37" t="n">
        <v>1937.14770544998</v>
      </c>
      <c r="V37" t="n">
        <v>2060.4497933828</v>
      </c>
      <c r="W37" t="n">
        <v>2760.90452854391</v>
      </c>
      <c r="X37" t="n">
        <v>3349.85165747834</v>
      </c>
      <c r="Y37" t="n">
        <v>3112.23062345276</v>
      </c>
      <c r="Z37" t="n">
        <v>3605.29779420463</v>
      </c>
      <c r="AA37" t="n">
        <v>2709.71740616912</v>
      </c>
      <c r="AB37" t="n">
        <v>4316.83370738683</v>
      </c>
      <c r="AC37" t="n">
        <v>4222.6858072508</v>
      </c>
      <c r="AD37" t="n">
        <v>3593.95122713815</v>
      </c>
      <c r="AE37" t="n">
        <v>3558.7</v>
      </c>
      <c r="AF37" t="n">
        <v>3702</v>
      </c>
    </row>
    <row r="38">
      <c r="A38" t="s">
        <v>51</v>
      </c>
      <c r="B38" t="s">
        <v>346</v>
      </c>
      <c r="C38" t="s">
        <v>246</v>
      </c>
      <c r="D38" t="s">
        <v>347</v>
      </c>
      <c r="E38" t="s">
        <v>247</v>
      </c>
      <c r="F38" t="n">
        <v>154.766784170299</v>
      </c>
      <c r="G38" t="n">
        <v>138.063811561756</v>
      </c>
      <c r="H38" t="n">
        <v>233.238189713678</v>
      </c>
      <c r="I38" t="n">
        <v>166.922503798222</v>
      </c>
      <c r="J38" t="n">
        <v>156.122074056703</v>
      </c>
      <c r="K38" t="n">
        <v>157.946285243345</v>
      </c>
      <c r="L38" t="n">
        <v>153.121195861209</v>
      </c>
      <c r="M38" t="n">
        <v>97.7369335284313</v>
      </c>
      <c r="N38" t="n">
        <v>491.431711631861</v>
      </c>
      <c r="O38" t="n">
        <v>256.737799109109</v>
      </c>
      <c r="P38" t="n">
        <v>313.478371870797</v>
      </c>
      <c r="Q38" t="n">
        <v>245.659280489907</v>
      </c>
      <c r="R38" t="n">
        <v>283.556207036472</v>
      </c>
      <c r="S38" t="n">
        <v>180.787421641194</v>
      </c>
      <c r="T38" t="n">
        <v>257.558969974142</v>
      </c>
      <c r="U38" t="n">
        <v>316.01751683706</v>
      </c>
      <c r="V38" t="n">
        <v>327.383136998663</v>
      </c>
      <c r="W38" t="n">
        <v>283.277353264121</v>
      </c>
      <c r="X38" t="n">
        <v>248.806362656127</v>
      </c>
      <c r="Y38" t="n">
        <v>267.334496045413</v>
      </c>
      <c r="Z38" t="n">
        <v>514.097300382006</v>
      </c>
      <c r="AA38" t="n">
        <v>481.257399935582</v>
      </c>
      <c r="AB38" t="n">
        <v>360.648161838981</v>
      </c>
      <c r="AC38" t="n">
        <v>288.243075337756</v>
      </c>
      <c r="AD38" t="n">
        <v>331.756974248927</v>
      </c>
      <c r="AE38" t="n">
        <v>367</v>
      </c>
      <c r="AF38" t="n">
        <v>304.8</v>
      </c>
    </row>
    <row r="39">
      <c r="A39" t="s">
        <v>51</v>
      </c>
      <c r="B39" t="s">
        <v>348</v>
      </c>
      <c r="C39" t="s">
        <v>246</v>
      </c>
      <c r="D39" t="s">
        <v>349</v>
      </c>
      <c r="E39" t="s">
        <v>247</v>
      </c>
      <c r="F39" t="n">
        <v>163.783412388379</v>
      </c>
      <c r="G39" t="n">
        <v>166.231072266088</v>
      </c>
      <c r="H39" t="n">
        <v>210.611766968255</v>
      </c>
      <c r="I39" t="n">
        <v>188.445957523524</v>
      </c>
      <c r="J39" t="n">
        <v>185.392090227688</v>
      </c>
      <c r="K39" t="n">
        <v>144.447531712706</v>
      </c>
      <c r="L39" t="n">
        <v>139.466582343302</v>
      </c>
      <c r="M39" t="n">
        <v>205.455555381866</v>
      </c>
      <c r="N39" t="n">
        <v>161.03664305635</v>
      </c>
      <c r="O39" t="n">
        <v>229.127935965108</v>
      </c>
      <c r="P39" t="n">
        <v>179.790168731746</v>
      </c>
      <c r="Q39" t="n">
        <v>165.684394765362</v>
      </c>
      <c r="R39" t="n">
        <v>214.962302768414</v>
      </c>
      <c r="S39" t="n">
        <v>274.350773358095</v>
      </c>
      <c r="T39" t="n">
        <v>541.136248053068</v>
      </c>
      <c r="U39" t="n">
        <v>134.964342314165</v>
      </c>
      <c r="V39" t="n">
        <v>284.924722663237</v>
      </c>
      <c r="W39" t="n">
        <v>277.108605869286</v>
      </c>
      <c r="X39" t="n">
        <v>288.232743768085</v>
      </c>
      <c r="Y39" t="n">
        <v>256.385388145186</v>
      </c>
      <c r="Z39" t="n">
        <v>283.876140790411</v>
      </c>
      <c r="AA39" t="n">
        <v>374.88610187049</v>
      </c>
      <c r="AB39" t="n">
        <v>406.233065565559</v>
      </c>
      <c r="AC39" t="n">
        <v>341.01937973748</v>
      </c>
      <c r="AD39" t="n">
        <v>563.952402745995</v>
      </c>
      <c r="AE39" t="n">
        <v>516.3</v>
      </c>
      <c r="AF39" t="n">
        <v>593.5</v>
      </c>
    </row>
    <row r="40">
      <c r="A40" t="s">
        <v>51</v>
      </c>
      <c r="B40" t="s">
        <v>350</v>
      </c>
      <c r="C40" t="s">
        <v>246</v>
      </c>
      <c r="D40" t="s">
        <v>351</v>
      </c>
      <c r="E40" t="s">
        <v>247</v>
      </c>
      <c r="F40" t="n">
        <v>28.458759594765</v>
      </c>
      <c r="G40" t="n">
        <v>31.7071539901972</v>
      </c>
      <c r="H40" t="n">
        <v>43.1131211495668</v>
      </c>
      <c r="I40" t="n">
        <v>41.3593670689065</v>
      </c>
      <c r="J40" t="n">
        <v>42.179102272074</v>
      </c>
      <c r="K40" t="n">
        <v>35.871236526881</v>
      </c>
      <c r="L40" t="n">
        <v>45.8187222864362</v>
      </c>
      <c r="M40" t="n">
        <v>32.2729610935156</v>
      </c>
      <c r="N40" t="n">
        <v>58.9865977928462</v>
      </c>
      <c r="O40" t="n">
        <v>53.0439181644625</v>
      </c>
      <c r="P40" t="n">
        <v>270.835112916976</v>
      </c>
      <c r="Q40" t="n">
        <v>36.7234051412849</v>
      </c>
      <c r="R40" t="n">
        <v>15.6787140671696</v>
      </c>
      <c r="S40" t="n">
        <v>39.4966512839627</v>
      </c>
      <c r="T40" t="n">
        <v>39.8446394010021</v>
      </c>
      <c r="U40" t="n">
        <v>79.6039583750213</v>
      </c>
      <c r="V40" t="n">
        <v>67.5346848644272</v>
      </c>
      <c r="W40" t="n">
        <v>113.618245061284</v>
      </c>
      <c r="X40" t="n">
        <v>59.3420133441101</v>
      </c>
      <c r="Y40" t="n">
        <v>68.4134039190059</v>
      </c>
      <c r="Z40" t="n">
        <v>43.2700161539012</v>
      </c>
      <c r="AA40" t="n">
        <v>153.268508244456</v>
      </c>
      <c r="AB40" t="n">
        <v>63.8618784351901</v>
      </c>
      <c r="AC40" t="n">
        <v>89.9379921259842</v>
      </c>
      <c r="AD40" t="n">
        <v>148.5</v>
      </c>
      <c r="AE40" t="n">
        <v>108</v>
      </c>
      <c r="AF40" t="n">
        <v>142.6</v>
      </c>
    </row>
    <row r="41">
      <c r="A41" t="s">
        <v>51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51</v>
      </c>
      <c r="B42" t="s">
        <v>354</v>
      </c>
      <c r="C42" t="s">
        <v>246</v>
      </c>
      <c r="D42" t="s">
        <v>355</v>
      </c>
      <c r="E42" t="s">
        <v>247</v>
      </c>
      <c r="F42" t="n">
        <v>151.300190456831</v>
      </c>
      <c r="G42" t="n">
        <v>158.430997379901</v>
      </c>
      <c r="H42" t="n">
        <v>222.865343234589</v>
      </c>
      <c r="I42" t="n">
        <v>183.433074117067</v>
      </c>
      <c r="J42" t="n">
        <v>180.009982267418</v>
      </c>
      <c r="K42" t="n">
        <v>268.230817102821</v>
      </c>
      <c r="L42" t="n">
        <v>230.051978172127</v>
      </c>
      <c r="M42" t="n">
        <v>182.17689619163</v>
      </c>
      <c r="N42" t="n">
        <v>244.996515568054</v>
      </c>
      <c r="O42" t="n">
        <v>258.281227766322</v>
      </c>
      <c r="P42" t="n">
        <v>240.141582325196</v>
      </c>
      <c r="Q42" t="n">
        <v>314.456297529526</v>
      </c>
      <c r="R42" t="n">
        <v>286.89005135654</v>
      </c>
      <c r="S42" t="n">
        <v>191.202975754926</v>
      </c>
      <c r="T42" t="n">
        <v>190.594049080547</v>
      </c>
      <c r="U42" t="n">
        <v>309.608685816162</v>
      </c>
      <c r="V42" t="n">
        <v>305.348015827866</v>
      </c>
      <c r="W42" t="n">
        <v>397.825363087228</v>
      </c>
      <c r="X42" t="n">
        <v>329.153666343265</v>
      </c>
      <c r="Y42" t="n">
        <v>349.383099024902</v>
      </c>
      <c r="Z42" t="n">
        <v>631.970936304881</v>
      </c>
      <c r="AA42" t="n">
        <v>567.363325366892</v>
      </c>
      <c r="AB42" t="n">
        <v>524.007368602587</v>
      </c>
      <c r="AC42" t="n">
        <v>376.202848857782</v>
      </c>
      <c r="AD42" t="n">
        <v>366.2720283134</v>
      </c>
      <c r="AE42" t="n">
        <v>403.5</v>
      </c>
      <c r="AF42" t="n">
        <v>387.8</v>
      </c>
    </row>
    <row r="43">
      <c r="A43" t="s">
        <v>51</v>
      </c>
      <c r="B43" t="s">
        <v>356</v>
      </c>
      <c r="C43" t="s">
        <v>246</v>
      </c>
      <c r="D43" t="s">
        <v>357</v>
      </c>
      <c r="E43" t="s">
        <v>247</v>
      </c>
      <c r="F43" t="n">
        <v>193.885331143744</v>
      </c>
      <c r="G43" t="n">
        <v>202.14929607774</v>
      </c>
      <c r="H43" t="n">
        <v>289.266529105207</v>
      </c>
      <c r="I43" t="n">
        <v>238.378399174281</v>
      </c>
      <c r="J43" t="n">
        <v>233.095981464738</v>
      </c>
      <c r="K43" t="n">
        <v>327.897961552481</v>
      </c>
      <c r="L43" t="n">
        <v>303.207756917676</v>
      </c>
      <c r="M43" t="n">
        <v>240.332276707862</v>
      </c>
      <c r="N43" t="n">
        <v>315.557939768719</v>
      </c>
      <c r="O43" t="n">
        <v>336.179284204768</v>
      </c>
      <c r="P43" t="n">
        <v>305.369173733631</v>
      </c>
      <c r="Q43" t="n">
        <v>393.206574280197</v>
      </c>
      <c r="R43" t="n">
        <v>366.065771113008</v>
      </c>
      <c r="S43" t="n">
        <v>285.716131310504</v>
      </c>
      <c r="T43" t="n">
        <v>244.141607485109</v>
      </c>
      <c r="U43" t="n">
        <v>402.466842807388</v>
      </c>
      <c r="V43" t="n">
        <v>401.934361868723</v>
      </c>
      <c r="W43" t="n">
        <v>527.851369601857</v>
      </c>
      <c r="X43" t="n">
        <v>408.621188773194</v>
      </c>
      <c r="Y43" t="n">
        <v>445.957614765656</v>
      </c>
      <c r="Z43" t="n">
        <v>763.607354360432</v>
      </c>
      <c r="AA43" t="n">
        <v>705.710490887224</v>
      </c>
      <c r="AB43" t="n">
        <v>604.164462598256</v>
      </c>
      <c r="AC43" t="n">
        <v>479.002052757054</v>
      </c>
      <c r="AD43" t="n">
        <v>475.983950392121</v>
      </c>
      <c r="AE43" t="n">
        <v>540</v>
      </c>
      <c r="AF43" t="n">
        <v>495.4</v>
      </c>
    </row>
    <row r="44">
      <c r="A44" t="s">
        <v>51</v>
      </c>
      <c r="B44" t="s">
        <v>358</v>
      </c>
      <c r="C44" t="s">
        <v>246</v>
      </c>
      <c r="D44" t="s">
        <v>359</v>
      </c>
      <c r="E44" t="s">
        <v>247</v>
      </c>
      <c r="F44" t="n">
        <v>3285.4600259685</v>
      </c>
      <c r="G44" t="n">
        <v>3574.66326004246</v>
      </c>
      <c r="H44" t="n">
        <v>4496.47859063648</v>
      </c>
      <c r="I44" t="n">
        <v>4400.95056405522</v>
      </c>
      <c r="J44" t="n">
        <v>4317.56727544442</v>
      </c>
      <c r="K44" t="n">
        <v>5055.58048258038</v>
      </c>
      <c r="L44" t="n">
        <v>4904.13093231415</v>
      </c>
      <c r="M44" t="n">
        <v>4762.51249515742</v>
      </c>
      <c r="N44" t="n">
        <v>4521.31864172766</v>
      </c>
      <c r="O44" t="n">
        <v>5374.24098547417</v>
      </c>
      <c r="P44" t="n">
        <v>5712.7519239463</v>
      </c>
      <c r="Q44" t="n">
        <v>5408.68245265114</v>
      </c>
      <c r="R44" t="n">
        <v>5707.82763598277</v>
      </c>
      <c r="S44" t="n">
        <v>5479.04857843824</v>
      </c>
      <c r="T44" t="n">
        <v>4645.52633283058</v>
      </c>
      <c r="U44" t="n">
        <v>6385.95574637239</v>
      </c>
      <c r="V44" t="n">
        <v>6890.80877494285</v>
      </c>
      <c r="W44" t="n">
        <v>6694.11299553775</v>
      </c>
      <c r="X44" t="n">
        <v>6450.2547294797</v>
      </c>
      <c r="Y44" t="n">
        <v>6385.11687539323</v>
      </c>
      <c r="Z44" t="n">
        <v>7576.57375630737</v>
      </c>
      <c r="AA44" t="n">
        <v>6906.22800280099</v>
      </c>
      <c r="AB44" t="n">
        <v>7840.07325703344</v>
      </c>
      <c r="AC44" t="n">
        <v>8230.7634687829</v>
      </c>
      <c r="AD44" t="n">
        <v>8394.91529646238</v>
      </c>
      <c r="AE44" t="n">
        <v>7707.5</v>
      </c>
      <c r="AF44" t="n">
        <v>7903.8</v>
      </c>
    </row>
    <row r="45">
      <c r="A45" t="s">
        <v>51</v>
      </c>
      <c r="B45" t="s">
        <v>360</v>
      </c>
      <c r="C45" t="s">
        <v>246</v>
      </c>
      <c r="D45" t="s">
        <v>361</v>
      </c>
      <c r="E45" t="s">
        <v>247</v>
      </c>
      <c r="F45" t="n">
        <v>3281.40005415987</v>
      </c>
      <c r="G45" t="n">
        <v>3572.08929808817</v>
      </c>
      <c r="H45" t="n">
        <v>4492.35686145012</v>
      </c>
      <c r="I45" t="n">
        <v>4398.00206856082</v>
      </c>
      <c r="J45" t="n">
        <v>4314.77019479866</v>
      </c>
      <c r="K45" t="n">
        <v>5051.0119181612</v>
      </c>
      <c r="L45" t="n">
        <v>4899.71901584421</v>
      </c>
      <c r="M45" t="n">
        <v>4758.69859370545</v>
      </c>
      <c r="N45" t="n">
        <v>4515.84884773264</v>
      </c>
      <c r="O45" t="n">
        <v>5367.28170974373</v>
      </c>
      <c r="P45" t="n">
        <v>5706.62056384151</v>
      </c>
      <c r="Q45" t="n">
        <v>5403.18131562633</v>
      </c>
      <c r="R45" t="n">
        <v>5703.49316729651</v>
      </c>
      <c r="S45" t="n">
        <v>5471.97879530068</v>
      </c>
      <c r="T45" t="n">
        <v>4639.69134283695</v>
      </c>
      <c r="U45" t="n">
        <v>6379.34088923049</v>
      </c>
      <c r="V45" t="n">
        <v>6883.6576681812</v>
      </c>
      <c r="W45" t="n">
        <v>6688.0547771635</v>
      </c>
      <c r="X45" t="n">
        <v>6444.9235275188</v>
      </c>
      <c r="Y45" t="n">
        <v>6380.54330481714</v>
      </c>
      <c r="Z45" t="n">
        <v>7571.18546422956</v>
      </c>
      <c r="AA45" t="n">
        <v>6900.06501243742</v>
      </c>
      <c r="AB45" t="n">
        <v>7834.88399196987</v>
      </c>
      <c r="AC45" t="n">
        <v>8225.86570835196</v>
      </c>
      <c r="AD45" t="n">
        <v>8390.01694384436</v>
      </c>
      <c r="AE45" t="n">
        <v>7703.1</v>
      </c>
      <c r="AF45" t="n">
        <v>7899.5</v>
      </c>
    </row>
    <row r="46">
      <c r="A46" t="s">
        <v>51</v>
      </c>
      <c r="B46" t="s">
        <v>362</v>
      </c>
      <c r="C46" t="s">
        <v>246</v>
      </c>
      <c r="D46" t="s">
        <v>363</v>
      </c>
      <c r="E46" t="s">
        <v>247</v>
      </c>
      <c r="F46" t="n">
        <v>42.5877371355234</v>
      </c>
      <c r="G46" t="n">
        <v>43.7196371258363</v>
      </c>
      <c r="H46" t="n">
        <v>66.4050317592752</v>
      </c>
      <c r="I46" t="n">
        <v>54.9483394667409</v>
      </c>
      <c r="J46" t="n">
        <v>53.0894646539283</v>
      </c>
      <c r="K46" t="n">
        <v>59.687726689488</v>
      </c>
      <c r="L46" t="n">
        <v>73.1437759053801</v>
      </c>
      <c r="M46" t="n">
        <v>58.1456077146809</v>
      </c>
      <c r="N46" t="n">
        <v>70.5538515446129</v>
      </c>
      <c r="O46" t="n">
        <v>77.8879317467556</v>
      </c>
      <c r="P46" t="n">
        <v>65.2226108103308</v>
      </c>
      <c r="Q46" t="n">
        <v>78.749111741198</v>
      </c>
      <c r="R46" t="n">
        <v>79.1675448535317</v>
      </c>
      <c r="S46" t="n">
        <v>94.4709903489768</v>
      </c>
      <c r="T46" t="n">
        <v>53.5364581922444</v>
      </c>
      <c r="U46" t="n">
        <v>92.8363104639398</v>
      </c>
      <c r="V46" t="n">
        <v>96.560403147307</v>
      </c>
      <c r="W46" t="n">
        <v>129.988651838002</v>
      </c>
      <c r="X46" t="n">
        <v>79.4575973335215</v>
      </c>
      <c r="Y46" t="n">
        <v>96.558459542044</v>
      </c>
      <c r="Z46" t="n">
        <v>131.635195601717</v>
      </c>
      <c r="AA46" t="n">
        <v>138.340209310269</v>
      </c>
      <c r="AB46" t="n">
        <v>80.174439486633</v>
      </c>
      <c r="AC46" t="n">
        <v>102.800354924579</v>
      </c>
      <c r="AD46" t="n">
        <v>109.712121212121</v>
      </c>
      <c r="AE46" t="n">
        <v>136.5</v>
      </c>
      <c r="AF46" t="n">
        <v>107.6</v>
      </c>
    </row>
    <row r="47">
      <c r="A47" t="s">
        <v>51</v>
      </c>
      <c r="B47" t="s">
        <v>364</v>
      </c>
      <c r="C47" t="s">
        <v>246</v>
      </c>
      <c r="D47" t="s">
        <v>365</v>
      </c>
      <c r="E47" t="s">
        <v>247</v>
      </c>
      <c r="F47" t="n">
        <v>112.966912893726</v>
      </c>
      <c r="G47" t="n">
        <v>136.336898056337</v>
      </c>
      <c r="H47" t="n">
        <v>147.534701950031</v>
      </c>
      <c r="I47" t="n">
        <v>179.626620691775</v>
      </c>
      <c r="J47" t="n">
        <v>219.568626878139</v>
      </c>
      <c r="K47" t="n">
        <v>192.894201537164</v>
      </c>
      <c r="L47" t="n">
        <v>200.150409745459</v>
      </c>
      <c r="M47" t="n">
        <v>219.23710930189</v>
      </c>
      <c r="N47" t="n">
        <v>298.089993573116</v>
      </c>
      <c r="O47" t="n">
        <v>267.154041682652</v>
      </c>
      <c r="P47" t="n">
        <v>299.054168061971</v>
      </c>
      <c r="Q47" t="n">
        <v>351.341822707461</v>
      </c>
      <c r="R47" t="n">
        <v>394.388957899467</v>
      </c>
      <c r="S47" t="n">
        <v>452.737617540905</v>
      </c>
      <c r="T47" t="n">
        <v>484.684301954962</v>
      </c>
      <c r="U47" t="n">
        <v>329.353182117309</v>
      </c>
      <c r="V47" t="n">
        <v>249.878634262094</v>
      </c>
      <c r="W47" t="n">
        <v>273.066062113926</v>
      </c>
      <c r="X47" t="n">
        <v>366.771408370974</v>
      </c>
      <c r="Y47" t="n">
        <v>278.432596720572</v>
      </c>
      <c r="Z47" t="n">
        <v>350.940070280287</v>
      </c>
      <c r="AA47" t="n">
        <v>598.569692905029</v>
      </c>
      <c r="AB47" t="n">
        <v>396.852099416187</v>
      </c>
      <c r="AC47" t="n">
        <v>247.65144642626</v>
      </c>
      <c r="AD47" t="n">
        <v>222.146462556889</v>
      </c>
      <c r="AE47" t="n">
        <v>238</v>
      </c>
      <c r="AF47" t="n">
        <v>612.9</v>
      </c>
    </row>
    <row r="48">
      <c r="A48" t="s">
        <v>51</v>
      </c>
      <c r="B48" t="s">
        <v>366</v>
      </c>
      <c r="C48" t="s">
        <v>246</v>
      </c>
      <c r="D48" t="s">
        <v>367</v>
      </c>
      <c r="E48" t="s">
        <v>247</v>
      </c>
      <c r="F48" t="n">
        <v>187.019729188736</v>
      </c>
      <c r="G48" t="n">
        <v>220.657405307232</v>
      </c>
      <c r="H48" t="n">
        <v>240.129313315905</v>
      </c>
      <c r="I48" t="n">
        <v>282.401466271272</v>
      </c>
      <c r="J48" t="n">
        <v>324.926395444677</v>
      </c>
      <c r="K48" t="n">
        <v>298.274359258683</v>
      </c>
      <c r="L48" t="n">
        <v>326.598715987476</v>
      </c>
      <c r="M48" t="n">
        <v>333.574466794752</v>
      </c>
      <c r="N48" t="n">
        <v>412.296882210709</v>
      </c>
      <c r="O48" t="n">
        <v>407.071412978835</v>
      </c>
      <c r="P48" t="n">
        <v>447.542725201735</v>
      </c>
      <c r="Q48" t="n">
        <v>510.875714547118</v>
      </c>
      <c r="R48" t="n">
        <v>527.823800331076</v>
      </c>
      <c r="S48" t="n">
        <v>588.907775276061</v>
      </c>
      <c r="T48" t="n">
        <v>616.938566649142</v>
      </c>
      <c r="U48" t="n">
        <v>519.122905694533</v>
      </c>
      <c r="V48" t="n">
        <v>444.455150659626</v>
      </c>
      <c r="W48" t="n">
        <v>428.724638985298</v>
      </c>
      <c r="X48" t="n">
        <v>489.971015983198</v>
      </c>
      <c r="Y48" t="n">
        <v>438.081724359977</v>
      </c>
      <c r="Z48" t="n">
        <v>516.341930068778</v>
      </c>
      <c r="AA48" t="n">
        <v>858.072143858808</v>
      </c>
      <c r="AB48" t="n">
        <v>694.143116719134</v>
      </c>
      <c r="AC48" t="n">
        <v>487.257774533712</v>
      </c>
      <c r="AD48" t="n">
        <v>569.3273657289</v>
      </c>
      <c r="AE48" t="n">
        <v>731.5</v>
      </c>
      <c r="AF48" t="n">
        <v>983.1</v>
      </c>
    </row>
    <row r="49">
      <c r="A49" t="s">
        <v>51</v>
      </c>
      <c r="B49" t="s">
        <v>368</v>
      </c>
      <c r="C49" t="s">
        <v>246</v>
      </c>
      <c r="D49" t="s">
        <v>369</v>
      </c>
      <c r="E49" t="s">
        <v>247</v>
      </c>
      <c r="F49" t="n">
        <v>15.009342382434</v>
      </c>
      <c r="G49" t="n">
        <v>17.8682647409929</v>
      </c>
      <c r="H49" t="n">
        <v>19.4597701025388</v>
      </c>
      <c r="I49" t="n">
        <v>16.3871748231906</v>
      </c>
      <c r="J49" t="n">
        <v>18.7707638883819</v>
      </c>
      <c r="K49" t="n">
        <v>19.6790266571746</v>
      </c>
      <c r="L49" t="n">
        <v>29.8189831408333</v>
      </c>
      <c r="M49" t="n">
        <v>32.5499296166026</v>
      </c>
      <c r="N49" t="n">
        <v>28.4451818552169</v>
      </c>
      <c r="O49" t="n">
        <v>37.0960361307726</v>
      </c>
      <c r="P49" t="n">
        <v>33.6822904745665</v>
      </c>
      <c r="Q49" t="n">
        <v>50.7956944108358</v>
      </c>
      <c r="R49" t="n">
        <v>33.5285111622679</v>
      </c>
      <c r="S49" t="n">
        <v>41.7395751203743</v>
      </c>
      <c r="T49" t="n">
        <v>36.0873409894903</v>
      </c>
      <c r="U49" t="n">
        <v>41.7179899382051</v>
      </c>
      <c r="V49" t="n">
        <v>41.7179899382051</v>
      </c>
      <c r="W49" t="n">
        <v>61.8953184050493</v>
      </c>
      <c r="X49" t="n">
        <v>38.0058972662584</v>
      </c>
      <c r="Y49" t="n">
        <v>49.8236513913387</v>
      </c>
      <c r="Z49" t="n">
        <v>62.5964465621124</v>
      </c>
      <c r="AA49" t="n">
        <v>61.0167255132263</v>
      </c>
      <c r="AB49" t="n">
        <v>84.2424468376157</v>
      </c>
      <c r="AC49" t="n">
        <v>67.3152262113658</v>
      </c>
      <c r="AD49" t="n">
        <v>65.172049689441</v>
      </c>
      <c r="AE49" t="n">
        <v>253.6</v>
      </c>
      <c r="AF49" t="n">
        <v>82.5</v>
      </c>
    </row>
    <row r="50">
      <c r="A50" t="s">
        <v>51</v>
      </c>
      <c r="B50" t="s">
        <v>370</v>
      </c>
      <c r="C50" t="s">
        <v>246</v>
      </c>
      <c r="D50" t="s">
        <v>371</v>
      </c>
      <c r="E50" t="s">
        <v>247</v>
      </c>
      <c r="F50" t="n">
        <v>58.805668697341</v>
      </c>
      <c r="G50" t="n">
        <v>66.2548642448726</v>
      </c>
      <c r="H50" t="n">
        <v>72.9963329262437</v>
      </c>
      <c r="I50" t="n">
        <v>86.2484254635056</v>
      </c>
      <c r="J50" t="n">
        <v>86.4724473478263</v>
      </c>
      <c r="K50" t="n">
        <v>85.4854922859109</v>
      </c>
      <c r="L50" t="n">
        <v>96.2464301352817</v>
      </c>
      <c r="M50" t="n">
        <v>81.4506683927326</v>
      </c>
      <c r="N50" t="n">
        <v>85.4907369755431</v>
      </c>
      <c r="O50" t="n">
        <v>102.500900764845</v>
      </c>
      <c r="P50" t="n">
        <v>114.479556327601</v>
      </c>
      <c r="Q50" t="n">
        <v>108.417502428379</v>
      </c>
      <c r="R50" t="n">
        <v>99.7106142024709</v>
      </c>
      <c r="S50" t="n">
        <v>94.2376473851826</v>
      </c>
      <c r="T50" t="n">
        <v>95.8894142673952</v>
      </c>
      <c r="U50" t="n">
        <v>147.882785559049</v>
      </c>
      <c r="V50" t="n">
        <v>152.67322972233</v>
      </c>
      <c r="W50" t="n">
        <v>93.6383699248794</v>
      </c>
      <c r="X50" t="n">
        <v>84.9614553372458</v>
      </c>
      <c r="Y50" t="n">
        <v>109.816697554927</v>
      </c>
      <c r="Z50" t="n">
        <v>102.800901437842</v>
      </c>
      <c r="AA50" t="n">
        <v>198.406725402087</v>
      </c>
      <c r="AB50" t="n">
        <v>213.048925543202</v>
      </c>
      <c r="AC50" t="n">
        <v>172.229302228138</v>
      </c>
      <c r="AD50" t="n">
        <v>282.148399014778</v>
      </c>
      <c r="AE50" t="n">
        <v>239.9</v>
      </c>
      <c r="AF50" t="n">
        <v>287.6</v>
      </c>
    </row>
    <row r="51">
      <c r="A51" t="s">
        <v>51</v>
      </c>
      <c r="B51" t="s">
        <v>372</v>
      </c>
      <c r="C51" t="s">
        <v>246</v>
      </c>
      <c r="D51" t="s">
        <v>373</v>
      </c>
      <c r="E51" t="s">
        <v>247</v>
      </c>
      <c r="F51" t="n">
        <v>56.6287635015817</v>
      </c>
      <c r="G51" t="n">
        <v>61.8615479770443</v>
      </c>
      <c r="H51" t="n">
        <v>68.6061247201453</v>
      </c>
      <c r="I51" t="n">
        <v>80.3943702697113</v>
      </c>
      <c r="J51" t="n">
        <v>81.8139734622062</v>
      </c>
      <c r="K51" t="n">
        <v>81.9659028465371</v>
      </c>
      <c r="L51" t="n">
        <v>88.5954979297129</v>
      </c>
      <c r="M51" t="n">
        <v>76.82717364331</v>
      </c>
      <c r="N51" t="n">
        <v>81.4483570203512</v>
      </c>
      <c r="O51" t="n">
        <v>85.2639557276109</v>
      </c>
      <c r="P51" t="n">
        <v>107.73780336374</v>
      </c>
      <c r="Q51" t="n">
        <v>98.7856014946429</v>
      </c>
      <c r="R51" t="n">
        <v>92.6639131167915</v>
      </c>
      <c r="S51" t="n">
        <v>89.8377494080539</v>
      </c>
      <c r="T51" t="n">
        <v>91.3176348149695</v>
      </c>
      <c r="U51" t="n">
        <v>140.475539163962</v>
      </c>
      <c r="V51" t="n">
        <v>144.56016293232</v>
      </c>
      <c r="W51" t="n">
        <v>83.463037466585</v>
      </c>
      <c r="X51" t="n">
        <v>77.9470620760523</v>
      </c>
      <c r="Y51" t="n">
        <v>103.457009664579</v>
      </c>
      <c r="Z51" t="n">
        <v>98.5861523357377</v>
      </c>
      <c r="AA51" t="n">
        <v>192.045824750017</v>
      </c>
      <c r="AB51" t="n">
        <v>208.066024051068</v>
      </c>
      <c r="AC51" t="n">
        <v>167.83008843079</v>
      </c>
      <c r="AD51" t="n">
        <v>273.064616037336</v>
      </c>
      <c r="AE51" t="n">
        <v>232.1</v>
      </c>
      <c r="AF51" t="n">
        <v>279.9</v>
      </c>
    </row>
    <row r="52">
      <c r="A52" t="s">
        <v>51</v>
      </c>
      <c r="B52" t="s">
        <v>374</v>
      </c>
      <c r="C52" t="s">
        <v>246</v>
      </c>
      <c r="D52" t="s">
        <v>375</v>
      </c>
      <c r="E52" t="s">
        <v>247</v>
      </c>
      <c r="F52" t="n">
        <v>2.20208989730796</v>
      </c>
      <c r="G52" t="n">
        <v>4.40417979461593</v>
      </c>
      <c r="H52" t="n">
        <v>4.40417979461593</v>
      </c>
      <c r="I52" t="n">
        <v>5.87223972615457</v>
      </c>
      <c r="J52" t="n">
        <v>4.68292535123719</v>
      </c>
      <c r="K52" t="n">
        <v>3.549959540454</v>
      </c>
      <c r="L52" t="n">
        <v>7.61762151389087</v>
      </c>
      <c r="M52" t="n">
        <v>4.61452072476081</v>
      </c>
      <c r="N52" t="n">
        <v>4.04657971248256</v>
      </c>
      <c r="O52" t="n">
        <v>17.0534430740336</v>
      </c>
      <c r="P52" t="n">
        <v>6.77669571937582</v>
      </c>
      <c r="Q52" t="n">
        <v>9.59397371507138</v>
      </c>
      <c r="R52" t="n">
        <v>7.05198067945418</v>
      </c>
      <c r="S52" t="n">
        <v>4.4494640001318</v>
      </c>
      <c r="T52" t="n">
        <v>4.6205972309061</v>
      </c>
      <c r="U52" t="n">
        <v>7.47696642819351</v>
      </c>
      <c r="V52" t="n">
        <v>8.1806809155529</v>
      </c>
      <c r="W52" t="n">
        <v>10.1584279500822</v>
      </c>
      <c r="X52" t="n">
        <v>7.01201221333106</v>
      </c>
      <c r="Y52" t="n">
        <v>6.34871376071866</v>
      </c>
      <c r="Z52" t="n">
        <v>4.19991833401388</v>
      </c>
      <c r="AA52" t="n">
        <v>6.34871376071866</v>
      </c>
      <c r="AB52" t="n">
        <v>4.98129848917926</v>
      </c>
      <c r="AC52" t="n">
        <v>4.39526337280523</v>
      </c>
      <c r="AD52" t="n">
        <v>9.08354430379747</v>
      </c>
      <c r="AE52" t="n">
        <v>7.8</v>
      </c>
      <c r="AF52" t="n">
        <v>7.7</v>
      </c>
    </row>
    <row r="53">
      <c r="A53" t="s">
        <v>51</v>
      </c>
      <c r="B53" t="s">
        <v>376</v>
      </c>
      <c r="C53" t="s">
        <v>246</v>
      </c>
      <c r="D53" t="s">
        <v>377</v>
      </c>
      <c r="E53" t="s">
        <v>247</v>
      </c>
      <c r="F53" t="n">
        <v>14.9112178858995</v>
      </c>
      <c r="G53" t="n">
        <v>22.616536219283</v>
      </c>
      <c r="H53" t="n">
        <v>25.6513429963113</v>
      </c>
      <c r="I53" t="n">
        <v>27.989926973183</v>
      </c>
      <c r="J53" t="n">
        <v>34.9129674213373</v>
      </c>
      <c r="K53" t="n">
        <v>25.7492601372119</v>
      </c>
      <c r="L53" t="n">
        <v>28.5268771199432</v>
      </c>
      <c r="M53" t="n">
        <v>22.3189556741525</v>
      </c>
      <c r="N53" t="n">
        <v>28.8706491139843</v>
      </c>
      <c r="O53" t="n">
        <v>33.1206431459922</v>
      </c>
      <c r="P53" t="n">
        <v>77.230973377039</v>
      </c>
      <c r="Q53" t="n">
        <v>24.2415127702577</v>
      </c>
      <c r="R53" t="n">
        <v>24.3253934372828</v>
      </c>
      <c r="S53" t="n">
        <v>28.7793387145318</v>
      </c>
      <c r="T53" t="n">
        <v>42.9945878371642</v>
      </c>
      <c r="U53" t="n">
        <v>37.0112455934236</v>
      </c>
      <c r="V53" t="n">
        <v>35.1428894456787</v>
      </c>
      <c r="W53" t="n">
        <v>39.5129896876284</v>
      </c>
      <c r="X53" t="n">
        <v>57.6382143149808</v>
      </c>
      <c r="Y53" t="n">
        <v>35.3968672476237</v>
      </c>
      <c r="Z53" t="n">
        <v>91.758821157063</v>
      </c>
      <c r="AA53" t="n">
        <v>68.8930354337133</v>
      </c>
      <c r="AB53" t="n">
        <v>52.9719630510292</v>
      </c>
      <c r="AC53" t="n">
        <v>49.1391122922349</v>
      </c>
      <c r="AD53" t="n">
        <v>46.1226519337017</v>
      </c>
      <c r="AE53" t="n">
        <v>53.4</v>
      </c>
      <c r="AF53" t="n">
        <v>68.6</v>
      </c>
    </row>
    <row r="54">
      <c r="A54" t="s">
        <v>51</v>
      </c>
      <c r="B54" t="s">
        <v>378</v>
      </c>
      <c r="C54" t="s">
        <v>246</v>
      </c>
      <c r="D54" t="s">
        <v>379</v>
      </c>
      <c r="E54" t="s">
        <v>247</v>
      </c>
      <c r="F54" t="n">
        <v>28.0121410957436</v>
      </c>
      <c r="G54" t="n">
        <v>34.3005809335636</v>
      </c>
      <c r="H54" t="n">
        <v>43.6355491623182</v>
      </c>
      <c r="I54" t="n">
        <v>44.6622679661374</v>
      </c>
      <c r="J54" t="n">
        <v>47.9484549067897</v>
      </c>
      <c r="K54" t="n">
        <v>45.3648614569785</v>
      </c>
      <c r="L54" t="n">
        <v>47.4748550131171</v>
      </c>
      <c r="M54" t="n">
        <v>31.2295530633161</v>
      </c>
      <c r="N54" t="n">
        <v>56.3144023988963</v>
      </c>
      <c r="O54" t="n">
        <v>49.5507927113004</v>
      </c>
      <c r="P54" t="n">
        <v>98.7215946809498</v>
      </c>
      <c r="Q54" t="n">
        <v>47.0251129237332</v>
      </c>
      <c r="R54" t="n">
        <v>47.0251129237332</v>
      </c>
      <c r="S54" t="n">
        <v>47.0251129237332</v>
      </c>
      <c r="T54" t="n">
        <v>51.118039418947</v>
      </c>
      <c r="U54" t="n">
        <v>59.9932916719862</v>
      </c>
      <c r="V54" t="n">
        <v>59.6377758694856</v>
      </c>
      <c r="W54" t="n">
        <v>60.6393263039349</v>
      </c>
      <c r="X54" t="n">
        <v>86.4722231598713</v>
      </c>
      <c r="Y54" t="n">
        <v>53.7018078112235</v>
      </c>
      <c r="Z54" t="n">
        <v>134.742717780888</v>
      </c>
      <c r="AA54" t="n">
        <v>123.983042881169</v>
      </c>
      <c r="AB54" t="n">
        <v>98.3008411414981</v>
      </c>
      <c r="AC54" t="n">
        <v>78.0305976228308</v>
      </c>
      <c r="AD54" t="n">
        <v>84.0704191616767</v>
      </c>
      <c r="AE54" t="n">
        <v>82.2</v>
      </c>
      <c r="AF54" t="n">
        <v>106.7</v>
      </c>
    </row>
    <row r="55">
      <c r="A55" t="s">
        <v>51</v>
      </c>
      <c r="B55" t="s">
        <v>380</v>
      </c>
      <c r="C55" t="s">
        <v>246</v>
      </c>
      <c r="D55" t="s">
        <v>381</v>
      </c>
      <c r="E55" t="s">
        <v>247</v>
      </c>
      <c r="F55" t="n">
        <v>13.1167884465458</v>
      </c>
      <c r="G55" t="n">
        <v>11.6832596545735</v>
      </c>
      <c r="H55" t="n">
        <v>17.9965738778524</v>
      </c>
      <c r="I55" t="n">
        <v>16.6689577721092</v>
      </c>
      <c r="J55" t="n">
        <v>12.989773398986</v>
      </c>
      <c r="K55" t="n">
        <v>19.6374809619965</v>
      </c>
      <c r="L55" t="n">
        <v>18.9550974536646</v>
      </c>
      <c r="M55" t="n">
        <v>8.88053778340978</v>
      </c>
      <c r="N55" t="n">
        <v>27.515108869909</v>
      </c>
      <c r="O55" t="n">
        <v>16.420306906236</v>
      </c>
      <c r="P55" t="n">
        <v>21.3845857383539</v>
      </c>
      <c r="Q55" t="n">
        <v>22.7894125386837</v>
      </c>
      <c r="R55" t="n">
        <v>22.7056279337621</v>
      </c>
      <c r="S55" t="n">
        <v>18.250183961854</v>
      </c>
      <c r="T55" t="n">
        <v>8.16912996387752</v>
      </c>
      <c r="U55" t="n">
        <v>22.9756780234055</v>
      </c>
      <c r="V55" t="n">
        <v>24.4837341098839</v>
      </c>
      <c r="W55" t="n">
        <v>21.1160829497883</v>
      </c>
      <c r="X55" t="n">
        <v>28.8193750130158</v>
      </c>
      <c r="Y55" t="n">
        <v>18.296511110237</v>
      </c>
      <c r="Z55" t="n">
        <v>42.952772071626</v>
      </c>
      <c r="AA55" t="n">
        <v>55.1260231426167</v>
      </c>
      <c r="AB55" t="n">
        <v>45.3630959670907</v>
      </c>
      <c r="AC55" t="n">
        <v>28.8943198225165</v>
      </c>
      <c r="AD55" t="n">
        <v>37.972602739726</v>
      </c>
      <c r="AE55" t="n">
        <v>28.8</v>
      </c>
      <c r="AF55" t="n">
        <v>38.1</v>
      </c>
    </row>
    <row r="56">
      <c r="A56" t="s">
        <v>51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51</v>
      </c>
      <c r="B57" t="s">
        <v>384</v>
      </c>
      <c r="C57" t="s">
        <v>246</v>
      </c>
      <c r="D57" t="s">
        <v>385</v>
      </c>
      <c r="E57" t="s">
        <v>247</v>
      </c>
      <c r="F57" t="n">
        <v>3500.93353861498</v>
      </c>
      <c r="G57" t="n">
        <v>3826.97849046846</v>
      </c>
      <c r="H57" t="n">
        <v>4779.96408623434</v>
      </c>
      <c r="I57" t="n">
        <v>4724.83430806784</v>
      </c>
      <c r="J57" t="n">
        <v>4684.66552614343</v>
      </c>
      <c r="K57" t="n">
        <v>5389.77119750767</v>
      </c>
      <c r="L57" t="n">
        <v>5276.4554970523</v>
      </c>
      <c r="M57" t="n">
        <v>5128.22880254715</v>
      </c>
      <c r="N57" t="n">
        <v>4992.33189584907</v>
      </c>
      <c r="O57" t="n">
        <v>5834.23315074485</v>
      </c>
      <c r="P57" t="n">
        <v>6431.23293065386</v>
      </c>
      <c r="Q57" t="n">
        <v>5956.01368653499</v>
      </c>
      <c r="R57" t="n">
        <v>6251.13488174917</v>
      </c>
      <c r="S57" t="n">
        <v>6107.23963763289</v>
      </c>
      <c r="T57" t="n">
        <v>5302.04049499825</v>
      </c>
      <c r="U57" t="n">
        <v>6984.55331320691</v>
      </c>
      <c r="V57" t="n">
        <v>7402.65340157916</v>
      </c>
      <c r="W57" t="n">
        <v>7236.33535679815</v>
      </c>
      <c r="X57" t="n">
        <v>6999.36177381028</v>
      </c>
      <c r="Y57" t="n">
        <v>6891.59056644466</v>
      </c>
      <c r="Z57" t="n">
        <v>8136.14250222546</v>
      </c>
      <c r="AA57" t="n">
        <v>7917.69675570212</v>
      </c>
      <c r="AB57" t="n">
        <v>8598.11460522004</v>
      </c>
      <c r="AC57" t="n">
        <v>8807.87031034893</v>
      </c>
      <c r="AD57" t="n">
        <v>9112.8086822277</v>
      </c>
      <c r="AE57" t="n">
        <v>8547</v>
      </c>
      <c r="AF57" t="n">
        <v>9029.4</v>
      </c>
    </row>
    <row r="58">
      <c r="A58" t="s">
        <v>51</v>
      </c>
      <c r="B58" t="s">
        <v>386</v>
      </c>
      <c r="C58" t="s">
        <v>246</v>
      </c>
      <c r="D58" t="s">
        <v>387</v>
      </c>
      <c r="E58" t="s">
        <v>247</v>
      </c>
      <c r="F58" t="n">
        <v>3500.93353861498</v>
      </c>
      <c r="G58" t="n">
        <v>3826.97849046846</v>
      </c>
      <c r="H58" t="n">
        <v>4779.96408623434</v>
      </c>
      <c r="I58" t="n">
        <v>4724.83430806784</v>
      </c>
      <c r="J58" t="n">
        <v>4684.66552614343</v>
      </c>
      <c r="K58" t="n">
        <v>5389.77119750767</v>
      </c>
      <c r="L58" t="n">
        <v>5276.4554970523</v>
      </c>
      <c r="M58" t="n">
        <v>5128.22880254715</v>
      </c>
      <c r="N58" t="n">
        <v>4992.33189584907</v>
      </c>
      <c r="O58" t="n">
        <v>5834.23315074485</v>
      </c>
      <c r="P58" t="n">
        <v>6431.23293065386</v>
      </c>
      <c r="Q58" t="n">
        <v>5956.01368653499</v>
      </c>
      <c r="R58" t="n">
        <v>6251.13488174917</v>
      </c>
      <c r="S58" t="n">
        <v>6107.23963763289</v>
      </c>
      <c r="T58" t="n">
        <v>5302.04049499825</v>
      </c>
      <c r="U58" t="n">
        <v>6984.55331320691</v>
      </c>
      <c r="V58" t="n">
        <v>7402.65340157916</v>
      </c>
      <c r="W58" t="n">
        <v>7236.33535679815</v>
      </c>
      <c r="X58" t="n">
        <v>6999.36177381028</v>
      </c>
      <c r="Y58" t="n">
        <v>6891.59056644466</v>
      </c>
      <c r="Z58" t="n">
        <v>8136.14250222546</v>
      </c>
      <c r="AA58" t="n">
        <v>7917.69675570212</v>
      </c>
      <c r="AB58" t="n">
        <v>8598.11460522004</v>
      </c>
      <c r="AC58" t="n">
        <v>8807.87031034893</v>
      </c>
      <c r="AD58" t="n">
        <v>9112.8086822277</v>
      </c>
      <c r="AE58" t="n">
        <v>8547</v>
      </c>
      <c r="AF58" t="n">
        <v>9029.4</v>
      </c>
    </row>
    <row r="59">
      <c r="A59" t="s">
        <v>51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53</v>
      </c>
      <c r="B2" t="s">
        <v>197</v>
      </c>
      <c r="C2" t="s">
        <v>246</v>
      </c>
      <c r="D2" t="s">
        <v>199</v>
      </c>
      <c r="E2" t="s">
        <v>247</v>
      </c>
      <c r="F2" t="n">
        <v>6.61492526800073</v>
      </c>
      <c r="G2" t="n">
        <v>9.13489679866768</v>
      </c>
      <c r="H2" t="n">
        <v>8.6781519587343</v>
      </c>
      <c r="I2" t="n">
        <v>9.25669542264992</v>
      </c>
      <c r="J2" t="n">
        <v>9.81770726644688</v>
      </c>
      <c r="K2" t="n">
        <v>10.0866855477194</v>
      </c>
      <c r="L2" t="n">
        <v>10.3521246410804</v>
      </c>
      <c r="M2" t="n">
        <v>9.32969257776385</v>
      </c>
      <c r="N2" t="n">
        <v>8.47037878770665</v>
      </c>
      <c r="O2" t="n">
        <v>8.47037878770665</v>
      </c>
      <c r="P2" t="n">
        <v>8.12228102930775</v>
      </c>
      <c r="Q2" t="n">
        <v>8.46070940552891</v>
      </c>
      <c r="R2" t="n">
        <v>8.79468477679978</v>
      </c>
      <c r="S2" t="n">
        <v>8.68610842153065</v>
      </c>
      <c r="T2" t="n">
        <v>7.73275505819192</v>
      </c>
      <c r="U2" t="n">
        <v>7.83725174816749</v>
      </c>
      <c r="V2" t="n">
        <v>7.53190427745966</v>
      </c>
      <c r="W2" t="n">
        <v>7.3310534967274</v>
      </c>
      <c r="X2" t="n">
        <v>14.1530060561821</v>
      </c>
      <c r="Y2" t="n">
        <v>25.0002004788034</v>
      </c>
      <c r="Z2" t="n">
        <v>26.549799682035</v>
      </c>
      <c r="AA2" t="n">
        <v>18.8188235294118</v>
      </c>
      <c r="AB2" t="n">
        <v>1.72</v>
      </c>
      <c r="AC2" t="n">
        <v>3.84470588235294</v>
      </c>
      <c r="AD2" t="n">
        <v>5.96941176470588</v>
      </c>
      <c r="AE2" t="n">
        <v>8.6</v>
      </c>
      <c r="AF2" t="n">
        <v>6.1</v>
      </c>
    </row>
    <row r="3">
      <c r="A3" t="s">
        <v>53</v>
      </c>
      <c r="B3" t="s">
        <v>276</v>
      </c>
      <c r="C3" t="s">
        <v>246</v>
      </c>
      <c r="D3" t="s">
        <v>277</v>
      </c>
      <c r="E3" t="s">
        <v>247</v>
      </c>
      <c r="F3" t="n">
        <v>1.14752261266309</v>
      </c>
      <c r="G3" t="n">
        <v>1.3114544144721</v>
      </c>
      <c r="H3" t="n">
        <v>1.3114544144721</v>
      </c>
      <c r="I3" t="n">
        <v>1.3114544144721</v>
      </c>
      <c r="J3" t="n">
        <v>1.3114544144721</v>
      </c>
      <c r="K3" t="n">
        <v>1.04916353157768</v>
      </c>
      <c r="L3" t="n">
        <v>1.70489073881374</v>
      </c>
      <c r="M3" t="n">
        <v>1.3114544144721</v>
      </c>
      <c r="N3" t="n">
        <v>1.3114544144721</v>
      </c>
      <c r="O3" t="n">
        <v>1.3114544144721</v>
      </c>
      <c r="P3" t="n">
        <v>1.3114544144721</v>
      </c>
      <c r="Q3" t="n">
        <v>1.18030897302489</v>
      </c>
      <c r="R3" t="n">
        <v>1.44259985591931</v>
      </c>
      <c r="S3" t="n">
        <v>3.72671629445823</v>
      </c>
      <c r="T3" t="n">
        <v>0.698759305210918</v>
      </c>
      <c r="U3" t="n">
        <v>1.1645988420182</v>
      </c>
      <c r="V3" t="n">
        <v>1.05872622001654</v>
      </c>
      <c r="W3" t="n">
        <v>2.22332506203474</v>
      </c>
      <c r="X3" t="n">
        <v>1.69396195202647</v>
      </c>
      <c r="Y3" t="n">
        <v>1.48221670802316</v>
      </c>
      <c r="Z3" t="n">
        <v>1.79983457402812</v>
      </c>
      <c r="AA3" t="n">
        <v>3.28205128205128</v>
      </c>
      <c r="AB3" t="n">
        <v>2.56410256410256</v>
      </c>
      <c r="AC3" t="n">
        <v>2.25641025641026</v>
      </c>
      <c r="AD3" t="n">
        <v>8.30769230769231</v>
      </c>
      <c r="AE3" t="n">
        <v>4</v>
      </c>
      <c r="AF3" t="n">
        <v>9.6</v>
      </c>
    </row>
    <row r="4">
      <c r="A4" t="s">
        <v>53</v>
      </c>
      <c r="B4" t="s">
        <v>278</v>
      </c>
      <c r="C4" t="s">
        <v>246</v>
      </c>
      <c r="D4" t="s">
        <v>279</v>
      </c>
      <c r="E4" t="s">
        <v>247</v>
      </c>
      <c r="F4" t="n">
        <v>4019.0426461325</v>
      </c>
      <c r="G4" t="n">
        <v>4421.3360338142</v>
      </c>
      <c r="H4" t="n">
        <v>4271.18345032943</v>
      </c>
      <c r="I4" t="n">
        <v>4700.01489271259</v>
      </c>
      <c r="J4" t="n">
        <v>4804.93802734366</v>
      </c>
      <c r="K4" t="n">
        <v>4790.15360264414</v>
      </c>
      <c r="L4" t="n">
        <v>5309.27156172103</v>
      </c>
      <c r="M4" t="n">
        <v>5099.714747895</v>
      </c>
      <c r="N4" t="n">
        <v>4657.51425262438</v>
      </c>
      <c r="O4" t="n">
        <v>4343.70169276345</v>
      </c>
      <c r="P4" t="n">
        <v>4215.90185708062</v>
      </c>
      <c r="Q4" t="n">
        <v>4264.6438453286</v>
      </c>
      <c r="R4" t="n">
        <v>4452.41547732441</v>
      </c>
      <c r="S4" t="n">
        <v>4414.39908618387</v>
      </c>
      <c r="T4" t="n">
        <v>3929.01943580124</v>
      </c>
      <c r="U4" t="n">
        <v>4053.52148963616</v>
      </c>
      <c r="V4" t="n">
        <v>3882.97155680463</v>
      </c>
      <c r="W4" t="n">
        <v>4204.03486504773</v>
      </c>
      <c r="X4" t="n">
        <v>4800.42989103786</v>
      </c>
      <c r="Y4" t="n">
        <v>5190.72540084034</v>
      </c>
      <c r="Z4" t="n">
        <v>4628.77584380933</v>
      </c>
      <c r="AA4" t="n">
        <v>4910.17597818569</v>
      </c>
      <c r="AB4" t="n">
        <v>4995.23619343133</v>
      </c>
      <c r="AC4" t="n">
        <v>5856.64289661325</v>
      </c>
      <c r="AD4" t="n">
        <v>6198.61976143223</v>
      </c>
      <c r="AE4" t="n">
        <v>4877.9</v>
      </c>
      <c r="AF4" t="n">
        <v>6437.9</v>
      </c>
    </row>
    <row r="5">
      <c r="A5" t="s">
        <v>53</v>
      </c>
      <c r="B5" t="s">
        <v>280</v>
      </c>
      <c r="C5" t="s">
        <v>246</v>
      </c>
      <c r="D5" t="s">
        <v>281</v>
      </c>
      <c r="E5" t="s">
        <v>247</v>
      </c>
      <c r="F5" t="n">
        <v>323.939686710733</v>
      </c>
      <c r="G5" t="n">
        <v>348.893452747524</v>
      </c>
      <c r="H5" t="n">
        <v>328.492055934322</v>
      </c>
      <c r="I5" t="n">
        <v>384.760209487686</v>
      </c>
      <c r="J5" t="n">
        <v>370.355939586059</v>
      </c>
      <c r="K5" t="n">
        <v>343.318751369079</v>
      </c>
      <c r="L5" t="n">
        <v>382.120717923201</v>
      </c>
      <c r="M5" t="n">
        <v>397.743615907997</v>
      </c>
      <c r="N5" t="n">
        <v>359.964206622692</v>
      </c>
      <c r="O5" t="n">
        <v>346.763481897649</v>
      </c>
      <c r="P5" t="n">
        <v>284.469222513031</v>
      </c>
      <c r="Q5" t="n">
        <v>381.723657560221</v>
      </c>
      <c r="R5" t="n">
        <v>359.249294135623</v>
      </c>
      <c r="S5" t="n">
        <v>278.57887891948</v>
      </c>
      <c r="T5" t="n">
        <v>264.573939176451</v>
      </c>
      <c r="U5" t="n">
        <v>319.859654368923</v>
      </c>
      <c r="V5" t="n">
        <v>305.134119475254</v>
      </c>
      <c r="W5" t="n">
        <v>302.855453274149</v>
      </c>
      <c r="X5" t="n">
        <v>295.202823267568</v>
      </c>
      <c r="Y5" t="n">
        <v>489.983496926276</v>
      </c>
      <c r="Z5" t="n">
        <v>341.230944380594</v>
      </c>
      <c r="AA5" t="n">
        <v>534.577727567148</v>
      </c>
      <c r="AB5" t="n">
        <v>345.32940795396</v>
      </c>
      <c r="AC5" t="n">
        <v>476.644651108949</v>
      </c>
      <c r="AD5" t="n">
        <v>499.970467905008</v>
      </c>
      <c r="AE5" t="n">
        <v>433.6</v>
      </c>
      <c r="AF5" t="n">
        <v>542.8</v>
      </c>
    </row>
    <row r="6">
      <c r="A6" t="s">
        <v>53</v>
      </c>
      <c r="B6" t="s">
        <v>282</v>
      </c>
      <c r="C6" t="s">
        <v>246</v>
      </c>
      <c r="D6" t="s">
        <v>283</v>
      </c>
      <c r="E6" t="s">
        <v>247</v>
      </c>
      <c r="F6" t="n">
        <v>422.042692297189</v>
      </c>
      <c r="G6" t="n">
        <v>458.399564569739</v>
      </c>
      <c r="H6" t="n">
        <v>442.744041617629</v>
      </c>
      <c r="I6" t="n">
        <v>503.374595087559</v>
      </c>
      <c r="J6" t="n">
        <v>480.213607728507</v>
      </c>
      <c r="K6" t="n">
        <v>479.154118246481</v>
      </c>
      <c r="L6" t="n">
        <v>604.489314083497</v>
      </c>
      <c r="M6" t="n">
        <v>479.711154851661</v>
      </c>
      <c r="N6" t="n">
        <v>467.227045951888</v>
      </c>
      <c r="O6" t="n">
        <v>432.451588952876</v>
      </c>
      <c r="P6" t="n">
        <v>461.211263028189</v>
      </c>
      <c r="Q6" t="n">
        <v>454.211042315395</v>
      </c>
      <c r="R6" t="n">
        <v>451.060705633495</v>
      </c>
      <c r="S6" t="n">
        <v>483.247940594677</v>
      </c>
      <c r="T6" t="n">
        <v>369.35256943202</v>
      </c>
      <c r="U6" t="n">
        <v>417.459271673527</v>
      </c>
      <c r="V6" t="n">
        <v>398.360509994464</v>
      </c>
      <c r="W6" t="n">
        <v>392.605043389796</v>
      </c>
      <c r="X6" t="n">
        <v>378.148857686172</v>
      </c>
      <c r="Y6" t="n">
        <v>443.601758793215</v>
      </c>
      <c r="Z6" t="n">
        <v>395.329305667068</v>
      </c>
      <c r="AA6" t="n">
        <v>464.727181681571</v>
      </c>
      <c r="AB6" t="n">
        <v>467.789297967634</v>
      </c>
      <c r="AC6" t="n">
        <v>492.265464014139</v>
      </c>
      <c r="AD6" t="n">
        <v>566.186515541014</v>
      </c>
      <c r="AE6" t="n">
        <v>434.1</v>
      </c>
      <c r="AF6" t="n">
        <v>518</v>
      </c>
    </row>
    <row r="7">
      <c r="A7" t="s">
        <v>53</v>
      </c>
      <c r="B7" t="s">
        <v>284</v>
      </c>
      <c r="C7" t="s">
        <v>246</v>
      </c>
      <c r="D7" t="s">
        <v>285</v>
      </c>
      <c r="E7" t="s">
        <v>247</v>
      </c>
      <c r="F7" t="n">
        <v>364.254949940836</v>
      </c>
      <c r="G7" t="n">
        <v>393.881850834996</v>
      </c>
      <c r="H7" t="n">
        <v>368.887819015956</v>
      </c>
      <c r="I7" t="n">
        <v>388.623752684788</v>
      </c>
      <c r="J7" t="n">
        <v>410.770369443957</v>
      </c>
      <c r="K7" t="n">
        <v>417.996001564943</v>
      </c>
      <c r="L7" t="n">
        <v>424.395940344884</v>
      </c>
      <c r="M7" t="n">
        <v>485.891364273093</v>
      </c>
      <c r="N7" t="n">
        <v>369.691811193656</v>
      </c>
      <c r="O7" t="n">
        <v>349.072036905957</v>
      </c>
      <c r="P7" t="n">
        <v>344.348464011424</v>
      </c>
      <c r="Q7" t="n">
        <v>393.458949693748</v>
      </c>
      <c r="R7" t="n">
        <v>367.130841535802</v>
      </c>
      <c r="S7" t="n">
        <v>367.350286151185</v>
      </c>
      <c r="T7" t="n">
        <v>317.670737105965</v>
      </c>
      <c r="U7" t="n">
        <v>341.115851347164</v>
      </c>
      <c r="V7" t="n">
        <v>327.916689021759</v>
      </c>
      <c r="W7" t="n">
        <v>250.281625367398</v>
      </c>
      <c r="X7" t="n">
        <v>365.186917408246</v>
      </c>
      <c r="Y7" t="n">
        <v>236.25442941534</v>
      </c>
      <c r="Z7" t="n">
        <v>269.203243372517</v>
      </c>
      <c r="AA7" t="n">
        <v>273.719043108846</v>
      </c>
      <c r="AB7" t="n">
        <v>395.847688786462</v>
      </c>
      <c r="AC7" t="n">
        <v>331.111476374996</v>
      </c>
      <c r="AD7" t="n">
        <v>405.020288065844</v>
      </c>
      <c r="AE7" t="n">
        <v>247.1</v>
      </c>
      <c r="AF7" t="n">
        <v>255</v>
      </c>
    </row>
    <row r="8">
      <c r="A8" t="s">
        <v>53</v>
      </c>
      <c r="B8" t="s">
        <v>286</v>
      </c>
      <c r="C8" t="s">
        <v>246</v>
      </c>
      <c r="D8" t="s">
        <v>287</v>
      </c>
      <c r="E8" t="s">
        <v>247</v>
      </c>
      <c r="F8" t="n">
        <v>135.016372372567</v>
      </c>
      <c r="G8" t="n">
        <v>154.01867663241</v>
      </c>
      <c r="H8" t="n">
        <v>164.63589964109</v>
      </c>
      <c r="I8" t="n">
        <v>149.089168197985</v>
      </c>
      <c r="J8" t="n">
        <v>139.795297972656</v>
      </c>
      <c r="K8" t="n">
        <v>172.967063593286</v>
      </c>
      <c r="L8" t="n">
        <v>136.103229291823</v>
      </c>
      <c r="M8" t="n">
        <v>227.514067178714</v>
      </c>
      <c r="N8" t="n">
        <v>143.485692902317</v>
      </c>
      <c r="O8" t="n">
        <v>190.254763690097</v>
      </c>
      <c r="P8" t="n">
        <v>146.705118359878</v>
      </c>
      <c r="Q8" t="n">
        <v>149.390058300579</v>
      </c>
      <c r="R8" t="n">
        <v>139.500857258146</v>
      </c>
      <c r="S8" t="n">
        <v>225.481871635958</v>
      </c>
      <c r="T8" t="n">
        <v>110.025498469999</v>
      </c>
      <c r="U8" t="n">
        <v>143.580786238677</v>
      </c>
      <c r="V8" t="n">
        <v>137.553698393858</v>
      </c>
      <c r="W8" t="n">
        <v>187.529623682003</v>
      </c>
      <c r="X8" t="n">
        <v>224.744051594028</v>
      </c>
      <c r="Y8" t="n">
        <v>221.093687279287</v>
      </c>
      <c r="Z8" t="n">
        <v>167.327497793399</v>
      </c>
      <c r="AA8" t="n">
        <v>171.860288799906</v>
      </c>
      <c r="AB8" t="n">
        <v>137.605675428626</v>
      </c>
      <c r="AC8" t="n">
        <v>123.292316076294</v>
      </c>
      <c r="AD8" t="n">
        <v>182.6</v>
      </c>
      <c r="AE8" t="n">
        <v>130</v>
      </c>
      <c r="AF8" t="n">
        <v>107</v>
      </c>
    </row>
    <row r="9">
      <c r="A9" t="s">
        <v>53</v>
      </c>
      <c r="B9" t="s">
        <v>288</v>
      </c>
      <c r="C9" t="s">
        <v>246</v>
      </c>
      <c r="D9" t="s">
        <v>289</v>
      </c>
      <c r="E9" t="s">
        <v>247</v>
      </c>
      <c r="F9" t="n">
        <v>236.461553048916</v>
      </c>
      <c r="G9" t="n">
        <v>262.75184712592</v>
      </c>
      <c r="H9" t="n">
        <v>248.454411802022</v>
      </c>
      <c r="I9" t="n">
        <v>271.514130837411</v>
      </c>
      <c r="J9" t="n">
        <v>295.575806077786</v>
      </c>
      <c r="K9" t="n">
        <v>309.581633276823</v>
      </c>
      <c r="L9" t="n">
        <v>305.443532915562</v>
      </c>
      <c r="M9" t="n">
        <v>314.604329095856</v>
      </c>
      <c r="N9" t="n">
        <v>306.721028636631</v>
      </c>
      <c r="O9" t="n">
        <v>260.600240024474</v>
      </c>
      <c r="P9" t="n">
        <v>238.912241184921</v>
      </c>
      <c r="Q9" t="n">
        <v>248.182795658202</v>
      </c>
      <c r="R9" t="n">
        <v>268.719048115835</v>
      </c>
      <c r="S9" t="n">
        <v>246.245913295208</v>
      </c>
      <c r="T9" t="n">
        <v>257.155542365249</v>
      </c>
      <c r="U9" t="n">
        <v>235.956339948042</v>
      </c>
      <c r="V9" t="n">
        <v>227.250571680239</v>
      </c>
      <c r="W9" t="n">
        <v>201.923860092285</v>
      </c>
      <c r="X9" t="n">
        <v>273.091290762478</v>
      </c>
      <c r="Y9" t="n">
        <v>255.060782692848</v>
      </c>
      <c r="Z9" t="n">
        <v>275.867571571493</v>
      </c>
      <c r="AA9" t="n">
        <v>253.392419741948</v>
      </c>
      <c r="AB9" t="n">
        <v>201.661443767984</v>
      </c>
      <c r="AC9" t="n">
        <v>168.067817198627</v>
      </c>
      <c r="AD9" t="n">
        <v>195.227255756067</v>
      </c>
      <c r="AE9" t="n">
        <v>161.8</v>
      </c>
      <c r="AF9" t="n">
        <v>195.3</v>
      </c>
    </row>
    <row r="10">
      <c r="A10" t="s">
        <v>53</v>
      </c>
      <c r="B10" t="s">
        <v>290</v>
      </c>
      <c r="C10" t="s">
        <v>246</v>
      </c>
      <c r="D10" t="s">
        <v>291</v>
      </c>
      <c r="E10" t="s">
        <v>247</v>
      </c>
      <c r="F10" t="n">
        <v>422.066487155154</v>
      </c>
      <c r="G10" t="n">
        <v>469.144276186886</v>
      </c>
      <c r="H10" t="n">
        <v>443.622368741512</v>
      </c>
      <c r="I10" t="n">
        <v>484.667802858717</v>
      </c>
      <c r="J10" t="n">
        <v>527.653860761929</v>
      </c>
      <c r="K10" t="n">
        <v>555.302144240967</v>
      </c>
      <c r="L10" t="n">
        <v>572.071735419143</v>
      </c>
      <c r="M10" t="n">
        <v>511.113271808907</v>
      </c>
      <c r="N10" t="n">
        <v>597.214362690734</v>
      </c>
      <c r="O10" t="n">
        <v>450.538328365439</v>
      </c>
      <c r="P10" t="n">
        <v>414.359591834211</v>
      </c>
      <c r="Q10" t="n">
        <v>425.591236364397</v>
      </c>
      <c r="R10" t="n">
        <v>484.958520221811</v>
      </c>
      <c r="S10" t="n">
        <v>474.13496061556</v>
      </c>
      <c r="T10" t="n">
        <v>455.046410253115</v>
      </c>
      <c r="U10" t="n">
        <v>424.365711030442</v>
      </c>
      <c r="V10" t="n">
        <v>408.245550019498</v>
      </c>
      <c r="W10" t="n">
        <v>473.736361576696</v>
      </c>
      <c r="X10" t="n">
        <v>500.970528582563</v>
      </c>
      <c r="Y10" t="n">
        <v>597.018256873382</v>
      </c>
      <c r="Z10" t="n">
        <v>577.271346765247</v>
      </c>
      <c r="AA10" t="n">
        <v>524.524245657039</v>
      </c>
      <c r="AB10" t="n">
        <v>414.202146495099</v>
      </c>
      <c r="AC10" t="n">
        <v>397.042910062232</v>
      </c>
      <c r="AD10" t="n">
        <v>352.882726994803</v>
      </c>
      <c r="AE10" t="n">
        <v>328.2</v>
      </c>
      <c r="AF10" t="n">
        <v>343.9</v>
      </c>
    </row>
    <row r="11">
      <c r="A11" t="s">
        <v>53</v>
      </c>
      <c r="B11" t="s">
        <v>292</v>
      </c>
      <c r="C11" t="s">
        <v>246</v>
      </c>
      <c r="D11" t="s">
        <v>293</v>
      </c>
      <c r="E11" t="s">
        <v>247</v>
      </c>
      <c r="F11" t="n">
        <v>186.063921224952</v>
      </c>
      <c r="G11" t="n">
        <v>206.899583507777</v>
      </c>
      <c r="H11" t="n">
        <v>195.647396777238</v>
      </c>
      <c r="I11" t="n">
        <v>213.680039723443</v>
      </c>
      <c r="J11" t="n">
        <v>232.650400833292</v>
      </c>
      <c r="K11" t="n">
        <v>246.268340050558</v>
      </c>
      <c r="L11" t="n">
        <v>266.697276706244</v>
      </c>
      <c r="M11" t="n">
        <v>198.024544693329</v>
      </c>
      <c r="N11" t="n">
        <v>290.342037059257</v>
      </c>
      <c r="O11" t="n">
        <v>190.727258218586</v>
      </c>
      <c r="P11" t="n">
        <v>176.150087374575</v>
      </c>
      <c r="Q11" t="n">
        <v>178.210956623416</v>
      </c>
      <c r="R11" t="n">
        <v>216.763148074131</v>
      </c>
      <c r="S11" t="n">
        <v>227.953597401094</v>
      </c>
      <c r="T11" t="n">
        <v>198.471598803885</v>
      </c>
      <c r="U11" t="n">
        <v>188.863291448781</v>
      </c>
      <c r="V11" t="n">
        <v>181.437730067452</v>
      </c>
      <c r="W11" t="n">
        <v>270.952149203227</v>
      </c>
      <c r="X11" t="n">
        <v>228.329366913158</v>
      </c>
      <c r="Y11" t="n">
        <v>340.909804979187</v>
      </c>
      <c r="Z11" t="n">
        <v>301.105639541593</v>
      </c>
      <c r="AA11" t="n">
        <v>270.927149726113</v>
      </c>
      <c r="AB11" t="n">
        <v>212.393506266768</v>
      </c>
      <c r="AC11" t="n">
        <v>228.572110552764</v>
      </c>
      <c r="AD11" t="n">
        <v>157.8</v>
      </c>
      <c r="AE11" t="n">
        <v>166.4</v>
      </c>
      <c r="AF11" t="n">
        <v>148.6</v>
      </c>
    </row>
    <row r="12">
      <c r="A12" t="s">
        <v>53</v>
      </c>
      <c r="B12" t="s">
        <v>294</v>
      </c>
      <c r="C12" t="s">
        <v>246</v>
      </c>
      <c r="D12" t="s">
        <v>295</v>
      </c>
      <c r="E12" t="s">
        <v>247</v>
      </c>
      <c r="F12" t="n">
        <v>319.79974149893</v>
      </c>
      <c r="G12" t="n">
        <v>360.950443530042</v>
      </c>
      <c r="H12" t="n">
        <v>344.911355791586</v>
      </c>
      <c r="I12" t="n">
        <v>367.203406146078</v>
      </c>
      <c r="J12" t="n">
        <v>385.284384870142</v>
      </c>
      <c r="K12" t="n">
        <v>397.87453816033</v>
      </c>
      <c r="L12" t="n">
        <v>426.060463697305</v>
      </c>
      <c r="M12" t="n">
        <v>434.050633962834</v>
      </c>
      <c r="N12" t="n">
        <v>369.547382872135</v>
      </c>
      <c r="O12" t="n">
        <v>375.528632166479</v>
      </c>
      <c r="P12" t="n">
        <v>327.920009813149</v>
      </c>
      <c r="Q12" t="n">
        <v>339.357788685738</v>
      </c>
      <c r="R12" t="n">
        <v>368.971301204994</v>
      </c>
      <c r="S12" t="n">
        <v>299.450347304658</v>
      </c>
      <c r="T12" t="n">
        <v>373.29740686605</v>
      </c>
      <c r="U12" t="n">
        <v>332.647398304577</v>
      </c>
      <c r="V12" t="n">
        <v>317.499520421855</v>
      </c>
      <c r="W12" t="n">
        <v>327.244259852278</v>
      </c>
      <c r="X12" t="n">
        <v>332.074433429433</v>
      </c>
      <c r="Y12" t="n">
        <v>311.95799327396</v>
      </c>
      <c r="Z12" t="n">
        <v>368.122641769468</v>
      </c>
      <c r="AA12" t="n">
        <v>327.131038043981</v>
      </c>
      <c r="AB12" t="n">
        <v>299.228390653498</v>
      </c>
      <c r="AC12" t="n">
        <v>355.609108169535</v>
      </c>
      <c r="AD12" t="n">
        <v>428.796209653539</v>
      </c>
      <c r="AE12" t="n">
        <v>339.2</v>
      </c>
      <c r="AF12" t="n">
        <v>363.6</v>
      </c>
    </row>
    <row r="13">
      <c r="A13" t="s">
        <v>53</v>
      </c>
      <c r="B13" t="s">
        <v>296</v>
      </c>
      <c r="C13" t="s">
        <v>246</v>
      </c>
      <c r="D13" t="s">
        <v>297</v>
      </c>
      <c r="E13" t="s">
        <v>247</v>
      </c>
      <c r="F13" t="n">
        <v>462.68238684853</v>
      </c>
      <c r="G13" t="n">
        <v>519.27593839539</v>
      </c>
      <c r="H13" t="n">
        <v>492.098608286255</v>
      </c>
      <c r="I13" t="n">
        <v>538.031546111495</v>
      </c>
      <c r="J13" t="n">
        <v>569.336189573585</v>
      </c>
      <c r="K13" t="n">
        <v>517.375053972484</v>
      </c>
      <c r="L13" t="n">
        <v>653.512826451676</v>
      </c>
      <c r="M13" t="n">
        <v>605.155640562017</v>
      </c>
      <c r="N13" t="n">
        <v>491.597378713213</v>
      </c>
      <c r="O13" t="n">
        <v>493.511139798228</v>
      </c>
      <c r="P13" t="n">
        <v>449.942182633604</v>
      </c>
      <c r="Q13" t="n">
        <v>475.976573075296</v>
      </c>
      <c r="R13" t="n">
        <v>541.089192137333</v>
      </c>
      <c r="S13" t="n">
        <v>535.892657278871</v>
      </c>
      <c r="T13" t="n">
        <v>450.764704005887</v>
      </c>
      <c r="U13" t="n">
        <v>475.777993712906</v>
      </c>
      <c r="V13" t="n">
        <v>454.949239621096</v>
      </c>
      <c r="W13" t="n">
        <v>537.529450412128</v>
      </c>
      <c r="X13" t="n">
        <v>457.52411538695</v>
      </c>
      <c r="Y13" t="n">
        <v>553.784863222562</v>
      </c>
      <c r="Z13" t="n">
        <v>555.441351876808</v>
      </c>
      <c r="AA13" t="n">
        <v>587.976385157877</v>
      </c>
      <c r="AB13" t="n">
        <v>534.017808489635</v>
      </c>
      <c r="AC13" t="n">
        <v>741.18512668641</v>
      </c>
      <c r="AD13" t="n">
        <v>780.616337611056</v>
      </c>
      <c r="AE13" t="n">
        <v>616.1</v>
      </c>
      <c r="AF13" t="n">
        <v>786.2</v>
      </c>
    </row>
    <row r="14">
      <c r="A14" t="s">
        <v>53</v>
      </c>
      <c r="B14" t="s">
        <v>298</v>
      </c>
      <c r="C14" t="s">
        <v>246</v>
      </c>
      <c r="D14" t="s">
        <v>299</v>
      </c>
      <c r="E14" t="s">
        <v>247</v>
      </c>
      <c r="F14" t="n">
        <v>77.6050173344215</v>
      </c>
      <c r="G14" t="n">
        <v>81.2006165931592</v>
      </c>
      <c r="H14" t="n">
        <v>85.832380819507</v>
      </c>
      <c r="I14" t="n">
        <v>91.9732340813904</v>
      </c>
      <c r="J14" t="n">
        <v>99.4341896484648</v>
      </c>
      <c r="K14" t="n">
        <v>100.875264860761</v>
      </c>
      <c r="L14" t="n">
        <v>107.412289648435</v>
      </c>
      <c r="M14" t="n">
        <v>98.2550207152732</v>
      </c>
      <c r="N14" t="n">
        <v>85.9880302502148</v>
      </c>
      <c r="O14" t="n">
        <v>91.5731797116632</v>
      </c>
      <c r="P14" t="n">
        <v>82.1117441694987</v>
      </c>
      <c r="Q14" t="n">
        <v>81.2358855650241</v>
      </c>
      <c r="R14" t="n">
        <v>92.4592644917708</v>
      </c>
      <c r="S14" t="n">
        <v>87.357345617788</v>
      </c>
      <c r="T14" t="n">
        <v>69.9264135455611</v>
      </c>
      <c r="U14" t="n">
        <v>78.0828373161671</v>
      </c>
      <c r="V14" t="n">
        <v>75.3635345240618</v>
      </c>
      <c r="W14" t="n">
        <v>103.421368851317</v>
      </c>
      <c r="X14" t="n">
        <v>104.876641396129</v>
      </c>
      <c r="Y14" t="n">
        <v>84.4730090944389</v>
      </c>
      <c r="Z14" t="n">
        <v>68.4675968449663</v>
      </c>
      <c r="AA14" t="n">
        <v>55.834843060895</v>
      </c>
      <c r="AB14" t="n">
        <v>209.060620490794</v>
      </c>
      <c r="AC14" t="n">
        <v>180.470276517725</v>
      </c>
      <c r="AD14" t="n">
        <v>163.076762402089</v>
      </c>
      <c r="AE14" t="n">
        <v>154.6</v>
      </c>
      <c r="AF14" t="n">
        <v>195.7</v>
      </c>
    </row>
    <row r="15">
      <c r="A15" t="s">
        <v>53</v>
      </c>
      <c r="B15" t="s">
        <v>300</v>
      </c>
      <c r="C15" t="s">
        <v>246</v>
      </c>
      <c r="D15" t="s">
        <v>301</v>
      </c>
      <c r="E15" t="s">
        <v>247</v>
      </c>
      <c r="F15" t="n">
        <v>336.356015946668</v>
      </c>
      <c r="G15" t="n">
        <v>356.336074062303</v>
      </c>
      <c r="H15" t="n">
        <v>368.523464217528</v>
      </c>
      <c r="I15" t="n">
        <v>397.473884366685</v>
      </c>
      <c r="J15" t="n">
        <v>426.437940942157</v>
      </c>
      <c r="K15" t="n">
        <v>385.042578416185</v>
      </c>
      <c r="L15" t="n">
        <v>528.051044414447</v>
      </c>
      <c r="M15" t="n">
        <v>421.616341352912</v>
      </c>
      <c r="N15" t="n">
        <v>406.377196484735</v>
      </c>
      <c r="O15" t="n">
        <v>380.579226527346</v>
      </c>
      <c r="P15" t="n">
        <v>325.228498911355</v>
      </c>
      <c r="Q15" t="n">
        <v>359.51598145455</v>
      </c>
      <c r="R15" t="n">
        <v>386.733822555853</v>
      </c>
      <c r="S15" t="n">
        <v>391.637283371059</v>
      </c>
      <c r="T15" t="n">
        <v>343.42455744689</v>
      </c>
      <c r="U15" t="n">
        <v>348.568723975453</v>
      </c>
      <c r="V15" t="n">
        <v>334.605884600068</v>
      </c>
      <c r="W15" t="n">
        <v>324.01646441308</v>
      </c>
      <c r="X15" t="n">
        <v>353.18095285855</v>
      </c>
      <c r="Y15" t="n">
        <v>356.131758860537</v>
      </c>
      <c r="Z15" t="n">
        <v>263.695962921265</v>
      </c>
      <c r="AA15" t="n">
        <v>266.587147391857</v>
      </c>
      <c r="AB15" t="n">
        <v>485.112668885857</v>
      </c>
      <c r="AC15" t="n">
        <v>453.470504774898</v>
      </c>
      <c r="AD15" t="n">
        <v>444.08</v>
      </c>
      <c r="AE15" t="n">
        <v>341.6</v>
      </c>
      <c r="AF15" t="n">
        <v>420.4</v>
      </c>
    </row>
    <row r="16">
      <c r="A16" t="s">
        <v>53</v>
      </c>
      <c r="B16" t="s">
        <v>302</v>
      </c>
      <c r="C16" t="s">
        <v>246</v>
      </c>
      <c r="D16" t="s">
        <v>303</v>
      </c>
      <c r="E16" t="s">
        <v>247</v>
      </c>
      <c r="F16" t="n">
        <v>260.339401629033</v>
      </c>
      <c r="G16" t="n">
        <v>276.828067972766</v>
      </c>
      <c r="H16" t="n">
        <v>284.424405458035</v>
      </c>
      <c r="I16" t="n">
        <v>307.375483720243</v>
      </c>
      <c r="J16" t="n">
        <v>329.008145826166</v>
      </c>
      <c r="K16" t="n">
        <v>285.863875697715</v>
      </c>
      <c r="L16" t="n">
        <v>423.290958667935</v>
      </c>
      <c r="M16" t="n">
        <v>325.24976609763</v>
      </c>
      <c r="N16" t="n">
        <v>322.438512952104</v>
      </c>
      <c r="O16" t="n">
        <v>290.613412972416</v>
      </c>
      <c r="P16" t="n">
        <v>244.379460908622</v>
      </c>
      <c r="Q16" t="n">
        <v>279.985164047483</v>
      </c>
      <c r="R16" t="n">
        <v>295.927379793958</v>
      </c>
      <c r="S16" t="n">
        <v>306.187635662727</v>
      </c>
      <c r="T16" t="n">
        <v>275.452691896651</v>
      </c>
      <c r="U16" t="n">
        <v>272.107535866028</v>
      </c>
      <c r="V16" t="n">
        <v>260.778227358478</v>
      </c>
      <c r="W16" t="n">
        <v>220.56570193697</v>
      </c>
      <c r="X16" t="n">
        <v>248.658057144447</v>
      </c>
      <c r="Y16" t="n">
        <v>273.038323653001</v>
      </c>
      <c r="Z16" t="n">
        <v>195.998464696968</v>
      </c>
      <c r="AA16" t="n">
        <v>212.2050560931</v>
      </c>
      <c r="AB16" t="n">
        <v>275.937274272417</v>
      </c>
      <c r="AC16" t="n">
        <v>273.006072457802</v>
      </c>
      <c r="AD16" t="n">
        <v>281.107142857143</v>
      </c>
      <c r="AE16" t="n">
        <v>187</v>
      </c>
      <c r="AF16" t="n">
        <v>224.7</v>
      </c>
    </row>
    <row r="17">
      <c r="A17" t="s">
        <v>53</v>
      </c>
      <c r="B17" t="s">
        <v>304</v>
      </c>
      <c r="C17" t="s">
        <v>246</v>
      </c>
      <c r="D17" t="s">
        <v>305</v>
      </c>
      <c r="E17" t="s">
        <v>247</v>
      </c>
      <c r="F17" t="n">
        <v>410.853006552956</v>
      </c>
      <c r="G17" t="n">
        <v>466.003019506442</v>
      </c>
      <c r="H17" t="n">
        <v>433.74343925645</v>
      </c>
      <c r="I17" t="n">
        <v>481.394126949412</v>
      </c>
      <c r="J17" t="n">
        <v>496.701615635303</v>
      </c>
      <c r="K17" t="n">
        <v>515.830047559641</v>
      </c>
      <c r="L17" t="n">
        <v>557.6507314736</v>
      </c>
      <c r="M17" t="n">
        <v>505.750805070107</v>
      </c>
      <c r="N17" t="n">
        <v>476.736183324014</v>
      </c>
      <c r="O17" t="n">
        <v>435.160353382966</v>
      </c>
      <c r="P17" t="n">
        <v>462.903224241315</v>
      </c>
      <c r="Q17" t="n">
        <v>431.584689267892</v>
      </c>
      <c r="R17" t="n">
        <v>456.695459750179</v>
      </c>
      <c r="S17" t="n">
        <v>461.387536391448</v>
      </c>
      <c r="T17" t="n">
        <v>406.644914420125</v>
      </c>
      <c r="U17" t="n">
        <v>419.14465893874</v>
      </c>
      <c r="V17" t="n">
        <v>401.819750537327</v>
      </c>
      <c r="W17" t="n">
        <v>587.797135076563</v>
      </c>
      <c r="X17" t="n">
        <v>620.866857033291</v>
      </c>
      <c r="Y17" t="n">
        <v>792.865102477066</v>
      </c>
      <c r="Z17" t="n">
        <v>712.35604731768</v>
      </c>
      <c r="AA17" t="n">
        <v>717.629142116193</v>
      </c>
      <c r="AB17" t="n">
        <v>758.465844117074</v>
      </c>
      <c r="AC17" t="n">
        <v>946.727021799154</v>
      </c>
      <c r="AD17" t="n">
        <v>807.828812866294</v>
      </c>
      <c r="AE17" t="n">
        <v>735</v>
      </c>
      <c r="AF17" t="n">
        <v>837.3</v>
      </c>
    </row>
    <row r="18">
      <c r="A18" t="s">
        <v>53</v>
      </c>
      <c r="B18" t="s">
        <v>306</v>
      </c>
      <c r="C18" t="s">
        <v>246</v>
      </c>
      <c r="D18" t="s">
        <v>307</v>
      </c>
      <c r="E18" t="s">
        <v>247</v>
      </c>
      <c r="F18" t="n">
        <v>469.454147540359</v>
      </c>
      <c r="G18" t="n">
        <v>513.075993108268</v>
      </c>
      <c r="H18" t="n">
        <v>505.052464592752</v>
      </c>
      <c r="I18" t="n">
        <v>600.483488118482</v>
      </c>
      <c r="J18" t="n">
        <v>574.43971510373</v>
      </c>
      <c r="K18" t="n">
        <v>525.650617999821</v>
      </c>
      <c r="L18" t="n">
        <v>558.678448033643</v>
      </c>
      <c r="M18" t="n">
        <v>603.100499604867</v>
      </c>
      <c r="N18" t="n">
        <v>565.481835520307</v>
      </c>
      <c r="O18" t="n">
        <v>489.911615203064</v>
      </c>
      <c r="P18" t="n">
        <v>644.968584408595</v>
      </c>
      <c r="Q18" t="n">
        <v>486.201951675963</v>
      </c>
      <c r="R18" t="n">
        <v>498.95085986648</v>
      </c>
      <c r="S18" t="n">
        <v>525.642391372552</v>
      </c>
      <c r="T18" t="n">
        <v>508.374107785011</v>
      </c>
      <c r="U18" t="n">
        <v>477.791342945605</v>
      </c>
      <c r="V18" t="n">
        <v>457.883370322871</v>
      </c>
      <c r="W18" t="n">
        <v>558.41367983568</v>
      </c>
      <c r="X18" t="n">
        <v>952.511377400142</v>
      </c>
      <c r="Y18" t="n">
        <v>758.387076173965</v>
      </c>
      <c r="Z18" t="n">
        <v>658.853215902037</v>
      </c>
      <c r="AA18" t="n">
        <v>661.152354722511</v>
      </c>
      <c r="AB18" t="n">
        <v>843.46379940167</v>
      </c>
      <c r="AC18" t="n">
        <v>1155.10063708555</v>
      </c>
      <c r="AD18" t="n">
        <v>1302.30266750683</v>
      </c>
      <c r="AE18" t="n">
        <v>957.2</v>
      </c>
      <c r="AF18" t="n">
        <v>1882.9</v>
      </c>
    </row>
    <row r="19">
      <c r="A19" t="s">
        <v>53</v>
      </c>
      <c r="B19" t="s">
        <v>308</v>
      </c>
      <c r="C19" t="s">
        <v>246</v>
      </c>
      <c r="D19" t="s">
        <v>309</v>
      </c>
      <c r="E19" t="s">
        <v>247</v>
      </c>
      <c r="F19" t="n">
        <v>358.748203907204</v>
      </c>
      <c r="G19" t="n">
        <v>386.718402855902</v>
      </c>
      <c r="H19" t="n">
        <v>382.902585598121</v>
      </c>
      <c r="I19" t="n">
        <v>410.909498028275</v>
      </c>
      <c r="J19" t="n">
        <v>430.437325578481</v>
      </c>
      <c r="K19" t="n">
        <v>483.992818696149</v>
      </c>
      <c r="L19" t="n">
        <v>474.23752135613</v>
      </c>
      <c r="M19" t="n">
        <v>432.895034157128</v>
      </c>
      <c r="N19" t="n">
        <v>413.423942097444</v>
      </c>
      <c r="O19" t="n">
        <v>403.118301801682</v>
      </c>
      <c r="P19" t="n">
        <v>356.006606196765</v>
      </c>
      <c r="Q19" t="n">
        <v>375.916730979297</v>
      </c>
      <c r="R19" t="n">
        <v>404.04128169174</v>
      </c>
      <c r="S19" t="n">
        <v>372.072230801402</v>
      </c>
      <c r="T19" t="n">
        <v>331.035628084717</v>
      </c>
      <c r="U19" t="n">
        <v>358.126992045066</v>
      </c>
      <c r="V19" t="n">
        <v>343.578082993235</v>
      </c>
      <c r="W19" t="n">
        <v>256.205645439983</v>
      </c>
      <c r="X19" t="n">
        <v>308.947900241563</v>
      </c>
      <c r="Y19" t="n">
        <v>421.573359376608</v>
      </c>
      <c r="Z19" t="n">
        <v>310.946270426271</v>
      </c>
      <c r="AA19" t="n">
        <v>382.625443154405</v>
      </c>
      <c r="AB19" t="n">
        <v>313.283935203346</v>
      </c>
      <c r="AC19" t="n">
        <v>382.048711041226</v>
      </c>
      <c r="AD19" t="n">
        <v>429.267090620032</v>
      </c>
      <c r="AE19" t="n">
        <v>315.8</v>
      </c>
      <c r="AF19" t="n">
        <v>380.8</v>
      </c>
    </row>
    <row r="20">
      <c r="A20" t="s">
        <v>53</v>
      </c>
      <c r="B20" t="s">
        <v>310</v>
      </c>
      <c r="C20" t="s">
        <v>246</v>
      </c>
      <c r="D20" t="s">
        <v>311</v>
      </c>
      <c r="E20" t="s">
        <v>247</v>
      </c>
      <c r="F20" t="n">
        <v>572.480387625493</v>
      </c>
      <c r="G20" t="n">
        <v>674.447382757534</v>
      </c>
      <c r="H20" t="n">
        <v>651.638588563251</v>
      </c>
      <c r="I20" t="n">
        <v>607.676634253689</v>
      </c>
      <c r="J20" t="n">
        <v>659.882995442633</v>
      </c>
      <c r="K20" t="n">
        <v>571.401952084609</v>
      </c>
      <c r="L20" t="n">
        <v>852.878854556396</v>
      </c>
      <c r="M20" t="n">
        <v>814.611856096827</v>
      </c>
      <c r="N20" t="n">
        <v>792.322087905183</v>
      </c>
      <c r="O20" t="n">
        <v>686.671184214345</v>
      </c>
      <c r="P20" t="n">
        <v>557.710704106716</v>
      </c>
      <c r="Q20" t="n">
        <v>562.46102849781</v>
      </c>
      <c r="R20" t="n">
        <v>640.309538356931</v>
      </c>
      <c r="S20" t="n">
        <v>553.585165644063</v>
      </c>
      <c r="T20" t="n">
        <v>924.69422395502</v>
      </c>
      <c r="U20" t="n">
        <v>616.497974109398</v>
      </c>
      <c r="V20" t="n">
        <v>589.420658279276</v>
      </c>
      <c r="W20" t="n">
        <v>530.519144268223</v>
      </c>
      <c r="X20" t="n">
        <v>855.745539033311</v>
      </c>
      <c r="Y20" t="n">
        <v>772.357196361086</v>
      </c>
      <c r="Z20" t="n">
        <v>799.619301131314</v>
      </c>
      <c r="AA20" t="n">
        <v>1016.0145487581</v>
      </c>
      <c r="AB20" t="n">
        <v>990.172549306332</v>
      </c>
      <c r="AC20" t="n">
        <v>1084.21071996012</v>
      </c>
      <c r="AD20" t="n">
        <v>1137.79060756355</v>
      </c>
      <c r="AE20" t="n">
        <v>977.5</v>
      </c>
      <c r="AF20" t="n">
        <v>1009.7</v>
      </c>
    </row>
    <row r="21">
      <c r="A21" t="s">
        <v>53</v>
      </c>
      <c r="B21" t="s">
        <v>312</v>
      </c>
      <c r="C21" t="s">
        <v>246</v>
      </c>
      <c r="D21" t="s">
        <v>313</v>
      </c>
      <c r="E21" t="s">
        <v>247</v>
      </c>
      <c r="F21" t="n">
        <v>667.643109211409</v>
      </c>
      <c r="G21" t="n">
        <v>767.331668805827</v>
      </c>
      <c r="H21" t="n">
        <v>748.92034782749</v>
      </c>
      <c r="I21" t="n">
        <v>704.077327560259</v>
      </c>
      <c r="J21" t="n">
        <v>767.763396340541</v>
      </c>
      <c r="K21" t="n">
        <v>680.765082928512</v>
      </c>
      <c r="L21" t="n">
        <v>966.848351684198</v>
      </c>
      <c r="M21" t="n">
        <v>931.313535641779</v>
      </c>
      <c r="N21" t="n">
        <v>898.663757015682</v>
      </c>
      <c r="O21" t="n">
        <v>794.870370302481</v>
      </c>
      <c r="P21" t="n">
        <v>645.88298022241</v>
      </c>
      <c r="Q21" t="n">
        <v>671.205045023676</v>
      </c>
      <c r="R21" t="n">
        <v>743.12384732676</v>
      </c>
      <c r="S21" t="n">
        <v>648.344851441293</v>
      </c>
      <c r="T21" t="n">
        <v>1032.08742376873</v>
      </c>
      <c r="U21" t="n">
        <v>714.456907631449</v>
      </c>
      <c r="V21" t="n">
        <v>682.728530567532</v>
      </c>
      <c r="W21" t="n">
        <v>635.306933422731</v>
      </c>
      <c r="X21" t="n">
        <v>974.535501860805</v>
      </c>
      <c r="Y21" t="n">
        <v>936.599160072551</v>
      </c>
      <c r="Z21" t="n">
        <v>992.580756352856</v>
      </c>
      <c r="AA21" t="n">
        <v>1287.8083245832</v>
      </c>
      <c r="AB21" t="n">
        <v>1341.61477830526</v>
      </c>
      <c r="AC21" t="n">
        <v>1526.52912868358</v>
      </c>
      <c r="AD21" t="n">
        <v>1544.4347387417</v>
      </c>
      <c r="AE21" t="n">
        <v>1233.1</v>
      </c>
      <c r="AF21" t="n">
        <v>1274.3</v>
      </c>
    </row>
    <row r="22">
      <c r="A22" t="s">
        <v>53</v>
      </c>
      <c r="B22" t="s">
        <v>314</v>
      </c>
      <c r="C22" t="s">
        <v>246</v>
      </c>
      <c r="D22" t="s">
        <v>315</v>
      </c>
      <c r="E22" t="s">
        <v>247</v>
      </c>
      <c r="F22" t="n">
        <v>94.1011025300255</v>
      </c>
      <c r="G22" t="n">
        <v>91.3602937184714</v>
      </c>
      <c r="H22" t="n">
        <v>95.9209525031294</v>
      </c>
      <c r="I22" t="n">
        <v>95.21252597061</v>
      </c>
      <c r="J22" t="n">
        <v>106.632525472865</v>
      </c>
      <c r="K22" t="n">
        <v>108.493941129499</v>
      </c>
      <c r="L22" t="n">
        <v>112.010551466229</v>
      </c>
      <c r="M22" t="n">
        <v>114.93809997046</v>
      </c>
      <c r="N22" t="n">
        <v>104.534220231755</v>
      </c>
      <c r="O22" t="n">
        <v>106.841014871015</v>
      </c>
      <c r="P22" t="n">
        <v>87.0730737935588</v>
      </c>
      <c r="Q22" t="n">
        <v>107.892395268637</v>
      </c>
      <c r="R22" t="n">
        <v>101.578942671935</v>
      </c>
      <c r="S22" t="n">
        <v>93.7651778510169</v>
      </c>
      <c r="T22" t="n">
        <v>105.094687257642</v>
      </c>
      <c r="U22" t="n">
        <v>96.7385347539759</v>
      </c>
      <c r="V22" t="n">
        <v>92.1369179656786</v>
      </c>
      <c r="W22" t="n">
        <v>103.97573982719</v>
      </c>
      <c r="X22" t="n">
        <v>116.894569224557</v>
      </c>
      <c r="Y22" t="n">
        <v>163.229249152481</v>
      </c>
      <c r="Z22" t="n">
        <v>192.189277227921</v>
      </c>
      <c r="AA22" t="n">
        <v>271.166895753092</v>
      </c>
      <c r="AB22" t="n">
        <v>351.88109656916</v>
      </c>
      <c r="AC22" t="n">
        <v>443.374266193643</v>
      </c>
      <c r="AD22" t="n">
        <v>407.251253481894</v>
      </c>
      <c r="AE22" t="n">
        <v>255.6</v>
      </c>
      <c r="AF22" t="n">
        <v>264.6</v>
      </c>
    </row>
    <row r="23">
      <c r="A23" t="s">
        <v>53</v>
      </c>
      <c r="B23" t="s">
        <v>316</v>
      </c>
      <c r="C23" t="s">
        <v>246</v>
      </c>
      <c r="D23" t="s">
        <v>317</v>
      </c>
      <c r="E23" t="s">
        <v>247</v>
      </c>
      <c r="F23" t="n">
        <v>156.716305651096</v>
      </c>
      <c r="G23" t="n">
        <v>181.68922840275</v>
      </c>
      <c r="H23" t="n">
        <v>177.067562815398</v>
      </c>
      <c r="I23" t="n">
        <v>183.883203489361</v>
      </c>
      <c r="J23" t="n">
        <v>189.832365955193</v>
      </c>
      <c r="K23" t="n">
        <v>183.430586236126</v>
      </c>
      <c r="L23" t="n">
        <v>232.07233276071</v>
      </c>
      <c r="M23" t="n">
        <v>216.82579285936</v>
      </c>
      <c r="N23" t="n">
        <v>189.828975128133</v>
      </c>
      <c r="O23" t="n">
        <v>162.063657359862</v>
      </c>
      <c r="P23" t="n">
        <v>165.991073147628</v>
      </c>
      <c r="Q23" t="n">
        <v>155.828354383487</v>
      </c>
      <c r="R23" t="n">
        <v>192.682645583559</v>
      </c>
      <c r="S23" t="n">
        <v>149.239895429554</v>
      </c>
      <c r="T23" t="n">
        <v>169.985299333237</v>
      </c>
      <c r="U23" t="n">
        <v>165.152589957879</v>
      </c>
      <c r="V23" t="n">
        <v>157.664304823143</v>
      </c>
      <c r="W23" t="n">
        <v>139.180917390321</v>
      </c>
      <c r="X23" t="n">
        <v>148.480082942832</v>
      </c>
      <c r="Y23" t="n">
        <v>161.752045663979</v>
      </c>
      <c r="Z23" t="n">
        <v>140.102632286391</v>
      </c>
      <c r="AA23" t="n">
        <v>188.909294733795</v>
      </c>
      <c r="AB23" t="n">
        <v>295.967938107652</v>
      </c>
      <c r="AC23" t="n">
        <v>222.977198296936</v>
      </c>
      <c r="AD23" t="n">
        <v>196.360550752482</v>
      </c>
      <c r="AE23" t="n">
        <v>316.1</v>
      </c>
      <c r="AF23" t="n">
        <v>290.3</v>
      </c>
    </row>
    <row r="24">
      <c r="A24" t="s">
        <v>53</v>
      </c>
      <c r="B24" t="s">
        <v>318</v>
      </c>
      <c r="C24" t="s">
        <v>246</v>
      </c>
      <c r="D24" t="s">
        <v>319</v>
      </c>
      <c r="E24" t="s">
        <v>247</v>
      </c>
      <c r="F24" t="n">
        <v>1315.07082152026</v>
      </c>
      <c r="G24" t="n">
        <v>1405.45526718108</v>
      </c>
      <c r="H24" t="n">
        <v>1400.15721591213</v>
      </c>
      <c r="I24" t="n">
        <v>1477.59702951505</v>
      </c>
      <c r="J24" t="n">
        <v>1573.28167433015</v>
      </c>
      <c r="K24" t="n">
        <v>1498.39522553083</v>
      </c>
      <c r="L24" t="n">
        <v>1703.50470781352</v>
      </c>
      <c r="M24" t="n">
        <v>1847.10635159173</v>
      </c>
      <c r="N24" t="n">
        <v>1328.73086796548</v>
      </c>
      <c r="O24" t="n">
        <v>1319.77829724442</v>
      </c>
      <c r="P24" t="n">
        <v>1246.0666519801</v>
      </c>
      <c r="Q24" t="n">
        <v>1536.55229198428</v>
      </c>
      <c r="R24" t="n">
        <v>1437.76351804878</v>
      </c>
      <c r="S24" t="n">
        <v>1283.35003624281</v>
      </c>
      <c r="T24" t="n">
        <v>1358.22997575314</v>
      </c>
      <c r="U24" t="n">
        <v>1337.09723414447</v>
      </c>
      <c r="V24" t="n">
        <v>1279.35022635828</v>
      </c>
      <c r="W24" t="n">
        <v>1348.77470596275</v>
      </c>
      <c r="X24" t="n">
        <v>1257.63709080462</v>
      </c>
      <c r="Y24" t="n">
        <v>1514.78570209989</v>
      </c>
      <c r="Z24" t="n">
        <v>1353.84951850321</v>
      </c>
      <c r="AA24" t="n">
        <v>1848.78088498137</v>
      </c>
      <c r="AB24" t="n">
        <v>2027.02566323843</v>
      </c>
      <c r="AC24" t="n">
        <v>2191.01432265236</v>
      </c>
      <c r="AD24" t="n">
        <v>1991.17578221672</v>
      </c>
      <c r="AE24" t="n">
        <v>1722.6</v>
      </c>
      <c r="AF24" t="n">
        <v>1903.2</v>
      </c>
    </row>
    <row r="25">
      <c r="A25" t="s">
        <v>53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53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53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53</v>
      </c>
      <c r="B28" t="s">
        <v>326</v>
      </c>
      <c r="C28" t="s">
        <v>246</v>
      </c>
      <c r="D28" t="s">
        <v>327</v>
      </c>
      <c r="E28" t="s">
        <v>247</v>
      </c>
      <c r="F28" t="n">
        <v>840.35054988976</v>
      </c>
      <c r="G28" t="n">
        <v>962.474512260204</v>
      </c>
      <c r="H28" t="n">
        <v>915.651427879978</v>
      </c>
      <c r="I28" t="n">
        <v>933.06189768299</v>
      </c>
      <c r="J28" t="n">
        <v>917.490555608756</v>
      </c>
      <c r="K28" t="n">
        <v>1009.08259624283</v>
      </c>
      <c r="L28" t="n">
        <v>969.621265663502</v>
      </c>
      <c r="M28" t="n">
        <v>1123.24567400441</v>
      </c>
      <c r="N28" t="n">
        <v>860.498147921509</v>
      </c>
      <c r="O28" t="n">
        <v>1079.58605426307</v>
      </c>
      <c r="P28" t="n">
        <v>1071.96463169581</v>
      </c>
      <c r="Q28" t="n">
        <v>1094.51331978364</v>
      </c>
      <c r="R28" t="n">
        <v>1185.09677983841</v>
      </c>
      <c r="S28" t="n">
        <v>959.333255731635</v>
      </c>
      <c r="T28" t="n">
        <v>1126.62814079431</v>
      </c>
      <c r="U28" t="n">
        <v>920.369171306516</v>
      </c>
      <c r="V28" t="n">
        <v>885.119685948973</v>
      </c>
      <c r="W28" t="n">
        <v>788.405641810603</v>
      </c>
      <c r="X28" t="n">
        <v>719.020239630063</v>
      </c>
      <c r="Y28" t="n">
        <v>799.382542016794</v>
      </c>
      <c r="Z28" t="n">
        <v>1080.22993471709</v>
      </c>
      <c r="AA28" t="n">
        <v>1057.96448947445</v>
      </c>
      <c r="AB28" t="n">
        <v>924.310990756622</v>
      </c>
      <c r="AC28" t="n">
        <v>942.919928975142</v>
      </c>
      <c r="AD28" t="n">
        <v>955.934766428362</v>
      </c>
      <c r="AE28" t="n">
        <v>1033.9</v>
      </c>
      <c r="AF28" t="n">
        <v>1045.1</v>
      </c>
    </row>
    <row r="29">
      <c r="A29" t="s">
        <v>53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53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53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53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53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53</v>
      </c>
      <c r="B34" t="s">
        <v>338</v>
      </c>
      <c r="C34" t="s">
        <v>246</v>
      </c>
      <c r="D34" t="s">
        <v>339</v>
      </c>
      <c r="E34" t="s">
        <v>247</v>
      </c>
      <c r="F34" t="n">
        <v>123.288218488672</v>
      </c>
      <c r="G34" t="n">
        <v>134.692378698875</v>
      </c>
      <c r="H34" t="n">
        <v>130.822763399239</v>
      </c>
      <c r="I34" t="n">
        <v>134.122021686719</v>
      </c>
      <c r="J34" t="n">
        <v>135.655641477316</v>
      </c>
      <c r="K34" t="n">
        <v>131.4795492372</v>
      </c>
      <c r="L34" t="n">
        <v>227.317051994436</v>
      </c>
      <c r="M34" t="n">
        <v>180.459533610574</v>
      </c>
      <c r="N34" t="n">
        <v>114.689264566442</v>
      </c>
      <c r="O34" t="n">
        <v>123.066138884936</v>
      </c>
      <c r="P34" t="n">
        <v>116.381654134639</v>
      </c>
      <c r="Q34" t="n">
        <v>123.502296965344</v>
      </c>
      <c r="R34" t="n">
        <v>150.400387592643</v>
      </c>
      <c r="S34" t="n">
        <v>146.042575470716</v>
      </c>
      <c r="T34" t="n">
        <v>127.088812862739</v>
      </c>
      <c r="U34" t="n">
        <v>127.415239608106</v>
      </c>
      <c r="V34" t="n">
        <v>121.25683636038</v>
      </c>
      <c r="W34" t="n">
        <v>164.704591679862</v>
      </c>
      <c r="X34" t="n">
        <v>173.796115995952</v>
      </c>
      <c r="Y34" t="n">
        <v>238.701455611724</v>
      </c>
      <c r="Z34" t="n">
        <v>149.28177755959</v>
      </c>
      <c r="AA34" t="n">
        <v>219.488554134644</v>
      </c>
      <c r="AB34" t="n">
        <v>175.734972752269</v>
      </c>
      <c r="AC34" t="n">
        <v>239.806081047505</v>
      </c>
      <c r="AD34" t="n">
        <v>287.398837209302</v>
      </c>
      <c r="AE34" t="n">
        <v>316.2</v>
      </c>
      <c r="AF34" t="n">
        <v>199.1</v>
      </c>
    </row>
    <row r="35">
      <c r="A35" t="s">
        <v>53</v>
      </c>
      <c r="B35" t="s">
        <v>340</v>
      </c>
      <c r="C35" t="s">
        <v>246</v>
      </c>
      <c r="D35" t="s">
        <v>341</v>
      </c>
      <c r="E35" t="s">
        <v>247</v>
      </c>
      <c r="F35" t="n">
        <v>4358.09384427227</v>
      </c>
      <c r="G35" t="n">
        <v>5151.36921470127</v>
      </c>
      <c r="H35" t="n">
        <v>5011.27915500412</v>
      </c>
      <c r="I35" t="n">
        <v>5046.38225113945</v>
      </c>
      <c r="J35" t="n">
        <v>5447.23346189414</v>
      </c>
      <c r="K35" t="n">
        <v>5763.71785637796</v>
      </c>
      <c r="L35" t="n">
        <v>5858.50409735381</v>
      </c>
      <c r="M35" t="n">
        <v>5830.133317488</v>
      </c>
      <c r="N35" t="n">
        <v>6337.033651384</v>
      </c>
      <c r="O35" t="n">
        <v>4990.23075599224</v>
      </c>
      <c r="P35" t="n">
        <v>5191.08896321295</v>
      </c>
      <c r="Q35" t="n">
        <v>5011.38806497212</v>
      </c>
      <c r="R35" t="n">
        <v>5509.66013032046</v>
      </c>
      <c r="S35" t="n">
        <v>5118.98415493458</v>
      </c>
      <c r="T35" t="n">
        <v>4486.09943077716</v>
      </c>
      <c r="U35" t="n">
        <v>4799.91210460736</v>
      </c>
      <c r="V35" t="n">
        <v>4595.29967208737</v>
      </c>
      <c r="W35" t="n">
        <v>5879.65833030488</v>
      </c>
      <c r="X35" t="n">
        <v>6174.32848089617</v>
      </c>
      <c r="Y35" t="n">
        <v>6503.72502626103</v>
      </c>
      <c r="Z35" t="n">
        <v>7816.60029321925</v>
      </c>
      <c r="AA35" t="n">
        <v>7672.8410618086</v>
      </c>
      <c r="AB35" t="n">
        <v>7049.36052036963</v>
      </c>
      <c r="AC35" t="n">
        <v>6227.31286313023</v>
      </c>
      <c r="AD35" t="n">
        <v>5829.47944629771</v>
      </c>
      <c r="AE35" t="n">
        <v>7664</v>
      </c>
      <c r="AF35" t="n">
        <v>7174.4</v>
      </c>
    </row>
    <row r="36">
      <c r="A36" t="s">
        <v>53</v>
      </c>
      <c r="B36" t="s">
        <v>342</v>
      </c>
      <c r="C36" t="s">
        <v>246</v>
      </c>
      <c r="D36" t="s">
        <v>343</v>
      </c>
      <c r="E36" t="s">
        <v>247</v>
      </c>
      <c r="F36" t="n">
        <v>884.176365020872</v>
      </c>
      <c r="G36" t="n">
        <v>815.769035727152</v>
      </c>
      <c r="H36" t="n">
        <v>899.637341217735</v>
      </c>
      <c r="I36" t="n">
        <v>872.939730033057</v>
      </c>
      <c r="J36" t="n">
        <v>980.952520025899</v>
      </c>
      <c r="K36" t="n">
        <v>955.60175700146</v>
      </c>
      <c r="L36" t="n">
        <v>875.536749432767</v>
      </c>
      <c r="M36" t="n">
        <v>1103.43038364994</v>
      </c>
      <c r="N36" t="n">
        <v>947.473842290157</v>
      </c>
      <c r="O36" t="n">
        <v>901.720080655158</v>
      </c>
      <c r="P36" t="n">
        <v>950.843816114714</v>
      </c>
      <c r="Q36" t="n">
        <v>860.09209721214</v>
      </c>
      <c r="R36" t="n">
        <v>956.843850341287</v>
      </c>
      <c r="S36" t="n">
        <v>931.077068280815</v>
      </c>
      <c r="T36" t="n">
        <v>916.259739008398</v>
      </c>
      <c r="U36" t="n">
        <v>830.973079992281</v>
      </c>
      <c r="V36" t="n">
        <v>792.906750800056</v>
      </c>
      <c r="W36" t="n">
        <v>1496.58534085705</v>
      </c>
      <c r="X36" t="n">
        <v>945.167239237442</v>
      </c>
      <c r="Y36" t="n">
        <v>823.733165901358</v>
      </c>
      <c r="Z36" t="n">
        <v>678.959709692838</v>
      </c>
      <c r="AA36" t="n">
        <v>1431.51111376857</v>
      </c>
      <c r="AB36" t="n">
        <v>1274.83758470465</v>
      </c>
      <c r="AC36" t="n">
        <v>1197.55910975807</v>
      </c>
      <c r="AD36" t="n">
        <v>884.086135693215</v>
      </c>
      <c r="AE36" t="n">
        <v>865</v>
      </c>
      <c r="AF36" t="n">
        <v>1130.1</v>
      </c>
    </row>
    <row r="37">
      <c r="A37" t="s">
        <v>53</v>
      </c>
      <c r="B37" t="s">
        <v>344</v>
      </c>
      <c r="C37" t="s">
        <v>246</v>
      </c>
      <c r="D37" t="s">
        <v>345</v>
      </c>
      <c r="E37" t="s">
        <v>247</v>
      </c>
      <c r="F37" t="n">
        <v>1485.19045779912</v>
      </c>
      <c r="G37" t="n">
        <v>1697.98664835384</v>
      </c>
      <c r="H37" t="n">
        <v>1637.42244903567</v>
      </c>
      <c r="I37" t="n">
        <v>1662.59625461648</v>
      </c>
      <c r="J37" t="n">
        <v>1618.30045768402</v>
      </c>
      <c r="K37" t="n">
        <v>2569.62012581962</v>
      </c>
      <c r="L37" t="n">
        <v>2074.21402134501</v>
      </c>
      <c r="M37" t="n">
        <v>2124.45841113112</v>
      </c>
      <c r="N37" t="n">
        <v>2165.89999446135</v>
      </c>
      <c r="O37" t="n">
        <v>1571.75394890768</v>
      </c>
      <c r="P37" t="n">
        <v>1606.49519845537</v>
      </c>
      <c r="Q37" t="n">
        <v>1546.89995087304</v>
      </c>
      <c r="R37" t="n">
        <v>1735.9606292956</v>
      </c>
      <c r="S37" t="n">
        <v>1959.81071598474</v>
      </c>
      <c r="T37" t="n">
        <v>1238.56614182368</v>
      </c>
      <c r="U37" t="n">
        <v>1539.54439812238</v>
      </c>
      <c r="V37" t="n">
        <v>1486.12077149652</v>
      </c>
      <c r="W37" t="n">
        <v>2246.4938409761</v>
      </c>
      <c r="X37" t="n">
        <v>2487.1931855278</v>
      </c>
      <c r="Y37" t="n">
        <v>3091.10677850017</v>
      </c>
      <c r="Z37" t="n">
        <v>3799.52339325703</v>
      </c>
      <c r="AA37" t="n">
        <v>3403.40902883035</v>
      </c>
      <c r="AB37" t="n">
        <v>2448.50782651939</v>
      </c>
      <c r="AC37" t="n">
        <v>1963.73647630077</v>
      </c>
      <c r="AD37" t="n">
        <v>1968.93524917358</v>
      </c>
      <c r="AE37" t="n">
        <v>3238.9</v>
      </c>
      <c r="AF37" t="n">
        <v>2271.1</v>
      </c>
    </row>
    <row r="38">
      <c r="A38" t="s">
        <v>53</v>
      </c>
      <c r="B38" t="s">
        <v>346</v>
      </c>
      <c r="C38" t="s">
        <v>246</v>
      </c>
      <c r="D38" t="s">
        <v>347</v>
      </c>
      <c r="E38" t="s">
        <v>247</v>
      </c>
      <c r="F38" t="n">
        <v>1988.88154789993</v>
      </c>
      <c r="G38" t="n">
        <v>2620.8232543239</v>
      </c>
      <c r="H38" t="n">
        <v>2464.10932169652</v>
      </c>
      <c r="I38" t="n">
        <v>2499.0966751486</v>
      </c>
      <c r="J38" t="n">
        <v>2830.80379518567</v>
      </c>
      <c r="K38" t="n">
        <v>2248.93185934212</v>
      </c>
      <c r="L38" t="n">
        <v>2891.7498935633</v>
      </c>
      <c r="M38" t="n">
        <v>2604.39270627153</v>
      </c>
      <c r="N38" t="n">
        <v>3200.15437129421</v>
      </c>
      <c r="O38" t="n">
        <v>2505.00252641065</v>
      </c>
      <c r="P38" t="n">
        <v>2621.33255015372</v>
      </c>
      <c r="Q38" t="n">
        <v>2587.28231728133</v>
      </c>
      <c r="R38" t="n">
        <v>2800.61246910475</v>
      </c>
      <c r="S38" t="n">
        <v>2232.48910010332</v>
      </c>
      <c r="T38" t="n">
        <v>2321.86024054919</v>
      </c>
      <c r="U38" t="n">
        <v>2414.4761870646</v>
      </c>
      <c r="V38" t="n">
        <v>2302.30617766119</v>
      </c>
      <c r="W38" t="n">
        <v>2182.91756688492</v>
      </c>
      <c r="X38" t="n">
        <v>2735.01511330172</v>
      </c>
      <c r="Y38" t="n">
        <v>2586.83617833885</v>
      </c>
      <c r="Z38" t="n">
        <v>3310.49799339818</v>
      </c>
      <c r="AA38" t="n">
        <v>2869.44686785613</v>
      </c>
      <c r="AB38" t="n">
        <v>3334.85915475993</v>
      </c>
      <c r="AC38" t="n">
        <v>3073.76420324854</v>
      </c>
      <c r="AD38" t="n">
        <v>2976.1</v>
      </c>
      <c r="AE38" t="n">
        <v>3560.1</v>
      </c>
      <c r="AF38" t="n">
        <v>3773.2</v>
      </c>
    </row>
    <row r="39">
      <c r="A39" t="s">
        <v>53</v>
      </c>
      <c r="B39" t="s">
        <v>348</v>
      </c>
      <c r="C39" t="s">
        <v>246</v>
      </c>
      <c r="D39" t="s">
        <v>349</v>
      </c>
      <c r="E39" t="s">
        <v>247</v>
      </c>
      <c r="F39" t="n">
        <v>1213.03880537125</v>
      </c>
      <c r="G39" t="n">
        <v>992.233215361047</v>
      </c>
      <c r="H39" t="n">
        <v>1103.44030323696</v>
      </c>
      <c r="I39" t="n">
        <v>1534.29058844996</v>
      </c>
      <c r="J39" t="n">
        <v>1280.60778037349</v>
      </c>
      <c r="K39" t="n">
        <v>1288.16487769716</v>
      </c>
      <c r="L39" t="n">
        <v>1220.99986072773</v>
      </c>
      <c r="M39" t="n">
        <v>1327.46968732514</v>
      </c>
      <c r="N39" t="n">
        <v>1431.71631084505</v>
      </c>
      <c r="O39" t="n">
        <v>1336.68987512523</v>
      </c>
      <c r="P39" t="n">
        <v>1279.52550239752</v>
      </c>
      <c r="Q39" t="n">
        <v>1391.54074834005</v>
      </c>
      <c r="R39" t="n">
        <v>1031.74512176704</v>
      </c>
      <c r="S39" t="n">
        <v>1508.687790853</v>
      </c>
      <c r="T39" t="n">
        <v>1053.16102422746</v>
      </c>
      <c r="U39" t="n">
        <v>1163.23244846662</v>
      </c>
      <c r="V39" t="n">
        <v>1067.0418879385</v>
      </c>
      <c r="W39" t="n">
        <v>1050.91052991719</v>
      </c>
      <c r="X39" t="n">
        <v>1078.30302132257</v>
      </c>
      <c r="Y39" t="n">
        <v>1209.77244291214</v>
      </c>
      <c r="Z39" t="n">
        <v>1498.65725267372</v>
      </c>
      <c r="AA39" t="n">
        <v>1573.542234884</v>
      </c>
      <c r="AB39" t="n">
        <v>1714.14096797384</v>
      </c>
      <c r="AC39" t="n">
        <v>1906.95981558692</v>
      </c>
      <c r="AD39" t="n">
        <v>2147.3867235615</v>
      </c>
      <c r="AE39" t="n">
        <v>2267.8</v>
      </c>
      <c r="AF39" t="n">
        <v>2232.6</v>
      </c>
    </row>
    <row r="40">
      <c r="A40" t="s">
        <v>53</v>
      </c>
      <c r="B40" t="s">
        <v>350</v>
      </c>
      <c r="C40" t="s">
        <v>246</v>
      </c>
      <c r="D40" t="s">
        <v>351</v>
      </c>
      <c r="E40" t="s">
        <v>247</v>
      </c>
      <c r="F40" t="n">
        <v>432.396957714384</v>
      </c>
      <c r="G40" t="n">
        <v>534.940022832727</v>
      </c>
      <c r="H40" t="n">
        <v>509.537842977542</v>
      </c>
      <c r="I40" t="n">
        <v>531.003089894654</v>
      </c>
      <c r="J40" t="n">
        <v>587.741800506301</v>
      </c>
      <c r="K40" t="n">
        <v>712.887408729563</v>
      </c>
      <c r="L40" t="n">
        <v>504.078833267221</v>
      </c>
      <c r="M40" t="n">
        <v>710.823014707739</v>
      </c>
      <c r="N40" t="n">
        <v>528.522412842648</v>
      </c>
      <c r="O40" t="n">
        <v>530.549992431559</v>
      </c>
      <c r="P40" t="n">
        <v>436.884993767715</v>
      </c>
      <c r="Q40" t="n">
        <v>655.007037110912</v>
      </c>
      <c r="R40" t="n">
        <v>515.142290702872</v>
      </c>
      <c r="S40" t="n">
        <v>554.020954152145</v>
      </c>
      <c r="T40" t="n">
        <v>785.264482841736</v>
      </c>
      <c r="U40" t="n">
        <v>607.212647891348</v>
      </c>
      <c r="V40" t="n">
        <v>487.971787788827</v>
      </c>
      <c r="W40" t="n">
        <v>225.29149337991</v>
      </c>
      <c r="X40" t="n">
        <v>292.917751297997</v>
      </c>
      <c r="Y40" t="n">
        <v>689.907456586577</v>
      </c>
      <c r="Z40" t="n">
        <v>379.581342364473</v>
      </c>
      <c r="AA40" t="n">
        <v>184.036508157858</v>
      </c>
      <c r="AB40" t="n">
        <v>40.3692985636592</v>
      </c>
      <c r="AC40" t="n">
        <v>43.5355180588481</v>
      </c>
      <c r="AD40" t="n">
        <v>105.375742574257</v>
      </c>
      <c r="AE40" t="n">
        <v>120.6</v>
      </c>
      <c r="AF40" t="n">
        <v>99.4</v>
      </c>
    </row>
    <row r="41">
      <c r="A41" t="s">
        <v>53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53</v>
      </c>
      <c r="B42" t="s">
        <v>354</v>
      </c>
      <c r="C42" t="s">
        <v>246</v>
      </c>
      <c r="D42" t="s">
        <v>355</v>
      </c>
      <c r="E42" t="s">
        <v>247</v>
      </c>
      <c r="F42" t="n">
        <v>1375.89705936999</v>
      </c>
      <c r="G42" t="n">
        <v>1707.5547306051</v>
      </c>
      <c r="H42" t="n">
        <v>1648.09050192329</v>
      </c>
      <c r="I42" t="n">
        <v>1697.80249025109</v>
      </c>
      <c r="J42" t="n">
        <v>1861.8374873326</v>
      </c>
      <c r="K42" t="n">
        <v>2003.37917074698</v>
      </c>
      <c r="L42" t="n">
        <v>1994.23769788471</v>
      </c>
      <c r="M42" t="n">
        <v>1943.84580251619</v>
      </c>
      <c r="N42" t="n">
        <v>1751.40471036989</v>
      </c>
      <c r="O42" t="n">
        <v>1778.92711759105</v>
      </c>
      <c r="P42" t="n">
        <v>1692.54402472846</v>
      </c>
      <c r="Q42" t="n">
        <v>1788.04738645662</v>
      </c>
      <c r="R42" t="n">
        <v>1791.92461244822</v>
      </c>
      <c r="S42" t="n">
        <v>1769.33512011891</v>
      </c>
      <c r="T42" t="n">
        <v>1537.65969132571</v>
      </c>
      <c r="U42" t="n">
        <v>1631.25372291986</v>
      </c>
      <c r="V42" t="n">
        <v>1547.77995283236</v>
      </c>
      <c r="W42" t="n">
        <v>1712.52253183362</v>
      </c>
      <c r="X42" t="n">
        <v>1436.2422826266</v>
      </c>
      <c r="Y42" t="n">
        <v>1881.75125637423</v>
      </c>
      <c r="Z42" t="n">
        <v>1848.20577580349</v>
      </c>
      <c r="AA42" t="n">
        <v>1867.11627454872</v>
      </c>
      <c r="AB42" t="n">
        <v>2324.74667018627</v>
      </c>
      <c r="AC42" t="n">
        <v>2237.47252056741</v>
      </c>
      <c r="AD42" t="n">
        <v>2109.92558634363</v>
      </c>
      <c r="AE42" t="n">
        <v>2069.2</v>
      </c>
      <c r="AF42" t="n">
        <v>2802.8</v>
      </c>
    </row>
    <row r="43">
      <c r="A43" t="s">
        <v>53</v>
      </c>
      <c r="B43" t="s">
        <v>356</v>
      </c>
      <c r="C43" t="s">
        <v>246</v>
      </c>
      <c r="D43" t="s">
        <v>357</v>
      </c>
      <c r="E43" t="s">
        <v>247</v>
      </c>
      <c r="F43" t="n">
        <v>1895.145555586</v>
      </c>
      <c r="G43" t="n">
        <v>2374.64021422824</v>
      </c>
      <c r="H43" t="n">
        <v>2276.36333904749</v>
      </c>
      <c r="I43" t="n">
        <v>2336.63308582315</v>
      </c>
      <c r="J43" t="n">
        <v>2575.1697235636</v>
      </c>
      <c r="K43" t="n">
        <v>2766.56571021208</v>
      </c>
      <c r="L43" t="n">
        <v>2739.62154382137</v>
      </c>
      <c r="M43" t="n">
        <v>2736.14895879525</v>
      </c>
      <c r="N43" t="n">
        <v>2417.95858205138</v>
      </c>
      <c r="O43" t="n">
        <v>2450.51299671203</v>
      </c>
      <c r="P43" t="n">
        <v>2288.01032376206</v>
      </c>
      <c r="Q43" t="n">
        <v>2455.15519544316</v>
      </c>
      <c r="R43" t="n">
        <v>2476.8707022134</v>
      </c>
      <c r="S43" t="n">
        <v>2538.4137838533</v>
      </c>
      <c r="T43" t="n">
        <v>2134.83393236419</v>
      </c>
      <c r="U43" t="n">
        <v>2266.74752096718</v>
      </c>
      <c r="V43" t="n">
        <v>2165.86792666785</v>
      </c>
      <c r="W43" t="n">
        <v>2439.95746540569</v>
      </c>
      <c r="X43" t="n">
        <v>2160.67562869374</v>
      </c>
      <c r="Y43" t="n">
        <v>2704.66010891218</v>
      </c>
      <c r="Z43" t="n">
        <v>2625.73760414823</v>
      </c>
      <c r="AA43" t="n">
        <v>2867.11973937428</v>
      </c>
      <c r="AB43" t="n">
        <v>3180.02774212222</v>
      </c>
      <c r="AC43" t="n">
        <v>3217.20887277092</v>
      </c>
      <c r="AD43" t="n">
        <v>3315.11656361436</v>
      </c>
      <c r="AE43" t="n">
        <v>3065.5</v>
      </c>
      <c r="AF43" t="n">
        <v>3786.9</v>
      </c>
    </row>
    <row r="44">
      <c r="A44" t="s">
        <v>53</v>
      </c>
      <c r="B44" t="s">
        <v>358</v>
      </c>
      <c r="C44" t="s">
        <v>246</v>
      </c>
      <c r="D44" t="s">
        <v>359</v>
      </c>
      <c r="E44" t="s">
        <v>247</v>
      </c>
      <c r="F44" t="n">
        <v>15295.4770992824</v>
      </c>
      <c r="G44" t="n">
        <v>17066.570129202</v>
      </c>
      <c r="H44" t="n">
        <v>16790.857939025</v>
      </c>
      <c r="I44" t="n">
        <v>17818.1737304667</v>
      </c>
      <c r="J44" t="n">
        <v>18473.2904562567</v>
      </c>
      <c r="K44" t="n">
        <v>18909.3513242362</v>
      </c>
      <c r="L44" t="n">
        <v>19990.895004491</v>
      </c>
      <c r="M44" t="n">
        <v>20216.1638185385</v>
      </c>
      <c r="N44" t="n">
        <v>19060.0953117921</v>
      </c>
      <c r="O44" t="n">
        <v>17203.7475448994</v>
      </c>
      <c r="P44" t="n">
        <v>17258.2263649199</v>
      </c>
      <c r="Q44" t="n">
        <v>17407.879647613</v>
      </c>
      <c r="R44" t="n">
        <v>17970.3932804172</v>
      </c>
      <c r="S44" t="n">
        <v>17472.331848079</v>
      </c>
      <c r="T44" t="n">
        <v>16099.9127134847</v>
      </c>
      <c r="U44" t="n">
        <v>16275.1411740731</v>
      </c>
      <c r="V44" t="n">
        <v>15506.1664145744</v>
      </c>
      <c r="W44" t="n">
        <v>17121.0103668602</v>
      </c>
      <c r="X44" t="n">
        <v>18303.0798904324</v>
      </c>
      <c r="Y44" t="n">
        <v>19847.3310268916</v>
      </c>
      <c r="Z44" t="n">
        <v>20824.3035067737</v>
      </c>
      <c r="AA44" t="n">
        <v>22158.3790227031</v>
      </c>
      <c r="AB44" t="n">
        <v>22347.6230835252</v>
      </c>
      <c r="AC44" t="n">
        <v>22996.2451037123</v>
      </c>
      <c r="AD44" t="n">
        <v>23437.1224226415</v>
      </c>
      <c r="AE44" t="n">
        <v>23380.1</v>
      </c>
      <c r="AF44" t="n">
        <v>25102.5</v>
      </c>
    </row>
    <row r="45">
      <c r="A45" t="s">
        <v>53</v>
      </c>
      <c r="B45" t="s">
        <v>360</v>
      </c>
      <c r="C45" t="s">
        <v>246</v>
      </c>
      <c r="D45" t="s">
        <v>361</v>
      </c>
      <c r="E45" t="s">
        <v>247</v>
      </c>
      <c r="F45" t="n">
        <v>15288.9021220193</v>
      </c>
      <c r="G45" t="n">
        <v>17057.5680998989</v>
      </c>
      <c r="H45" t="n">
        <v>16782.2946207791</v>
      </c>
      <c r="I45" t="n">
        <v>17809.0406890294</v>
      </c>
      <c r="J45" t="n">
        <v>18463.608746627</v>
      </c>
      <c r="K45" t="n">
        <v>18899.4048811527</v>
      </c>
      <c r="L45" t="n">
        <v>19980.6800481635</v>
      </c>
      <c r="M45" t="n">
        <v>20206.9436230667</v>
      </c>
      <c r="N45" t="n">
        <v>19051.7228714949</v>
      </c>
      <c r="O45" t="n">
        <v>17195.373276005</v>
      </c>
      <c r="P45" t="n">
        <v>17250.1953883251</v>
      </c>
      <c r="Q45" t="n">
        <v>17399.5139116834</v>
      </c>
      <c r="R45" t="n">
        <v>17961.6977690152</v>
      </c>
      <c r="S45" t="n">
        <v>17463.7446467487</v>
      </c>
      <c r="T45" t="n">
        <v>16092.2665521706</v>
      </c>
      <c r="U45" t="n">
        <v>16267.3917586914</v>
      </c>
      <c r="V45" t="n">
        <v>15498.7189940822</v>
      </c>
      <c r="W45" t="n">
        <v>17113.7590007056</v>
      </c>
      <c r="X45" t="n">
        <v>18289.1093681416</v>
      </c>
      <c r="Y45" t="n">
        <v>19822.6736004128</v>
      </c>
      <c r="Z45" t="n">
        <v>20798.1186940836</v>
      </c>
      <c r="AA45" t="n">
        <v>22139.7781422583</v>
      </c>
      <c r="AB45" t="n">
        <v>22345.8453219097</v>
      </c>
      <c r="AC45" t="n">
        <v>22992.3694399117</v>
      </c>
      <c r="AD45" t="n">
        <v>23431.1417339127</v>
      </c>
      <c r="AE45" t="n">
        <v>23371.5</v>
      </c>
      <c r="AF45" t="n">
        <v>25096.4</v>
      </c>
    </row>
    <row r="46">
      <c r="A46" t="s">
        <v>53</v>
      </c>
      <c r="B46" t="s">
        <v>362</v>
      </c>
      <c r="C46" t="s">
        <v>246</v>
      </c>
      <c r="D46" t="s">
        <v>363</v>
      </c>
      <c r="E46" t="s">
        <v>247</v>
      </c>
      <c r="F46" t="n">
        <v>516.471556057582</v>
      </c>
      <c r="G46" t="n">
        <v>663.862621661409</v>
      </c>
      <c r="H46" t="n">
        <v>625.008759323926</v>
      </c>
      <c r="I46" t="n">
        <v>635.385839914003</v>
      </c>
      <c r="J46" t="n">
        <v>709.680043465415</v>
      </c>
      <c r="K46" t="n">
        <v>759.214050583105</v>
      </c>
      <c r="L46" t="n">
        <v>741.284938617245</v>
      </c>
      <c r="M46" t="n">
        <v>789.121923985329</v>
      </c>
      <c r="N46" t="n">
        <v>663.003765967291</v>
      </c>
      <c r="O46" t="n">
        <v>667.896342354019</v>
      </c>
      <c r="P46" t="n">
        <v>591.284703083999</v>
      </c>
      <c r="Q46" t="n">
        <v>663.307372788664</v>
      </c>
      <c r="R46" t="n">
        <v>681.407607254112</v>
      </c>
      <c r="S46" t="n">
        <v>767.121964930198</v>
      </c>
      <c r="T46" t="n">
        <v>594.301261738053</v>
      </c>
      <c r="U46" t="n">
        <v>632.475963137879</v>
      </c>
      <c r="V46" t="n">
        <v>615.455946830469</v>
      </c>
      <c r="W46" t="n">
        <v>725.187628460366</v>
      </c>
      <c r="X46" t="n">
        <v>724.277985442088</v>
      </c>
      <c r="Y46" t="n">
        <v>820.81418718444</v>
      </c>
      <c r="Z46" t="n">
        <v>774.991289510973</v>
      </c>
      <c r="AA46" t="n">
        <v>1000.51466047502</v>
      </c>
      <c r="AB46" t="n">
        <v>851.567816899001</v>
      </c>
      <c r="AC46" t="n">
        <v>977.815075316784</v>
      </c>
      <c r="AD46" t="n">
        <v>1206.0791868932</v>
      </c>
      <c r="AE46" t="n">
        <v>996.3</v>
      </c>
      <c r="AF46" t="n">
        <v>984.1</v>
      </c>
    </row>
    <row r="47">
      <c r="A47" t="s">
        <v>53</v>
      </c>
      <c r="B47" t="s">
        <v>364</v>
      </c>
      <c r="C47" t="s">
        <v>246</v>
      </c>
      <c r="D47" t="s">
        <v>365</v>
      </c>
      <c r="E47" t="s">
        <v>247</v>
      </c>
      <c r="F47" t="n">
        <v>1372.53333332183</v>
      </c>
      <c r="G47" t="n">
        <v>1528.60486034265</v>
      </c>
      <c r="H47" t="n">
        <v>1592.63321487021</v>
      </c>
      <c r="I47" t="n">
        <v>1572.48209653198</v>
      </c>
      <c r="J47" t="n">
        <v>1643.6760883595</v>
      </c>
      <c r="K47" t="n">
        <v>1637.27893757875</v>
      </c>
      <c r="L47" t="n">
        <v>1823.10115709334</v>
      </c>
      <c r="M47" t="n">
        <v>1780.80125236295</v>
      </c>
      <c r="N47" t="n">
        <v>1806.48014366128</v>
      </c>
      <c r="O47" t="n">
        <v>1856.22549215512</v>
      </c>
      <c r="P47" t="n">
        <v>1871.82592564583</v>
      </c>
      <c r="Q47" t="n">
        <v>1549.10111458301</v>
      </c>
      <c r="R47" t="n">
        <v>1583.46573597049</v>
      </c>
      <c r="S47" t="n">
        <v>1515.27268602723</v>
      </c>
      <c r="T47" t="n">
        <v>1657.97710757523</v>
      </c>
      <c r="U47" t="n">
        <v>1768.54269586157</v>
      </c>
      <c r="V47" t="n">
        <v>1729.7475790861</v>
      </c>
      <c r="W47" t="n">
        <v>1623.24901199902</v>
      </c>
      <c r="X47" t="n">
        <v>1724.38078661991</v>
      </c>
      <c r="Y47" t="n">
        <v>1699.28793466095</v>
      </c>
      <c r="Z47" t="n">
        <v>1714.17808352595</v>
      </c>
      <c r="AA47" t="n">
        <v>1707.98581177927</v>
      </c>
      <c r="AB47" t="n">
        <v>1561.89767348009</v>
      </c>
      <c r="AC47" t="n">
        <v>1659.00739532774</v>
      </c>
      <c r="AD47" t="n">
        <v>1843.36371923428</v>
      </c>
      <c r="AE47" t="n">
        <v>2204</v>
      </c>
      <c r="AF47" t="n">
        <v>2664.8</v>
      </c>
    </row>
    <row r="48">
      <c r="A48" t="s">
        <v>53</v>
      </c>
      <c r="B48" t="s">
        <v>366</v>
      </c>
      <c r="C48" t="s">
        <v>246</v>
      </c>
      <c r="D48" t="s">
        <v>367</v>
      </c>
      <c r="E48" t="s">
        <v>247</v>
      </c>
      <c r="F48" t="n">
        <v>2315.33885157786</v>
      </c>
      <c r="G48" t="n">
        <v>2450.54327978781</v>
      </c>
      <c r="H48" t="n">
        <v>2620.37867030236</v>
      </c>
      <c r="I48" t="n">
        <v>2584.58866955228</v>
      </c>
      <c r="J48" t="n">
        <v>2708.76668070136</v>
      </c>
      <c r="K48" t="n">
        <v>2763.21100289058</v>
      </c>
      <c r="L48" t="n">
        <v>2972.8845217709</v>
      </c>
      <c r="M48" t="n">
        <v>2961.71195666472</v>
      </c>
      <c r="N48" t="n">
        <v>2897.11524010528</v>
      </c>
      <c r="O48" t="n">
        <v>2953.78707387973</v>
      </c>
      <c r="P48" t="n">
        <v>2977.39758261583</v>
      </c>
      <c r="Q48" t="n">
        <v>2676.42687976395</v>
      </c>
      <c r="R48" t="n">
        <v>2771.04911450256</v>
      </c>
      <c r="S48" t="n">
        <v>2602.34656571877</v>
      </c>
      <c r="T48" t="n">
        <v>2808.68924858938</v>
      </c>
      <c r="U48" t="n">
        <v>2864.32881310477</v>
      </c>
      <c r="V48" t="n">
        <v>2766.28862279403</v>
      </c>
      <c r="W48" t="n">
        <v>2746.39075726165</v>
      </c>
      <c r="X48" t="n">
        <v>2622.64492792257</v>
      </c>
      <c r="Y48" t="n">
        <v>2607.77642117802</v>
      </c>
      <c r="Z48" t="n">
        <v>2689.6097821859</v>
      </c>
      <c r="AA48" t="n">
        <v>2524.10135363416</v>
      </c>
      <c r="AB48" t="n">
        <v>2435.13018014944</v>
      </c>
      <c r="AC48" t="n">
        <v>2675.48146375327</v>
      </c>
      <c r="AD48" t="n">
        <v>2780.20107564082</v>
      </c>
      <c r="AE48" t="n">
        <v>3194.9</v>
      </c>
      <c r="AF48" t="n">
        <v>3664.9</v>
      </c>
    </row>
    <row r="49">
      <c r="A49" t="s">
        <v>53</v>
      </c>
      <c r="B49" t="s">
        <v>368</v>
      </c>
      <c r="C49" t="s">
        <v>246</v>
      </c>
      <c r="D49" t="s">
        <v>369</v>
      </c>
      <c r="E49" t="s">
        <v>247</v>
      </c>
      <c r="F49" t="n">
        <v>190.61850411449</v>
      </c>
      <c r="G49" t="n">
        <v>205.519795844803</v>
      </c>
      <c r="H49" t="n">
        <v>224.747219572487</v>
      </c>
      <c r="I49" t="n">
        <v>225.433680230925</v>
      </c>
      <c r="J49" t="n">
        <v>230.906019419479</v>
      </c>
      <c r="K49" t="n">
        <v>247.546732550827</v>
      </c>
      <c r="L49" t="n">
        <v>256.88811868482</v>
      </c>
      <c r="M49" t="n">
        <v>283.961210830431</v>
      </c>
      <c r="N49" t="n">
        <v>285.498693438009</v>
      </c>
      <c r="O49" t="n">
        <v>309.877578227738</v>
      </c>
      <c r="P49" t="n">
        <v>309.430424435201</v>
      </c>
      <c r="Q49" t="n">
        <v>359.338557408621</v>
      </c>
      <c r="R49" t="n">
        <v>373.635847491192</v>
      </c>
      <c r="S49" t="n">
        <v>380.962040579255</v>
      </c>
      <c r="T49" t="n">
        <v>386.778254939243</v>
      </c>
      <c r="U49" t="n">
        <v>365.454352164392</v>
      </c>
      <c r="V49" t="n">
        <v>364.494146299535</v>
      </c>
      <c r="W49" t="n">
        <v>367.522921340196</v>
      </c>
      <c r="X49" t="n">
        <v>368.193758484754</v>
      </c>
      <c r="Y49" t="n">
        <v>447.884743738194</v>
      </c>
      <c r="Z49" t="n">
        <v>425.168778285212</v>
      </c>
      <c r="AA49" t="n">
        <v>415.633708128558</v>
      </c>
      <c r="AB49" t="n">
        <v>418.05694569927</v>
      </c>
      <c r="AC49" t="n">
        <v>550.999250656442</v>
      </c>
      <c r="AD49" t="n">
        <v>434.99421221865</v>
      </c>
      <c r="AE49" t="n">
        <v>499.2</v>
      </c>
      <c r="AF49" t="n">
        <v>530.4</v>
      </c>
    </row>
    <row r="50">
      <c r="A50" t="s">
        <v>53</v>
      </c>
      <c r="B50" t="s">
        <v>370</v>
      </c>
      <c r="C50" t="s">
        <v>246</v>
      </c>
      <c r="D50" t="s">
        <v>371</v>
      </c>
      <c r="E50" t="s">
        <v>247</v>
      </c>
      <c r="F50" t="n">
        <v>755.184102906428</v>
      </c>
      <c r="G50" t="n">
        <v>721.149693626506</v>
      </c>
      <c r="H50" t="n">
        <v>807.027707591805</v>
      </c>
      <c r="I50" t="n">
        <v>790.721372365165</v>
      </c>
      <c r="J50" t="n">
        <v>838.143519488301</v>
      </c>
      <c r="K50" t="n">
        <v>881.671838121489</v>
      </c>
      <c r="L50" t="n">
        <v>897.668152122842</v>
      </c>
      <c r="M50" t="n">
        <v>901.440378328049</v>
      </c>
      <c r="N50" t="n">
        <v>810.363123487146</v>
      </c>
      <c r="O50" t="n">
        <v>793.12873790342</v>
      </c>
      <c r="P50" t="n">
        <v>801.755791557688</v>
      </c>
      <c r="Q50" t="n">
        <v>771.469912072964</v>
      </c>
      <c r="R50" t="n">
        <v>817.417516165606</v>
      </c>
      <c r="S50" t="n">
        <v>709.034705238138</v>
      </c>
      <c r="T50" t="n">
        <v>767.754359084147</v>
      </c>
      <c r="U50" t="n">
        <v>735.092593510743</v>
      </c>
      <c r="V50" t="n">
        <v>676.269341382846</v>
      </c>
      <c r="W50" t="n">
        <v>759.522011060948</v>
      </c>
      <c r="X50" t="n">
        <v>533.18682280124</v>
      </c>
      <c r="Y50" t="n">
        <v>461.199583468542</v>
      </c>
      <c r="Z50" t="n">
        <v>551.440802075712</v>
      </c>
      <c r="AA50" t="n">
        <v>400.698542440937</v>
      </c>
      <c r="AB50" t="n">
        <v>455.114393883533</v>
      </c>
      <c r="AC50" t="n">
        <v>464.359837009607</v>
      </c>
      <c r="AD50" t="n">
        <v>502.18100020496</v>
      </c>
      <c r="AE50" t="n">
        <v>491.7</v>
      </c>
      <c r="AF50" t="n">
        <v>469.7</v>
      </c>
    </row>
    <row r="51">
      <c r="A51" t="s">
        <v>53</v>
      </c>
      <c r="B51" t="s">
        <v>372</v>
      </c>
      <c r="C51" t="s">
        <v>246</v>
      </c>
      <c r="D51" t="s">
        <v>373</v>
      </c>
      <c r="E51" t="s">
        <v>247</v>
      </c>
      <c r="F51" t="n">
        <v>690.637904963443</v>
      </c>
      <c r="G51" t="n">
        <v>682.806227754702</v>
      </c>
      <c r="H51" t="n">
        <v>751.002830075567</v>
      </c>
      <c r="I51" t="n">
        <v>743.850422170085</v>
      </c>
      <c r="J51" t="n">
        <v>779.79663304744</v>
      </c>
      <c r="K51" t="n">
        <v>832.788828237463</v>
      </c>
      <c r="L51" t="n">
        <v>819.136552364718</v>
      </c>
      <c r="M51" t="n">
        <v>820.586137769286</v>
      </c>
      <c r="N51" t="n">
        <v>769.013805157018</v>
      </c>
      <c r="O51" t="n">
        <v>727.814587719118</v>
      </c>
      <c r="P51" t="n">
        <v>738.707353387486</v>
      </c>
      <c r="Q51" t="n">
        <v>717.12738225946</v>
      </c>
      <c r="R51" t="n">
        <v>755.156059914458</v>
      </c>
      <c r="S51" t="n">
        <v>640.094532597361</v>
      </c>
      <c r="T51" t="n">
        <v>723.263208992518</v>
      </c>
      <c r="U51" t="n">
        <v>693.902322432555</v>
      </c>
      <c r="V51" t="n">
        <v>622.342725169387</v>
      </c>
      <c r="W51" t="n">
        <v>674.688405255929</v>
      </c>
      <c r="X51" t="n">
        <v>432.25899134646</v>
      </c>
      <c r="Y51" t="n">
        <v>308.188333296694</v>
      </c>
      <c r="Z51" t="n">
        <v>358.363139168035</v>
      </c>
      <c r="AA51" t="n">
        <v>262.910361914172</v>
      </c>
      <c r="AB51" t="n">
        <v>324.373746299028</v>
      </c>
      <c r="AC51" t="n">
        <v>351.651077120167</v>
      </c>
      <c r="AD51" t="n">
        <v>386.657515423444</v>
      </c>
      <c r="AE51" t="n">
        <v>357.3</v>
      </c>
      <c r="AF51" t="n">
        <v>380.6</v>
      </c>
    </row>
    <row r="52">
      <c r="A52" t="s">
        <v>53</v>
      </c>
      <c r="B52" t="s">
        <v>374</v>
      </c>
      <c r="C52" t="s">
        <v>246</v>
      </c>
      <c r="D52" t="s">
        <v>375</v>
      </c>
      <c r="E52" t="s">
        <v>247</v>
      </c>
      <c r="F52" t="n">
        <v>60.1771234844798</v>
      </c>
      <c r="G52" t="n">
        <v>33.7758854851615</v>
      </c>
      <c r="H52" t="n">
        <v>51.0895746834375</v>
      </c>
      <c r="I52" t="n">
        <v>41.9371642454955</v>
      </c>
      <c r="J52" t="n">
        <v>53.2177305773535</v>
      </c>
      <c r="K52" t="n">
        <v>43.3435974340855</v>
      </c>
      <c r="L52" t="n">
        <v>73.2443979828169</v>
      </c>
      <c r="M52" t="n">
        <v>75.5793704017322</v>
      </c>
      <c r="N52" t="n">
        <v>35.8702091271713</v>
      </c>
      <c r="O52" t="n">
        <v>60.5677301655516</v>
      </c>
      <c r="P52" t="n">
        <v>58.1723962042021</v>
      </c>
      <c r="Q52" t="n">
        <v>49.4632850642256</v>
      </c>
      <c r="R52" t="n">
        <v>57.2329603729867</v>
      </c>
      <c r="S52" t="n">
        <v>65.0277478864718</v>
      </c>
      <c r="T52" t="n">
        <v>39.2264156605491</v>
      </c>
      <c r="U52" t="n">
        <v>36.0966484535904</v>
      </c>
      <c r="V52" t="n">
        <v>49.8623194740274</v>
      </c>
      <c r="W52" t="n">
        <v>81.1642182182861</v>
      </c>
      <c r="X52" t="n">
        <v>99.8319884084919</v>
      </c>
      <c r="Y52" t="n">
        <v>154.379363518286</v>
      </c>
      <c r="Z52" t="n">
        <v>195.048645082161</v>
      </c>
      <c r="AA52" t="n">
        <v>139.132677881314</v>
      </c>
      <c r="AB52" t="n">
        <v>131.301379491795</v>
      </c>
      <c r="AC52" t="n">
        <v>112.485605483625</v>
      </c>
      <c r="AD52" t="n">
        <v>115.053769992384</v>
      </c>
      <c r="AE52" t="n">
        <v>134.4</v>
      </c>
      <c r="AF52" t="n">
        <v>89.1</v>
      </c>
    </row>
    <row r="53">
      <c r="A53" t="s">
        <v>53</v>
      </c>
      <c r="B53" t="s">
        <v>376</v>
      </c>
      <c r="C53" t="s">
        <v>246</v>
      </c>
      <c r="D53" t="s">
        <v>377</v>
      </c>
      <c r="E53" t="s">
        <v>247</v>
      </c>
      <c r="F53" t="n">
        <v>647.047509945696</v>
      </c>
      <c r="G53" t="n">
        <v>619.275254953956</v>
      </c>
      <c r="H53" t="n">
        <v>694.684610162464</v>
      </c>
      <c r="I53" t="n">
        <v>699.967925799876</v>
      </c>
      <c r="J53" t="n">
        <v>710.655518559462</v>
      </c>
      <c r="K53" t="n">
        <v>727.690862247089</v>
      </c>
      <c r="L53" t="n">
        <v>691.168374486719</v>
      </c>
      <c r="M53" t="n">
        <v>857.643889440099</v>
      </c>
      <c r="N53" t="n">
        <v>741.928052074526</v>
      </c>
      <c r="O53" t="n">
        <v>532.932514191827</v>
      </c>
      <c r="P53" t="n">
        <v>976.766852720588</v>
      </c>
      <c r="Q53" t="n">
        <v>637.53945800577</v>
      </c>
      <c r="R53" t="n">
        <v>732.224657311655</v>
      </c>
      <c r="S53" t="n">
        <v>583.657335538276</v>
      </c>
      <c r="T53" t="n">
        <v>648.712613479393</v>
      </c>
      <c r="U53" t="n">
        <v>666.535568434305</v>
      </c>
      <c r="V53" t="n">
        <v>611.820744291718</v>
      </c>
      <c r="W53" t="n">
        <v>388.112181518836</v>
      </c>
      <c r="X53" t="n">
        <v>729.36704399977</v>
      </c>
      <c r="Y53" t="n">
        <v>458.925198707172</v>
      </c>
      <c r="Z53" t="n">
        <v>390.070626568037</v>
      </c>
      <c r="AA53" t="n">
        <v>382.158865794306</v>
      </c>
      <c r="AB53" t="n">
        <v>541.758563563747</v>
      </c>
      <c r="AC53" t="n">
        <v>543.492027817574</v>
      </c>
      <c r="AD53" t="n">
        <v>803.600533993227</v>
      </c>
      <c r="AE53" t="n">
        <v>783.1</v>
      </c>
      <c r="AF53" t="n">
        <v>624</v>
      </c>
    </row>
    <row r="54">
      <c r="A54" t="s">
        <v>53</v>
      </c>
      <c r="B54" t="s">
        <v>378</v>
      </c>
      <c r="C54" t="s">
        <v>246</v>
      </c>
      <c r="D54" t="s">
        <v>379</v>
      </c>
      <c r="E54" t="s">
        <v>247</v>
      </c>
      <c r="F54" t="n">
        <v>704.298129707341</v>
      </c>
      <c r="G54" t="n">
        <v>673.165557993301</v>
      </c>
      <c r="H54" t="n">
        <v>753.77448098418</v>
      </c>
      <c r="I54" t="n">
        <v>757.893467219066</v>
      </c>
      <c r="J54" t="n">
        <v>776.533587108768</v>
      </c>
      <c r="K54" t="n">
        <v>789.742663590515</v>
      </c>
      <c r="L54" t="n">
        <v>763.343852065563</v>
      </c>
      <c r="M54" t="n">
        <v>928.001648726656</v>
      </c>
      <c r="N54" t="n">
        <v>802.797044770749</v>
      </c>
      <c r="O54" t="n">
        <v>589.227776508234</v>
      </c>
      <c r="P54" t="n">
        <v>1032.03068639915</v>
      </c>
      <c r="Q54" t="n">
        <v>693.611006731755</v>
      </c>
      <c r="R54" t="n">
        <v>792.666132652551</v>
      </c>
      <c r="S54" t="n">
        <v>679.836178635341</v>
      </c>
      <c r="T54" t="n">
        <v>698.122911288507</v>
      </c>
      <c r="U54" t="n">
        <v>720.522576891346</v>
      </c>
      <c r="V54" t="n">
        <v>663.672096113503</v>
      </c>
      <c r="W54" t="n">
        <v>441.013540477462</v>
      </c>
      <c r="X54" t="n">
        <v>798.967629762248</v>
      </c>
      <c r="Y54" t="n">
        <v>552.006346073061</v>
      </c>
      <c r="Z54" t="n">
        <v>464.401243368634</v>
      </c>
      <c r="AA54" t="n">
        <v>491.1598467129</v>
      </c>
      <c r="AB54" t="n">
        <v>628.4887112072</v>
      </c>
      <c r="AC54" t="n">
        <v>661.679594060521</v>
      </c>
      <c r="AD54" t="n">
        <v>962.943700234192</v>
      </c>
      <c r="AE54" t="n">
        <v>870.4</v>
      </c>
      <c r="AF54" t="n">
        <v>743</v>
      </c>
    </row>
    <row r="55">
      <c r="A55" t="s">
        <v>53</v>
      </c>
      <c r="B55" t="s">
        <v>380</v>
      </c>
      <c r="C55" t="s">
        <v>246</v>
      </c>
      <c r="D55" t="s">
        <v>381</v>
      </c>
      <c r="E55" t="s">
        <v>247</v>
      </c>
      <c r="F55" t="n">
        <v>59.5782411369499</v>
      </c>
      <c r="G55" t="n">
        <v>56.1352774531563</v>
      </c>
      <c r="H55" t="n">
        <v>61.6330623583623</v>
      </c>
      <c r="I55" t="n">
        <v>60.5175318179395</v>
      </c>
      <c r="J55" t="n">
        <v>68.3875247449361</v>
      </c>
      <c r="K55" t="n">
        <v>64.7192283984644</v>
      </c>
      <c r="L55" t="n">
        <v>74.478477125217</v>
      </c>
      <c r="M55" t="n">
        <v>73.6037299106591</v>
      </c>
      <c r="N55" t="n">
        <v>63.6769110740241</v>
      </c>
      <c r="O55" t="n">
        <v>57.9956996770852</v>
      </c>
      <c r="P55" t="n">
        <v>59.6003237788227</v>
      </c>
      <c r="Q55" t="n">
        <v>58.3702983349821</v>
      </c>
      <c r="R55" t="n">
        <v>63.1888595483765</v>
      </c>
      <c r="S55" t="n">
        <v>97.0820380201791</v>
      </c>
      <c r="T55" t="n">
        <v>51.993289758652</v>
      </c>
      <c r="U55" t="n">
        <v>56.5414105327687</v>
      </c>
      <c r="V55" t="n">
        <v>54.122526659709</v>
      </c>
      <c r="W55" t="n">
        <v>53.7252971062433</v>
      </c>
      <c r="X55" t="n">
        <v>72.0361661574348</v>
      </c>
      <c r="Y55" t="n">
        <v>93.1872106887667</v>
      </c>
      <c r="Z55" t="n">
        <v>74.5497685510134</v>
      </c>
      <c r="AA55" t="n">
        <v>107.937699653406</v>
      </c>
      <c r="AB55" t="n">
        <v>86.6696792776653</v>
      </c>
      <c r="AC55" t="n">
        <v>117.810296599524</v>
      </c>
      <c r="AD55" t="n">
        <v>158.902204176334</v>
      </c>
      <c r="AE55" t="n">
        <v>87.3</v>
      </c>
      <c r="AF55" t="n">
        <v>119</v>
      </c>
    </row>
    <row r="56">
      <c r="A56" t="s">
        <v>53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53</v>
      </c>
      <c r="B57" t="s">
        <v>384</v>
      </c>
      <c r="C57" t="s">
        <v>246</v>
      </c>
      <c r="D57" t="s">
        <v>385</v>
      </c>
      <c r="E57" t="s">
        <v>247</v>
      </c>
      <c r="F57" t="n">
        <v>18060.6570059524</v>
      </c>
      <c r="G57" t="n">
        <v>20073.3677799302</v>
      </c>
      <c r="H57" t="n">
        <v>19942.4877269066</v>
      </c>
      <c r="I57" t="n">
        <v>20954.4265644564</v>
      </c>
      <c r="J57" t="n">
        <v>21793.6352528398</v>
      </c>
      <c r="K57" t="n">
        <v>22416.6050853482</v>
      </c>
      <c r="L57" t="n">
        <v>23486.1305614619</v>
      </c>
      <c r="M57" t="n">
        <v>23917.764063221</v>
      </c>
      <c r="N57" t="n">
        <v>22507.8745595522</v>
      </c>
      <c r="O57" t="n">
        <v>20715.7190463563</v>
      </c>
      <c r="P57" t="n">
        <v>20696.1959488125</v>
      </c>
      <c r="Q57" t="n">
        <v>20766.8823394166</v>
      </c>
      <c r="R57" t="n">
        <v>21278.7206280856</v>
      </c>
      <c r="S57" t="n">
        <v>20650.6245737333</v>
      </c>
      <c r="T57" t="n">
        <v>19731.2122298628</v>
      </c>
      <c r="U57" t="n">
        <v>19779.4844343479</v>
      </c>
      <c r="V57" t="n">
        <v>18789.7128994577</v>
      </c>
      <c r="W57" t="n">
        <v>20109.7506298558</v>
      </c>
      <c r="X57" t="n">
        <v>21232.7438419297</v>
      </c>
      <c r="Y57" t="n">
        <v>23167.7928541821</v>
      </c>
      <c r="Z57" t="n">
        <v>23904.5946222602</v>
      </c>
      <c r="AA57" t="n">
        <v>24865.2543781322</v>
      </c>
      <c r="AB57" t="n">
        <v>24820.1106329803</v>
      </c>
      <c r="AC57" t="n">
        <v>25713.2948109363</v>
      </c>
      <c r="AD57" t="n">
        <v>26321.6666269296</v>
      </c>
      <c r="AE57" t="n">
        <v>26695.6</v>
      </c>
      <c r="AF57" t="n">
        <v>28866.8</v>
      </c>
    </row>
    <row r="58">
      <c r="A58" t="s">
        <v>53</v>
      </c>
      <c r="B58" t="s">
        <v>386</v>
      </c>
      <c r="C58" t="s">
        <v>246</v>
      </c>
      <c r="D58" t="s">
        <v>387</v>
      </c>
      <c r="E58" t="s">
        <v>247</v>
      </c>
      <c r="F58" t="n">
        <v>18060.6570059524</v>
      </c>
      <c r="G58" t="n">
        <v>20073.3677799302</v>
      </c>
      <c r="H58" t="n">
        <v>19942.4877269066</v>
      </c>
      <c r="I58" t="n">
        <v>20954.4265644564</v>
      </c>
      <c r="J58" t="n">
        <v>21793.6352528398</v>
      </c>
      <c r="K58" t="n">
        <v>22416.6050853482</v>
      </c>
      <c r="L58" t="n">
        <v>23486.1305614619</v>
      </c>
      <c r="M58" t="n">
        <v>23917.764063221</v>
      </c>
      <c r="N58" t="n">
        <v>22507.8745595522</v>
      </c>
      <c r="O58" t="n">
        <v>20715.7190463563</v>
      </c>
      <c r="P58" t="n">
        <v>20696.1959488125</v>
      </c>
      <c r="Q58" t="n">
        <v>20766.8823394166</v>
      </c>
      <c r="R58" t="n">
        <v>21278.7206280856</v>
      </c>
      <c r="S58" t="n">
        <v>20650.6245737333</v>
      </c>
      <c r="T58" t="n">
        <v>19731.2122298628</v>
      </c>
      <c r="U58" t="n">
        <v>19779.4844343479</v>
      </c>
      <c r="V58" t="n">
        <v>18789.7128994577</v>
      </c>
      <c r="W58" t="n">
        <v>20109.7506298558</v>
      </c>
      <c r="X58" t="n">
        <v>21232.7438419297</v>
      </c>
      <c r="Y58" t="n">
        <v>23167.7928541821</v>
      </c>
      <c r="Z58" t="n">
        <v>23904.5946222602</v>
      </c>
      <c r="AA58" t="n">
        <v>24865.2543781322</v>
      </c>
      <c r="AB58" t="n">
        <v>24820.1106329803</v>
      </c>
      <c r="AC58" t="n">
        <v>25713.2948109363</v>
      </c>
      <c r="AD58" t="n">
        <v>26321.6666269296</v>
      </c>
      <c r="AE58" t="n">
        <v>26695.6</v>
      </c>
      <c r="AF58" t="n">
        <v>28866.8</v>
      </c>
    </row>
    <row r="59">
      <c r="A59" t="s">
        <v>53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55</v>
      </c>
      <c r="B2" t="s">
        <v>197</v>
      </c>
      <c r="C2" t="s">
        <v>246</v>
      </c>
      <c r="D2" t="s">
        <v>199</v>
      </c>
      <c r="E2" t="s">
        <v>247</v>
      </c>
      <c r="F2" t="n">
        <v>421.148333572253</v>
      </c>
      <c r="G2" t="n">
        <v>372.377999775902</v>
      </c>
      <c r="H2" t="n">
        <v>484.141294036467</v>
      </c>
      <c r="I2" t="n">
        <v>438.92462881625</v>
      </c>
      <c r="J2" t="n">
        <v>538.022497060478</v>
      </c>
      <c r="K2" t="n">
        <v>488.444104795961</v>
      </c>
      <c r="L2" t="n">
        <v>458.320962817741</v>
      </c>
      <c r="M2" t="n">
        <v>575.885231073425</v>
      </c>
      <c r="N2" t="n">
        <v>453.227847503446</v>
      </c>
      <c r="O2" t="n">
        <v>558.647142419993</v>
      </c>
      <c r="P2" t="n">
        <v>500.945340907621</v>
      </c>
      <c r="Q2" t="n">
        <v>506.542495554634</v>
      </c>
      <c r="R2" t="n">
        <v>496.60324564186</v>
      </c>
      <c r="S2" t="n">
        <v>453.502725514622</v>
      </c>
      <c r="T2" t="n">
        <v>328.898878636303</v>
      </c>
      <c r="U2" t="n">
        <v>305.276307242535</v>
      </c>
      <c r="V2" t="n">
        <v>366.762293639532</v>
      </c>
      <c r="W2" t="n">
        <v>160.336213135243</v>
      </c>
      <c r="X2" t="n">
        <v>140.016376223054</v>
      </c>
      <c r="Y2" t="n">
        <v>140.650891523158</v>
      </c>
      <c r="Z2" t="n">
        <v>157.923808026002</v>
      </c>
      <c r="AA2" t="n">
        <v>226.500108008212</v>
      </c>
      <c r="AB2" t="n">
        <v>263.903795569201</v>
      </c>
      <c r="AC2" t="n">
        <v>269.022177950295</v>
      </c>
      <c r="AD2" t="n">
        <v>278.288271134806</v>
      </c>
      <c r="AE2" t="n">
        <v>257.5</v>
      </c>
      <c r="AF2" t="n">
        <v>279.4</v>
      </c>
    </row>
    <row r="3">
      <c r="A3" t="s">
        <v>55</v>
      </c>
      <c r="B3" t="s">
        <v>276</v>
      </c>
      <c r="C3" t="s">
        <v>246</v>
      </c>
      <c r="D3" t="s">
        <v>277</v>
      </c>
      <c r="E3" t="s">
        <v>247</v>
      </c>
      <c r="F3" t="n">
        <v>31.9677233460973</v>
      </c>
      <c r="G3" t="n">
        <v>50.3428714111769</v>
      </c>
      <c r="H3" t="n">
        <v>44.1923848586802</v>
      </c>
      <c r="I3" t="n">
        <v>32.4814028711299</v>
      </c>
      <c r="J3" t="n">
        <v>57.5442137284833</v>
      </c>
      <c r="K3" t="n">
        <v>47.3893524822803</v>
      </c>
      <c r="L3" t="n">
        <v>46.1328166210077</v>
      </c>
      <c r="M3" t="n">
        <v>53.0962606392731</v>
      </c>
      <c r="N3" t="n">
        <v>40.1625561245784</v>
      </c>
      <c r="O3" t="n">
        <v>47.7245436794153</v>
      </c>
      <c r="P3" t="n">
        <v>50.7073276593787</v>
      </c>
      <c r="Q3" t="n">
        <v>46.9572680575597</v>
      </c>
      <c r="R3" t="n">
        <v>48.720168906137</v>
      </c>
      <c r="S3" t="n">
        <v>47.6092855760297</v>
      </c>
      <c r="T3" t="n">
        <v>34.0066325543069</v>
      </c>
      <c r="U3" t="n">
        <v>33.2475559347911</v>
      </c>
      <c r="V3" t="n">
        <v>34.4090426050022</v>
      </c>
      <c r="W3" t="n">
        <v>9.24209822035183</v>
      </c>
      <c r="X3" t="n">
        <v>7.92179847458728</v>
      </c>
      <c r="Y3" t="n">
        <v>12.4920668253107</v>
      </c>
      <c r="Z3" t="n">
        <v>12.8043684959435</v>
      </c>
      <c r="AA3" t="n">
        <v>20.8325042989557</v>
      </c>
      <c r="AB3" t="n">
        <v>18.9943421549302</v>
      </c>
      <c r="AC3" t="n">
        <v>22.5685463238686</v>
      </c>
      <c r="AD3" t="n">
        <v>23.0791469194313</v>
      </c>
      <c r="AE3" t="n">
        <v>20.9</v>
      </c>
      <c r="AF3" t="n">
        <v>34.6</v>
      </c>
    </row>
    <row r="4">
      <c r="A4" t="s">
        <v>55</v>
      </c>
      <c r="B4" t="s">
        <v>278</v>
      </c>
      <c r="C4" t="s">
        <v>246</v>
      </c>
      <c r="D4" t="s">
        <v>279</v>
      </c>
      <c r="E4" t="s">
        <v>247</v>
      </c>
      <c r="F4" t="n">
        <v>1997.55558271437</v>
      </c>
      <c r="G4" t="n">
        <v>2004.32212863549</v>
      </c>
      <c r="H4" t="n">
        <v>1621.63647584017</v>
      </c>
      <c r="I4" t="n">
        <v>2137.75346959315</v>
      </c>
      <c r="J4" t="n">
        <v>2142.50620731408</v>
      </c>
      <c r="K4" t="n">
        <v>2349.07099969962</v>
      </c>
      <c r="L4" t="n">
        <v>2272.26417054697</v>
      </c>
      <c r="M4" t="n">
        <v>2420.21376175139</v>
      </c>
      <c r="N4" t="n">
        <v>2074.46893864405</v>
      </c>
      <c r="O4" t="n">
        <v>2404.69052479555</v>
      </c>
      <c r="P4" t="n">
        <v>2189.79289484139</v>
      </c>
      <c r="Q4" t="n">
        <v>2323.50844945699</v>
      </c>
      <c r="R4" t="n">
        <v>2221.12383816288</v>
      </c>
      <c r="S4" t="n">
        <v>2292.45101620234</v>
      </c>
      <c r="T4" t="n">
        <v>1456.83154141657</v>
      </c>
      <c r="U4" t="n">
        <v>1419.81898231411</v>
      </c>
      <c r="V4" t="n">
        <v>1642.67793880401</v>
      </c>
      <c r="W4" t="n">
        <v>1244.30088068423</v>
      </c>
      <c r="X4" t="n">
        <v>738.61732615293</v>
      </c>
      <c r="Y4" t="n">
        <v>868.641110954413</v>
      </c>
      <c r="Z4" t="n">
        <v>962.553936349653</v>
      </c>
      <c r="AA4" t="n">
        <v>1667.45557538471</v>
      </c>
      <c r="AB4" t="n">
        <v>1612.67180739325</v>
      </c>
      <c r="AC4" t="n">
        <v>1431.70018401896</v>
      </c>
      <c r="AD4" t="n">
        <v>922.719066715275</v>
      </c>
      <c r="AE4" t="n">
        <v>538.4</v>
      </c>
      <c r="AF4" t="n">
        <v>1597.4</v>
      </c>
    </row>
    <row r="5">
      <c r="A5" t="s">
        <v>55</v>
      </c>
      <c r="B5" t="s">
        <v>280</v>
      </c>
      <c r="C5" t="s">
        <v>246</v>
      </c>
      <c r="D5" t="s">
        <v>281</v>
      </c>
      <c r="E5" t="s">
        <v>247</v>
      </c>
      <c r="F5" t="n">
        <v>263.307765330357</v>
      </c>
      <c r="G5" t="n">
        <v>252.129605481427</v>
      </c>
      <c r="H5" t="n">
        <v>146.59443982826</v>
      </c>
      <c r="I5" t="n">
        <v>304.093885807399</v>
      </c>
      <c r="J5" t="n">
        <v>243.750037084939</v>
      </c>
      <c r="K5" t="n">
        <v>298.192332459561</v>
      </c>
      <c r="L5" t="n">
        <v>254.527122324682</v>
      </c>
      <c r="M5" t="n">
        <v>283.170487942416</v>
      </c>
      <c r="N5" t="n">
        <v>245.0194849644</v>
      </c>
      <c r="O5" t="n">
        <v>276.896719926164</v>
      </c>
      <c r="P5" t="n">
        <v>279.338900152308</v>
      </c>
      <c r="Q5" t="n">
        <v>255.02861820145</v>
      </c>
      <c r="R5" t="n">
        <v>267.469038601521</v>
      </c>
      <c r="S5" t="n">
        <v>256.712009818217</v>
      </c>
      <c r="T5" t="n">
        <v>167.787057120215</v>
      </c>
      <c r="U5" t="n">
        <v>173.925607990467</v>
      </c>
      <c r="V5" t="n">
        <v>191.359188980077</v>
      </c>
      <c r="W5" t="n">
        <v>115.953709307631</v>
      </c>
      <c r="X5" t="n">
        <v>109.322041357627</v>
      </c>
      <c r="Y5" t="n">
        <v>138.413340878565</v>
      </c>
      <c r="Z5" t="n">
        <v>148.65070495864</v>
      </c>
      <c r="AA5" t="n">
        <v>198.77475056799</v>
      </c>
      <c r="AB5" t="n">
        <v>206.917085460688</v>
      </c>
      <c r="AC5" t="n">
        <v>193.640076028364</v>
      </c>
      <c r="AD5" t="n">
        <v>189.861234882241</v>
      </c>
      <c r="AE5" t="n">
        <v>156</v>
      </c>
      <c r="AF5" t="n">
        <v>179.1</v>
      </c>
    </row>
    <row r="6">
      <c r="A6" t="s">
        <v>55</v>
      </c>
      <c r="B6" t="s">
        <v>282</v>
      </c>
      <c r="C6" t="s">
        <v>246</v>
      </c>
      <c r="D6" t="s">
        <v>283</v>
      </c>
      <c r="E6" t="s">
        <v>247</v>
      </c>
      <c r="F6" t="n">
        <v>193.010114222199</v>
      </c>
      <c r="G6" t="n">
        <v>198.975881389067</v>
      </c>
      <c r="H6" t="n">
        <v>153.912763115945</v>
      </c>
      <c r="I6" t="n">
        <v>283.174833440548</v>
      </c>
      <c r="J6" t="n">
        <v>217.413199773975</v>
      </c>
      <c r="K6" t="n">
        <v>228.08457504378</v>
      </c>
      <c r="L6" t="n">
        <v>238.118338538195</v>
      </c>
      <c r="M6" t="n">
        <v>234.314151402288</v>
      </c>
      <c r="N6" t="n">
        <v>228.368866963722</v>
      </c>
      <c r="O6" t="n">
        <v>233.814496972497</v>
      </c>
      <c r="P6" t="n">
        <v>244.93214707364</v>
      </c>
      <c r="Q6" t="n">
        <v>222.665588248764</v>
      </c>
      <c r="R6" t="n">
        <v>232.254592049161</v>
      </c>
      <c r="S6" t="n">
        <v>229.379059004743</v>
      </c>
      <c r="T6" t="n">
        <v>144.239775681268</v>
      </c>
      <c r="U6" t="n">
        <v>136.715143739042</v>
      </c>
      <c r="V6" t="n">
        <v>165.724451037561</v>
      </c>
      <c r="W6" t="n">
        <v>65.6816172919507</v>
      </c>
      <c r="X6" t="n">
        <v>80.1070192205566</v>
      </c>
      <c r="Y6" t="n">
        <v>98.7777958357645</v>
      </c>
      <c r="Z6" t="n">
        <v>109.304170203623</v>
      </c>
      <c r="AA6" t="n">
        <v>148.356132714937</v>
      </c>
      <c r="AB6" t="n">
        <v>163.773734944775</v>
      </c>
      <c r="AC6" t="n">
        <v>146.792823014211</v>
      </c>
      <c r="AD6" t="n">
        <v>135.147463359639</v>
      </c>
      <c r="AE6" t="n">
        <v>88.6</v>
      </c>
      <c r="AF6" t="n">
        <v>115.5</v>
      </c>
    </row>
    <row r="7">
      <c r="A7" t="s">
        <v>55</v>
      </c>
      <c r="B7" t="s">
        <v>284</v>
      </c>
      <c r="C7" t="s">
        <v>246</v>
      </c>
      <c r="D7" t="s">
        <v>285</v>
      </c>
      <c r="E7" t="s">
        <v>247</v>
      </c>
      <c r="F7" t="n">
        <v>213.657200559353</v>
      </c>
      <c r="G7" t="n">
        <v>180.500439974624</v>
      </c>
      <c r="H7" t="n">
        <v>107.022384763715</v>
      </c>
      <c r="I7" t="n">
        <v>161.619311483755</v>
      </c>
      <c r="J7" t="n">
        <v>212.342483187599</v>
      </c>
      <c r="K7" t="n">
        <v>186.918459543879</v>
      </c>
      <c r="L7" t="n">
        <v>178.388450477393</v>
      </c>
      <c r="M7" t="n">
        <v>182.472765168458</v>
      </c>
      <c r="N7" t="n">
        <v>178.705585500464</v>
      </c>
      <c r="O7" t="n">
        <v>198.821659260987</v>
      </c>
      <c r="P7" t="n">
        <v>171.409947076662</v>
      </c>
      <c r="Q7" t="n">
        <v>168.102636055223</v>
      </c>
      <c r="R7" t="n">
        <v>182.842559297013</v>
      </c>
      <c r="S7" t="n">
        <v>179.161165485664</v>
      </c>
      <c r="T7" t="n">
        <v>114.684928423346</v>
      </c>
      <c r="U7" t="n">
        <v>110.512622258691</v>
      </c>
      <c r="V7" t="n">
        <v>127.592769949086</v>
      </c>
      <c r="W7" t="n">
        <v>51.5258911366621</v>
      </c>
      <c r="X7" t="n">
        <v>56.4861439179911</v>
      </c>
      <c r="Y7" t="n">
        <v>67.9068396828308</v>
      </c>
      <c r="Z7" t="n">
        <v>82.0978975112862</v>
      </c>
      <c r="AA7" t="n">
        <v>122.99386881815</v>
      </c>
      <c r="AB7" t="n">
        <v>124.012873530811</v>
      </c>
      <c r="AC7" t="n">
        <v>120.233238999806</v>
      </c>
      <c r="AD7" t="n">
        <v>123.604264392324</v>
      </c>
      <c r="AE7" t="n">
        <v>93.2</v>
      </c>
      <c r="AF7" t="n">
        <v>118</v>
      </c>
    </row>
    <row r="8">
      <c r="A8" t="s">
        <v>55</v>
      </c>
      <c r="B8" t="s">
        <v>286</v>
      </c>
      <c r="C8" t="s">
        <v>246</v>
      </c>
      <c r="D8" t="s">
        <v>287</v>
      </c>
      <c r="E8" t="s">
        <v>247</v>
      </c>
      <c r="F8" t="n">
        <v>15.3362929884555</v>
      </c>
      <c r="G8" t="n">
        <v>7.34414030433082</v>
      </c>
      <c r="H8" t="n">
        <v>10.4364099061543</v>
      </c>
      <c r="I8" t="n">
        <v>9.86715118400046</v>
      </c>
      <c r="J8" t="n">
        <v>10.213367015018</v>
      </c>
      <c r="K8" t="n">
        <v>14.5905243071686</v>
      </c>
      <c r="L8" t="n">
        <v>10.9044971137786</v>
      </c>
      <c r="M8" t="n">
        <v>14.0414072423999</v>
      </c>
      <c r="N8" t="n">
        <v>12.2862313370999</v>
      </c>
      <c r="O8" t="n">
        <v>13.7316703179352</v>
      </c>
      <c r="P8" t="n">
        <v>13.0238522603097</v>
      </c>
      <c r="Q8" t="n">
        <v>13.5840179489251</v>
      </c>
      <c r="R8" t="n">
        <v>11.920668812322</v>
      </c>
      <c r="S8" t="n">
        <v>12.1947071758237</v>
      </c>
      <c r="T8" t="n">
        <v>8.88092805195857</v>
      </c>
      <c r="U8" t="n">
        <v>9.14213181819265</v>
      </c>
      <c r="V8" t="n">
        <v>9.76830523039762</v>
      </c>
      <c r="W8" t="n">
        <v>5.68787393162393</v>
      </c>
      <c r="X8" t="n">
        <v>-0.643910256410256</v>
      </c>
      <c r="Y8" t="n">
        <v>3.86346153846154</v>
      </c>
      <c r="Z8" t="n">
        <v>4.18541666666667</v>
      </c>
      <c r="AA8" t="n">
        <v>6.43125</v>
      </c>
      <c r="AB8" t="n">
        <v>7.75833333333333</v>
      </c>
      <c r="AC8" t="n">
        <v>6.83958333333333</v>
      </c>
      <c r="AD8" t="n">
        <v>4.9</v>
      </c>
      <c r="AE8" t="n">
        <v>6.8</v>
      </c>
      <c r="AF8" t="n">
        <v>10.4</v>
      </c>
    </row>
    <row r="9">
      <c r="A9" t="s">
        <v>55</v>
      </c>
      <c r="B9" t="s">
        <v>288</v>
      </c>
      <c r="C9" t="s">
        <v>246</v>
      </c>
      <c r="D9" t="s">
        <v>289</v>
      </c>
      <c r="E9" t="s">
        <v>247</v>
      </c>
      <c r="F9" t="n">
        <v>58.9360729486477</v>
      </c>
      <c r="G9" t="n">
        <v>41.1820385510737</v>
      </c>
      <c r="H9" t="n">
        <v>64.0792519854706</v>
      </c>
      <c r="I9" t="n">
        <v>58.8058970839232</v>
      </c>
      <c r="J9" t="n">
        <v>58.8058970839232</v>
      </c>
      <c r="K9" t="n">
        <v>74.674155027204</v>
      </c>
      <c r="L9" t="n">
        <v>56.3866068572765</v>
      </c>
      <c r="M9" t="n">
        <v>69.2185699057596</v>
      </c>
      <c r="N9" t="n">
        <v>64.8621564151873</v>
      </c>
      <c r="O9" t="n">
        <v>75.6725158177185</v>
      </c>
      <c r="P9" t="n">
        <v>51.7946890055342</v>
      </c>
      <c r="Q9" t="n">
        <v>64.6847699797621</v>
      </c>
      <c r="R9" t="n">
        <v>61.0976002671098</v>
      </c>
      <c r="S9" t="n">
        <v>63.6241927593587</v>
      </c>
      <c r="T9" t="n">
        <v>39.498617021683</v>
      </c>
      <c r="U9" t="n">
        <v>39.2779543567574</v>
      </c>
      <c r="V9" t="n">
        <v>46.0861331119287</v>
      </c>
      <c r="W9" t="n">
        <v>22.6722585883971</v>
      </c>
      <c r="X9" t="n">
        <v>22.4652059985487</v>
      </c>
      <c r="Y9" t="n">
        <v>24.9964968152866</v>
      </c>
      <c r="Z9" t="n">
        <v>33.5423076923077</v>
      </c>
      <c r="AA9" t="n">
        <v>40.5</v>
      </c>
      <c r="AB9" t="n">
        <v>46.125</v>
      </c>
      <c r="AC9" t="n">
        <v>37.0227272727273</v>
      </c>
      <c r="AD9" t="n">
        <v>40.5</v>
      </c>
      <c r="AE9" t="n">
        <v>34.2</v>
      </c>
      <c r="AF9" t="n">
        <v>40.1</v>
      </c>
    </row>
    <row r="10">
      <c r="A10" t="s">
        <v>55</v>
      </c>
      <c r="B10" t="s">
        <v>290</v>
      </c>
      <c r="C10" t="s">
        <v>246</v>
      </c>
      <c r="D10" t="s">
        <v>291</v>
      </c>
      <c r="E10" t="s">
        <v>247</v>
      </c>
      <c r="F10" t="n">
        <v>73.6300183955197</v>
      </c>
      <c r="G10" t="n">
        <v>52.070856681695</v>
      </c>
      <c r="H10" t="n">
        <v>75.6345671420824</v>
      </c>
      <c r="I10" t="n">
        <v>70.9973526661407</v>
      </c>
      <c r="J10" t="n">
        <v>71.7130517857591</v>
      </c>
      <c r="K10" t="n">
        <v>89.041484373396</v>
      </c>
      <c r="L10" t="n">
        <v>71.157083665919</v>
      </c>
      <c r="M10" t="n">
        <v>85.191525773038</v>
      </c>
      <c r="N10" t="n">
        <v>77.1067775764466</v>
      </c>
      <c r="O10" t="n">
        <v>93.3901964435223</v>
      </c>
      <c r="P10" t="n">
        <v>62.7335920343052</v>
      </c>
      <c r="Q10" t="n">
        <v>80.373764096093</v>
      </c>
      <c r="R10" t="n">
        <v>73.9161876407398</v>
      </c>
      <c r="S10" t="n">
        <v>77.3488279336534</v>
      </c>
      <c r="T10" t="n">
        <v>47.7282507625289</v>
      </c>
      <c r="U10" t="n">
        <v>47.3990904124425</v>
      </c>
      <c r="V10" t="n">
        <v>56.5462832990542</v>
      </c>
      <c r="W10" t="n">
        <v>27.1126768803301</v>
      </c>
      <c r="X10" t="n">
        <v>26.8022263817004</v>
      </c>
      <c r="Y10" t="n">
        <v>28.2795144499831</v>
      </c>
      <c r="Z10" t="n">
        <v>38.5241687412977</v>
      </c>
      <c r="AA10" t="n">
        <v>45.7928798245614</v>
      </c>
      <c r="AB10" t="n">
        <v>50.994298245614</v>
      </c>
      <c r="AC10" t="n">
        <v>41.5925438596491</v>
      </c>
      <c r="AD10" t="n">
        <v>46.6</v>
      </c>
      <c r="AE10" t="n">
        <v>38.5</v>
      </c>
      <c r="AF10" t="n">
        <v>46.9</v>
      </c>
    </row>
    <row r="11">
      <c r="A11" t="s">
        <v>55</v>
      </c>
      <c r="B11" t="s">
        <v>292</v>
      </c>
      <c r="C11" t="s">
        <v>246</v>
      </c>
      <c r="D11" t="s">
        <v>293</v>
      </c>
      <c r="E11" t="s">
        <v>247</v>
      </c>
      <c r="F11" t="n">
        <v>14.669593965746</v>
      </c>
      <c r="G11" t="n">
        <v>10.8663659005526</v>
      </c>
      <c r="H11" t="n">
        <v>11.5249335308891</v>
      </c>
      <c r="I11" t="n">
        <v>12.1652076159385</v>
      </c>
      <c r="J11" t="n">
        <v>12.8808080639349</v>
      </c>
      <c r="K11" t="n">
        <v>14.3415182567523</v>
      </c>
      <c r="L11" t="n">
        <v>14.71892663193</v>
      </c>
      <c r="M11" t="n">
        <v>15.9353668494448</v>
      </c>
      <c r="N11" t="n">
        <v>12.2488267574091</v>
      </c>
      <c r="O11" t="n">
        <v>17.6665770539554</v>
      </c>
      <c r="P11" t="n">
        <v>10.925383178104</v>
      </c>
      <c r="Q11" t="n">
        <v>15.6405485497068</v>
      </c>
      <c r="R11" t="n">
        <v>12.8071158414266</v>
      </c>
      <c r="S11" t="n">
        <v>13.7058608127548</v>
      </c>
      <c r="T11" t="n">
        <v>8.22351648765286</v>
      </c>
      <c r="U11" t="n">
        <v>8.1167175722288</v>
      </c>
      <c r="V11" t="n">
        <v>10.4214645371827</v>
      </c>
      <c r="W11" t="n">
        <v>4.43686113959261</v>
      </c>
      <c r="X11" t="n">
        <v>4.33367832239279</v>
      </c>
      <c r="Y11" t="n">
        <v>3.27668360961406</v>
      </c>
      <c r="Z11" t="n">
        <v>4.96787515006002</v>
      </c>
      <c r="AA11" t="n">
        <v>5.27836734693877</v>
      </c>
      <c r="AB11" t="n">
        <v>4.88</v>
      </c>
      <c r="AC11" t="n">
        <v>4.575</v>
      </c>
      <c r="AD11" t="n">
        <v>6.1</v>
      </c>
      <c r="AE11" t="n">
        <v>4.3</v>
      </c>
      <c r="AF11" t="n">
        <v>6.8</v>
      </c>
    </row>
    <row r="12">
      <c r="A12" t="s">
        <v>55</v>
      </c>
      <c r="B12" t="s">
        <v>294</v>
      </c>
      <c r="C12" t="s">
        <v>246</v>
      </c>
      <c r="D12" t="s">
        <v>295</v>
      </c>
      <c r="E12" t="s">
        <v>247</v>
      </c>
      <c r="F12" t="n">
        <v>294.879093686693</v>
      </c>
      <c r="G12" t="n">
        <v>163.112624069851</v>
      </c>
      <c r="H12" t="n">
        <v>185.49398205033</v>
      </c>
      <c r="I12" t="n">
        <v>201.294711665974</v>
      </c>
      <c r="J12" t="n">
        <v>245.680492483177</v>
      </c>
      <c r="K12" t="n">
        <v>221.098555134662</v>
      </c>
      <c r="L12" t="n">
        <v>216.464753080942</v>
      </c>
      <c r="M12" t="n">
        <v>252.756703359673</v>
      </c>
      <c r="N12" t="n">
        <v>221.225178489454</v>
      </c>
      <c r="O12" t="n">
        <v>249.879344707828</v>
      </c>
      <c r="P12" t="n">
        <v>215.507025148809</v>
      </c>
      <c r="Q12" t="n">
        <v>248.174379639692</v>
      </c>
      <c r="R12" t="n">
        <v>226.061020872766</v>
      </c>
      <c r="S12" t="n">
        <v>242.965004529392</v>
      </c>
      <c r="T12" t="n">
        <v>157.137500539325</v>
      </c>
      <c r="U12" t="n">
        <v>154.0541338863</v>
      </c>
      <c r="V12" t="n">
        <v>171.352585360821</v>
      </c>
      <c r="W12" t="n">
        <v>84.1541250439565</v>
      </c>
      <c r="X12" t="n">
        <v>66.2229797561401</v>
      </c>
      <c r="Y12" t="n">
        <v>85.8100582755619</v>
      </c>
      <c r="Z12" t="n">
        <v>94.233131480525</v>
      </c>
      <c r="AA12" t="n">
        <v>145.754071844334</v>
      </c>
      <c r="AB12" t="n">
        <v>167.785478085325</v>
      </c>
      <c r="AC12" t="n">
        <v>158.180219291159</v>
      </c>
      <c r="AD12" t="n">
        <v>175.131746987952</v>
      </c>
      <c r="AE12" t="n">
        <v>164.9</v>
      </c>
      <c r="AF12" t="n">
        <v>216.7</v>
      </c>
    </row>
    <row r="13">
      <c r="A13" t="s">
        <v>55</v>
      </c>
      <c r="B13" t="s">
        <v>296</v>
      </c>
      <c r="C13" t="s">
        <v>246</v>
      </c>
      <c r="D13" t="s">
        <v>297</v>
      </c>
      <c r="E13" t="s">
        <v>247</v>
      </c>
      <c r="F13" t="n">
        <v>290.738436477495</v>
      </c>
      <c r="G13" t="n">
        <v>470.432174214958</v>
      </c>
      <c r="H13" t="n">
        <v>243.844938129085</v>
      </c>
      <c r="I13" t="n">
        <v>407.287789720381</v>
      </c>
      <c r="J13" t="n">
        <v>426.761932671492</v>
      </c>
      <c r="K13" t="n">
        <v>411.965442305145</v>
      </c>
      <c r="L13" t="n">
        <v>431.871335525772</v>
      </c>
      <c r="M13" t="n">
        <v>447.733054025884</v>
      </c>
      <c r="N13" t="n">
        <v>374.210573575317</v>
      </c>
      <c r="O13" t="n">
        <v>452.283283170168</v>
      </c>
      <c r="P13" t="n">
        <v>370.323578925356</v>
      </c>
      <c r="Q13" t="n">
        <v>422.166596141549</v>
      </c>
      <c r="R13" t="n">
        <v>419.124563022834</v>
      </c>
      <c r="S13" t="n">
        <v>435.541112653625</v>
      </c>
      <c r="T13" t="n">
        <v>274.91215448167</v>
      </c>
      <c r="U13" t="n">
        <v>263.765618783387</v>
      </c>
      <c r="V13" t="n">
        <v>304.775473864292</v>
      </c>
      <c r="W13" t="n">
        <v>124.523133996797</v>
      </c>
      <c r="X13" t="n">
        <v>136.314712399759</v>
      </c>
      <c r="Y13" t="n">
        <v>166.618362424895</v>
      </c>
      <c r="Z13" t="n">
        <v>184.451486712297</v>
      </c>
      <c r="AA13" t="n">
        <v>287.174885475448</v>
      </c>
      <c r="AB13" t="n">
        <v>316.861525501506</v>
      </c>
      <c r="AC13" t="n">
        <v>305.201675951096</v>
      </c>
      <c r="AD13" t="n">
        <v>299.475949367089</v>
      </c>
      <c r="AE13" t="n">
        <v>235.8</v>
      </c>
      <c r="AF13" t="n">
        <v>313.9</v>
      </c>
    </row>
    <row r="14">
      <c r="A14" t="s">
        <v>55</v>
      </c>
      <c r="B14" t="s">
        <v>298</v>
      </c>
      <c r="C14" t="s">
        <v>246</v>
      </c>
      <c r="D14" t="s">
        <v>299</v>
      </c>
      <c r="E14" t="s">
        <v>247</v>
      </c>
      <c r="F14" t="n">
        <v>30.9437268460424</v>
      </c>
      <c r="G14" t="n">
        <v>44.2567256053863</v>
      </c>
      <c r="H14" t="n">
        <v>32.4225096010156</v>
      </c>
      <c r="I14" t="n">
        <v>31.0059921912625</v>
      </c>
      <c r="J14" t="n">
        <v>37.3481269576571</v>
      </c>
      <c r="K14" t="n">
        <v>47.8687261006591</v>
      </c>
      <c r="L14" t="n">
        <v>45.6131316770678</v>
      </c>
      <c r="M14" t="n">
        <v>45.2472509416903</v>
      </c>
      <c r="N14" t="n">
        <v>38.3045510617484</v>
      </c>
      <c r="O14" t="n">
        <v>42.4680892206341</v>
      </c>
      <c r="P14" t="n">
        <v>45.1738123565747</v>
      </c>
      <c r="Q14" t="n">
        <v>42.1544829959811</v>
      </c>
      <c r="R14" t="n">
        <v>42.8417843491764</v>
      </c>
      <c r="S14" t="n">
        <v>42.3872296080711</v>
      </c>
      <c r="T14" t="n">
        <v>26.408797504505</v>
      </c>
      <c r="U14" t="n">
        <v>25.3175248803519</v>
      </c>
      <c r="V14" t="n">
        <v>30.897714037654</v>
      </c>
      <c r="W14" t="n">
        <v>17.9102003404706</v>
      </c>
      <c r="X14" t="n">
        <v>14.2656828293283</v>
      </c>
      <c r="Y14" t="n">
        <v>15.0109050666813</v>
      </c>
      <c r="Z14" t="n">
        <v>19.0066136096109</v>
      </c>
      <c r="AA14" t="n">
        <v>26.1472198275862</v>
      </c>
      <c r="AB14" t="n">
        <v>28.0001724137931</v>
      </c>
      <c r="AC14" t="n">
        <v>23.8825</v>
      </c>
      <c r="AD14" t="n">
        <v>24.6</v>
      </c>
      <c r="AE14" t="n">
        <v>18.6</v>
      </c>
      <c r="AF14" t="n">
        <v>23.6</v>
      </c>
    </row>
    <row r="15">
      <c r="A15" t="s">
        <v>55</v>
      </c>
      <c r="B15" t="s">
        <v>300</v>
      </c>
      <c r="C15" t="s">
        <v>246</v>
      </c>
      <c r="D15" t="s">
        <v>301</v>
      </c>
      <c r="E15" t="s">
        <v>247</v>
      </c>
      <c r="F15" t="n">
        <v>65.290855284936</v>
      </c>
      <c r="G15" t="n">
        <v>90.8778120857893</v>
      </c>
      <c r="H15" t="n">
        <v>115.503792633512</v>
      </c>
      <c r="I15" t="n">
        <v>80.8063916421366</v>
      </c>
      <c r="J15" t="n">
        <v>122.383697427236</v>
      </c>
      <c r="K15" t="n">
        <v>121.610747759274</v>
      </c>
      <c r="L15" t="n">
        <v>114.002406325294</v>
      </c>
      <c r="M15" t="n">
        <v>124.746088596787</v>
      </c>
      <c r="N15" t="n">
        <v>100.382533265208</v>
      </c>
      <c r="O15" t="n">
        <v>122.017702659563</v>
      </c>
      <c r="P15" t="n">
        <v>113.507514161158</v>
      </c>
      <c r="Q15" t="n">
        <v>120.658487553311</v>
      </c>
      <c r="R15" t="n">
        <v>110.584958907859</v>
      </c>
      <c r="S15" t="n">
        <v>115.35442052575</v>
      </c>
      <c r="T15" t="n">
        <v>71.1623044933502</v>
      </c>
      <c r="U15" t="n">
        <v>68.9285101818998</v>
      </c>
      <c r="V15" t="n">
        <v>82.7343667534206</v>
      </c>
      <c r="W15" t="n">
        <v>34.7871998309697</v>
      </c>
      <c r="X15" t="n">
        <v>37.250010438472</v>
      </c>
      <c r="Y15" t="n">
        <v>43.0049277814943</v>
      </c>
      <c r="Z15" t="n">
        <v>50.5627244955688</v>
      </c>
      <c r="AA15" t="n">
        <v>72.4248861114808</v>
      </c>
      <c r="AB15" t="n">
        <v>76.5109163575446</v>
      </c>
      <c r="AC15" t="n">
        <v>68.6347926148562</v>
      </c>
      <c r="AD15" t="n">
        <v>69.9625490196078</v>
      </c>
      <c r="AE15" t="n">
        <v>50.9</v>
      </c>
      <c r="AF15" t="n">
        <v>64.3</v>
      </c>
    </row>
    <row r="16">
      <c r="A16" t="s">
        <v>55</v>
      </c>
      <c r="B16" t="s">
        <v>302</v>
      </c>
      <c r="C16" t="s">
        <v>246</v>
      </c>
      <c r="D16" t="s">
        <v>303</v>
      </c>
      <c r="E16" t="s">
        <v>247</v>
      </c>
      <c r="F16" t="n">
        <v>34.3996619302052</v>
      </c>
      <c r="G16" t="n">
        <v>46.7348942385111</v>
      </c>
      <c r="H16" t="n">
        <v>82.3722048953021</v>
      </c>
      <c r="I16" t="n">
        <v>49.6053609590494</v>
      </c>
      <c r="J16" t="n">
        <v>84.3970661796429</v>
      </c>
      <c r="K16" t="n">
        <v>73.4989465228121</v>
      </c>
      <c r="L16" t="n">
        <v>68.1886778085203</v>
      </c>
      <c r="M16" t="n">
        <v>79.1035608312266</v>
      </c>
      <c r="N16" t="n">
        <v>61.8320409990811</v>
      </c>
      <c r="O16" t="n">
        <v>79.0901522576046</v>
      </c>
      <c r="P16" t="n">
        <v>68.1305168733366</v>
      </c>
      <c r="Q16" t="n">
        <v>78.054601982546</v>
      </c>
      <c r="R16" t="n">
        <v>67.5007403060327</v>
      </c>
      <c r="S16" t="n">
        <v>72.6177319098772</v>
      </c>
      <c r="T16" t="n">
        <v>44.5487989315352</v>
      </c>
      <c r="U16" t="n">
        <v>43.4011717927837</v>
      </c>
      <c r="V16" t="n">
        <v>51.6068603094148</v>
      </c>
      <c r="W16" t="n">
        <v>17.0022601794584</v>
      </c>
      <c r="X16" t="n">
        <v>23.0090467099257</v>
      </c>
      <c r="Y16" t="n">
        <v>27.983975728288</v>
      </c>
      <c r="Z16" t="n">
        <v>31.5743726141815</v>
      </c>
      <c r="AA16" t="n">
        <v>46.2816536689957</v>
      </c>
      <c r="AB16" t="n">
        <v>48.5194479123318</v>
      </c>
      <c r="AC16" t="n">
        <v>44.7479782216674</v>
      </c>
      <c r="AD16" t="n">
        <v>45.3595679012346</v>
      </c>
      <c r="AE16" t="n">
        <v>32.3</v>
      </c>
      <c r="AF16" t="n">
        <v>40.7</v>
      </c>
    </row>
    <row r="17">
      <c r="A17" t="s">
        <v>55</v>
      </c>
      <c r="B17" t="s">
        <v>304</v>
      </c>
      <c r="C17" t="s">
        <v>246</v>
      </c>
      <c r="D17" t="s">
        <v>305</v>
      </c>
      <c r="E17" t="s">
        <v>247</v>
      </c>
      <c r="F17" t="n">
        <v>168.529693138226</v>
      </c>
      <c r="G17" t="n">
        <v>193.470662524432</v>
      </c>
      <c r="H17" t="n">
        <v>271.019484100616</v>
      </c>
      <c r="I17" t="n">
        <v>201.355476399077</v>
      </c>
      <c r="J17" t="n">
        <v>198.700546453496</v>
      </c>
      <c r="K17" t="n">
        <v>295.376255529032</v>
      </c>
      <c r="L17" t="n">
        <v>286.184563809457</v>
      </c>
      <c r="M17" t="n">
        <v>305.858998183536</v>
      </c>
      <c r="N17" t="n">
        <v>248.355140111119</v>
      </c>
      <c r="O17" t="n">
        <v>293.959396790302</v>
      </c>
      <c r="P17" t="n">
        <v>263.738185574217</v>
      </c>
      <c r="Q17" t="n">
        <v>312.107379104126</v>
      </c>
      <c r="R17" t="n">
        <v>262.690377412639</v>
      </c>
      <c r="S17" t="n">
        <v>292.513527387783</v>
      </c>
      <c r="T17" t="n">
        <v>182.602007366326</v>
      </c>
      <c r="U17" t="n">
        <v>176.687336927487</v>
      </c>
      <c r="V17" t="n">
        <v>206.594552247969</v>
      </c>
      <c r="W17" t="n">
        <v>93.6260172040097</v>
      </c>
      <c r="X17" t="n">
        <v>103.52975075776</v>
      </c>
      <c r="Y17" t="n">
        <v>124.942530532959</v>
      </c>
      <c r="Z17" t="n">
        <v>138.072084588965</v>
      </c>
      <c r="AA17" t="n">
        <v>203.047183219067</v>
      </c>
      <c r="AB17" t="n">
        <v>222.108339475073</v>
      </c>
      <c r="AC17" t="n">
        <v>207.192140043905</v>
      </c>
      <c r="AD17" t="n">
        <v>208.111178614824</v>
      </c>
      <c r="AE17" t="n">
        <v>163.9</v>
      </c>
      <c r="AF17" t="n">
        <v>204</v>
      </c>
    </row>
    <row r="18">
      <c r="A18" t="s">
        <v>55</v>
      </c>
      <c r="B18" t="s">
        <v>306</v>
      </c>
      <c r="C18" t="s">
        <v>246</v>
      </c>
      <c r="D18" t="s">
        <v>307</v>
      </c>
      <c r="E18" t="s">
        <v>247</v>
      </c>
      <c r="F18" t="n">
        <v>148.268886516725</v>
      </c>
      <c r="G18" t="n">
        <v>133.251909549005</v>
      </c>
      <c r="H18" t="n">
        <v>135.135933977076</v>
      </c>
      <c r="I18" t="n">
        <v>125.661458901193</v>
      </c>
      <c r="J18" t="n">
        <v>129.686203136462</v>
      </c>
      <c r="K18" t="n">
        <v>171.291540837966</v>
      </c>
      <c r="L18" t="n">
        <v>178.710199992588</v>
      </c>
      <c r="M18" t="n">
        <v>173.173788897717</v>
      </c>
      <c r="N18" t="n">
        <v>128.996801934014</v>
      </c>
      <c r="O18" t="n">
        <v>180.018860619285</v>
      </c>
      <c r="P18" t="n">
        <v>190.061235075319</v>
      </c>
      <c r="Q18" t="n">
        <v>172.949612624808</v>
      </c>
      <c r="R18" t="n">
        <v>159.200480240409</v>
      </c>
      <c r="S18" t="n">
        <v>164.702525387711</v>
      </c>
      <c r="T18" t="n">
        <v>106.881426049472</v>
      </c>
      <c r="U18" t="n">
        <v>100.809919532192</v>
      </c>
      <c r="V18" t="n">
        <v>120.776577437384</v>
      </c>
      <c r="W18" t="n">
        <v>570.091606495956</v>
      </c>
      <c r="X18" t="n">
        <v>12.618797517637</v>
      </c>
      <c r="Y18" t="n">
        <v>-34.4631024641347</v>
      </c>
      <c r="Z18" t="n">
        <v>-52.525089900157</v>
      </c>
      <c r="AA18" t="n">
        <v>189.96914810193</v>
      </c>
      <c r="AB18" t="n">
        <v>19.9967524317821</v>
      </c>
      <c r="AC18" t="n">
        <v>-64.628679251172</v>
      </c>
      <c r="AD18" t="n">
        <v>-592.44652271035</v>
      </c>
      <c r="AE18" t="n">
        <v>-675.2</v>
      </c>
      <c r="AF18" t="n">
        <v>70.7</v>
      </c>
    </row>
    <row r="19">
      <c r="A19" t="s">
        <v>55</v>
      </c>
      <c r="B19" t="s">
        <v>308</v>
      </c>
      <c r="C19" t="s">
        <v>246</v>
      </c>
      <c r="D19" t="s">
        <v>309</v>
      </c>
      <c r="E19" t="s">
        <v>247</v>
      </c>
      <c r="F19" t="n">
        <v>284.703120634659</v>
      </c>
      <c r="G19" t="n">
        <v>266.056706426931</v>
      </c>
      <c r="H19" t="n">
        <v>187.795581670939</v>
      </c>
      <c r="I19" t="n">
        <v>296.575001464242</v>
      </c>
      <c r="J19" t="n">
        <v>272.63803144182</v>
      </c>
      <c r="K19" t="n">
        <v>320.453771338373</v>
      </c>
      <c r="L19" t="n">
        <v>301.108793016109</v>
      </c>
      <c r="M19" t="n">
        <v>327.611970997752</v>
      </c>
      <c r="N19" t="n">
        <v>268.316722578173</v>
      </c>
      <c r="O19" t="n">
        <v>301.870530615714</v>
      </c>
      <c r="P19" t="n">
        <v>276.442748312639</v>
      </c>
      <c r="Q19" t="n">
        <v>318.818803631831</v>
      </c>
      <c r="R19" t="n">
        <v>284.67137255283</v>
      </c>
      <c r="S19" t="n">
        <v>297.152199027697</v>
      </c>
      <c r="T19" t="n">
        <v>188.065644336473</v>
      </c>
      <c r="U19" t="n">
        <v>184.939899555257</v>
      </c>
      <c r="V19" t="n">
        <v>213.141007834149</v>
      </c>
      <c r="W19" t="n">
        <v>105.92940417116</v>
      </c>
      <c r="X19" t="n">
        <v>114.564407733927</v>
      </c>
      <c r="Y19" t="n">
        <v>148.770358349672</v>
      </c>
      <c r="Z19" t="n">
        <v>168.962115847201</v>
      </c>
      <c r="AA19" t="n">
        <v>253.18978127553</v>
      </c>
      <c r="AB19" t="n">
        <v>263.78605381181</v>
      </c>
      <c r="AC19" t="n">
        <v>254.281170818978</v>
      </c>
      <c r="AD19" t="n">
        <v>268.601108033241</v>
      </c>
      <c r="AE19" t="n">
        <v>215</v>
      </c>
      <c r="AF19" t="n">
        <v>257.9</v>
      </c>
    </row>
    <row r="20">
      <c r="A20" t="s">
        <v>55</v>
      </c>
      <c r="B20" t="s">
        <v>310</v>
      </c>
      <c r="C20" t="s">
        <v>246</v>
      </c>
      <c r="D20" t="s">
        <v>311</v>
      </c>
      <c r="E20" t="s">
        <v>247</v>
      </c>
      <c r="F20" t="n">
        <v>122.879026757554</v>
      </c>
      <c r="G20" t="n">
        <v>96.2522391146287</v>
      </c>
      <c r="H20" t="n">
        <v>51.7030608757634</v>
      </c>
      <c r="I20" t="n">
        <v>67.8306211489373</v>
      </c>
      <c r="J20" t="n">
        <v>123.523131144907</v>
      </c>
      <c r="K20" t="n">
        <v>96.7397985018365</v>
      </c>
      <c r="L20" t="n">
        <v>89.6209697027526</v>
      </c>
      <c r="M20" t="n">
        <v>90.8571210089975</v>
      </c>
      <c r="N20" t="n">
        <v>81.1656947680377</v>
      </c>
      <c r="O20" t="n">
        <v>78.8810307671596</v>
      </c>
      <c r="P20" t="n">
        <v>71.0286204645464</v>
      </c>
      <c r="Q20" t="n">
        <v>69.3849829661933</v>
      </c>
      <c r="R20" t="n">
        <v>99.2703345609811</v>
      </c>
      <c r="S20" t="n">
        <v>87.6792319128203</v>
      </c>
      <c r="T20" t="n">
        <v>61.5882216501292</v>
      </c>
      <c r="U20" t="n">
        <v>60.2613658874693</v>
      </c>
      <c r="V20" t="n">
        <v>63.5329987114826</v>
      </c>
      <c r="W20" t="n">
        <v>43.7182515885944</v>
      </c>
      <c r="X20" t="n">
        <v>19.0696781871363</v>
      </c>
      <c r="Y20" t="n">
        <v>22.0589790921469</v>
      </c>
      <c r="Z20" t="n">
        <v>27.5212024863928</v>
      </c>
      <c r="AA20" t="n">
        <v>50.4724636005063</v>
      </c>
      <c r="AB20" t="n">
        <v>44.9995458606924</v>
      </c>
      <c r="AC20" t="n">
        <v>47.9520047520048</v>
      </c>
      <c r="AD20" t="n">
        <v>33.9745054945055</v>
      </c>
      <c r="AE20" t="n">
        <v>45.2</v>
      </c>
      <c r="AF20" t="n">
        <v>39.4</v>
      </c>
    </row>
    <row r="21">
      <c r="A21" t="s">
        <v>55</v>
      </c>
      <c r="B21" t="s">
        <v>312</v>
      </c>
      <c r="C21" t="s">
        <v>246</v>
      </c>
      <c r="D21" t="s">
        <v>313</v>
      </c>
      <c r="E21" t="s">
        <v>247</v>
      </c>
      <c r="F21" t="n">
        <v>413.474410345264</v>
      </c>
      <c r="G21" t="n">
        <v>406.283551034911</v>
      </c>
      <c r="H21" t="n">
        <v>385.633815277101</v>
      </c>
      <c r="I21" t="n">
        <v>480.872669136697</v>
      </c>
      <c r="J21" t="n">
        <v>482.998408753974</v>
      </c>
      <c r="K21" t="n">
        <v>489.971573759556</v>
      </c>
      <c r="L21" t="n">
        <v>502.75107651577</v>
      </c>
      <c r="M21" t="n">
        <v>519.399338182259</v>
      </c>
      <c r="N21" t="n">
        <v>462.163110938041</v>
      </c>
      <c r="O21" t="n">
        <v>468.066888528474</v>
      </c>
      <c r="P21" t="n">
        <v>458.819558931024</v>
      </c>
      <c r="Q21" t="n">
        <v>485.522682567477</v>
      </c>
      <c r="R21" t="n">
        <v>490.561009569569</v>
      </c>
      <c r="S21" t="n">
        <v>478.163283361418</v>
      </c>
      <c r="T21" t="n">
        <v>338.516389360152</v>
      </c>
      <c r="U21" t="n">
        <v>354.508370512683</v>
      </c>
      <c r="V21" t="n">
        <v>363.337551241089</v>
      </c>
      <c r="W21" t="n">
        <v>282.401432060352</v>
      </c>
      <c r="X21" t="n">
        <v>240.03616172978</v>
      </c>
      <c r="Y21" t="n">
        <v>250.233109976585</v>
      </c>
      <c r="Z21" t="n">
        <v>298.450785653136</v>
      </c>
      <c r="AA21" t="n">
        <v>357.051632717845</v>
      </c>
      <c r="AB21" t="n">
        <v>368.372035811727</v>
      </c>
      <c r="AC21" t="n">
        <v>443.987932205812</v>
      </c>
      <c r="AD21" t="n">
        <v>497.057885410514</v>
      </c>
      <c r="AE21" t="n">
        <v>503</v>
      </c>
      <c r="AF21" t="n">
        <v>559.5</v>
      </c>
    </row>
    <row r="22">
      <c r="A22" t="s">
        <v>55</v>
      </c>
      <c r="B22" t="s">
        <v>314</v>
      </c>
      <c r="C22" t="s">
        <v>246</v>
      </c>
      <c r="D22" t="s">
        <v>315</v>
      </c>
      <c r="E22" t="s">
        <v>247</v>
      </c>
      <c r="F22" t="n">
        <v>286.490532465833</v>
      </c>
      <c r="G22" t="n">
        <v>307.471863072519</v>
      </c>
      <c r="H22" t="n">
        <v>334.238774838018</v>
      </c>
      <c r="I22" t="n">
        <v>413.200787268201</v>
      </c>
      <c r="J22" t="n">
        <v>355.487750116327</v>
      </c>
      <c r="K22" t="n">
        <v>391.512045831399</v>
      </c>
      <c r="L22" t="n">
        <v>412.168678569601</v>
      </c>
      <c r="M22" t="n">
        <v>427.691914515729</v>
      </c>
      <c r="N22" t="n">
        <v>380.214308549862</v>
      </c>
      <c r="O22" t="n">
        <v>388.660627776021</v>
      </c>
      <c r="P22" t="n">
        <v>387.763324215852</v>
      </c>
      <c r="Q22" t="n">
        <v>416.542633434997</v>
      </c>
      <c r="R22" t="n">
        <v>389.576717129688</v>
      </c>
      <c r="S22" t="n">
        <v>389.45386102211</v>
      </c>
      <c r="T22" t="n">
        <v>276.232179237563</v>
      </c>
      <c r="U22" t="n">
        <v>293.798800964579</v>
      </c>
      <c r="V22" t="n">
        <v>299.220693485263</v>
      </c>
      <c r="W22" t="n">
        <v>238.517231736227</v>
      </c>
      <c r="X22" t="n">
        <v>220.744567559438</v>
      </c>
      <c r="Y22" t="n">
        <v>227.970415552394</v>
      </c>
      <c r="Z22" t="n">
        <v>270.701903817901</v>
      </c>
      <c r="AA22" t="n">
        <v>306.453085311709</v>
      </c>
      <c r="AB22" t="n">
        <v>323.291166922242</v>
      </c>
      <c r="AC22" t="n">
        <v>395.962687529803</v>
      </c>
      <c r="AD22" t="n">
        <v>463.047275086505</v>
      </c>
      <c r="AE22" t="n">
        <v>457.8</v>
      </c>
      <c r="AF22" t="n">
        <v>520.1</v>
      </c>
    </row>
    <row r="23">
      <c r="A23" t="s">
        <v>55</v>
      </c>
      <c r="B23" t="s">
        <v>316</v>
      </c>
      <c r="C23" t="s">
        <v>246</v>
      </c>
      <c r="D23" t="s">
        <v>317</v>
      </c>
      <c r="E23" t="s">
        <v>247</v>
      </c>
      <c r="F23" t="n">
        <v>1158.82430866742</v>
      </c>
      <c r="G23" t="n">
        <v>1366.15952063738</v>
      </c>
      <c r="H23" t="n">
        <v>1060.71541434908</v>
      </c>
      <c r="I23" t="n">
        <v>1849.69005296972</v>
      </c>
      <c r="J23" t="n">
        <v>1369.94055706683</v>
      </c>
      <c r="K23" t="n">
        <v>1580.7901417206</v>
      </c>
      <c r="L23" t="n">
        <v>1665.79210538855</v>
      </c>
      <c r="M23" t="n">
        <v>1945.31874558593</v>
      </c>
      <c r="N23" t="n">
        <v>1704.92563843283</v>
      </c>
      <c r="O23" t="n">
        <v>1842.75978250896</v>
      </c>
      <c r="P23" t="n">
        <v>1603.7021677102</v>
      </c>
      <c r="Q23" t="n">
        <v>1820.76250077162</v>
      </c>
      <c r="R23" t="n">
        <v>1733.93147879771</v>
      </c>
      <c r="S23" t="n">
        <v>1732.15502341827</v>
      </c>
      <c r="T23" t="n">
        <v>1145.19510778561</v>
      </c>
      <c r="U23" t="n">
        <v>1142.20615709415</v>
      </c>
      <c r="V23" t="n">
        <v>1248.7510660959</v>
      </c>
      <c r="W23" t="n">
        <v>593.201862992096</v>
      </c>
      <c r="X23" t="n">
        <v>568.609573606556</v>
      </c>
      <c r="Y23" t="n">
        <v>610.119082443553</v>
      </c>
      <c r="Z23" t="n">
        <v>737.910090531016</v>
      </c>
      <c r="AA23" t="n">
        <v>1270.03652093571</v>
      </c>
      <c r="AB23" t="n">
        <v>1324.70663009342</v>
      </c>
      <c r="AC23" t="n">
        <v>1420.56212797413</v>
      </c>
      <c r="AD23" t="n">
        <v>1504.38952064009</v>
      </c>
      <c r="AE23" t="n">
        <v>1398.9</v>
      </c>
      <c r="AF23" t="n">
        <v>1834.4</v>
      </c>
    </row>
    <row r="24">
      <c r="A24" t="s">
        <v>55</v>
      </c>
      <c r="B24" t="s">
        <v>318</v>
      </c>
      <c r="C24" t="s">
        <v>246</v>
      </c>
      <c r="D24" t="s">
        <v>319</v>
      </c>
      <c r="E24" t="s">
        <v>247</v>
      </c>
      <c r="F24" t="n">
        <v>3101.79837897652</v>
      </c>
      <c r="G24" t="n">
        <v>3110.45405726213</v>
      </c>
      <c r="H24" t="n">
        <v>2816.27697718049</v>
      </c>
      <c r="I24" t="n">
        <v>3637.36833948616</v>
      </c>
      <c r="J24" t="n">
        <v>4166.28261768368</v>
      </c>
      <c r="K24" t="n">
        <v>3894.36668752604</v>
      </c>
      <c r="L24" t="n">
        <v>3870.60272699194</v>
      </c>
      <c r="M24" t="n">
        <v>3985.99454083597</v>
      </c>
      <c r="N24" t="n">
        <v>3615.93528935594</v>
      </c>
      <c r="O24" t="n">
        <v>4138.8570079892</v>
      </c>
      <c r="P24" t="n">
        <v>3980.21115274114</v>
      </c>
      <c r="Q24" t="n">
        <v>4037.20757860956</v>
      </c>
      <c r="R24" t="n">
        <v>4029.19770676748</v>
      </c>
      <c r="S24" t="n">
        <v>3642.31923843617</v>
      </c>
      <c r="T24" t="n">
        <v>2644.86511705006</v>
      </c>
      <c r="U24" t="n">
        <v>2467.625035492</v>
      </c>
      <c r="V24" t="n">
        <v>2813.70016934109</v>
      </c>
      <c r="W24" t="n">
        <v>984.073704912229</v>
      </c>
      <c r="X24" t="n">
        <v>1650.31057694035</v>
      </c>
      <c r="Y24" t="n">
        <v>1830.17234153997</v>
      </c>
      <c r="Z24" t="n">
        <v>2027.64840635773</v>
      </c>
      <c r="AA24" t="n">
        <v>2875.93230369409</v>
      </c>
      <c r="AB24" t="n">
        <v>2794.38104164875</v>
      </c>
      <c r="AC24" t="n">
        <v>2448.2070351752</v>
      </c>
      <c r="AD24" t="n">
        <v>2508.49915775994</v>
      </c>
      <c r="AE24" t="n">
        <v>2022.8</v>
      </c>
      <c r="AF24" t="n">
        <v>2540.7</v>
      </c>
    </row>
    <row r="25">
      <c r="A25" t="s">
        <v>55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55</v>
      </c>
      <c r="B28" t="s">
        <v>326</v>
      </c>
      <c r="C28" t="s">
        <v>246</v>
      </c>
      <c r="D28" t="s">
        <v>327</v>
      </c>
      <c r="E28" t="s">
        <v>247</v>
      </c>
      <c r="F28" t="n">
        <v>6896.64205872003</v>
      </c>
      <c r="G28" t="n">
        <v>6222.72216591084</v>
      </c>
      <c r="H28" t="n">
        <v>7001.1512347449</v>
      </c>
      <c r="I28" t="n">
        <v>7022.24392676152</v>
      </c>
      <c r="J28" t="n">
        <v>8145.39089459028</v>
      </c>
      <c r="K28" t="n">
        <v>8123.82297509635</v>
      </c>
      <c r="L28" t="n">
        <v>8119.726379096</v>
      </c>
      <c r="M28" t="n">
        <v>8872.97185315353</v>
      </c>
      <c r="N28" t="n">
        <v>9065.06362696236</v>
      </c>
      <c r="O28" t="n">
        <v>8892.90236191888</v>
      </c>
      <c r="P28" t="n">
        <v>7990.73479666623</v>
      </c>
      <c r="Q28" t="n">
        <v>9249.59925815855</v>
      </c>
      <c r="R28" t="n">
        <v>7821.89427862327</v>
      </c>
      <c r="S28" t="n">
        <v>8919.62518159682</v>
      </c>
      <c r="T28" t="n">
        <v>9030.3170432376</v>
      </c>
      <c r="U28" t="n">
        <v>7973.49169115766</v>
      </c>
      <c r="V28" t="n">
        <v>7819.47345418986</v>
      </c>
      <c r="W28" t="n">
        <v>6491.35101173573</v>
      </c>
      <c r="X28" t="n">
        <v>4856.82571030108</v>
      </c>
      <c r="Y28" t="n">
        <v>5206.13029153999</v>
      </c>
      <c r="Z28" t="n">
        <v>6901.23968712772</v>
      </c>
      <c r="AA28" t="n">
        <v>6051.35009066954</v>
      </c>
      <c r="AB28" t="n">
        <v>6407.01933447218</v>
      </c>
      <c r="AC28" t="n">
        <v>7498.68102176776</v>
      </c>
      <c r="AD28" t="n">
        <v>8213.73473479048</v>
      </c>
      <c r="AE28" t="n">
        <v>6479.4</v>
      </c>
      <c r="AF28" t="n">
        <v>8173.4</v>
      </c>
    </row>
    <row r="29">
      <c r="A29" t="s">
        <v>55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55</v>
      </c>
      <c r="B34" t="s">
        <v>338</v>
      </c>
      <c r="C34" t="s">
        <v>246</v>
      </c>
      <c r="D34" t="s">
        <v>339</v>
      </c>
      <c r="E34" t="s">
        <v>247</v>
      </c>
      <c r="F34" t="n">
        <v>252.595068338202</v>
      </c>
      <c r="G34" t="n">
        <v>184.726090380665</v>
      </c>
      <c r="H34" t="n">
        <v>250.64494420945</v>
      </c>
      <c r="I34" t="n">
        <v>284.11385367362</v>
      </c>
      <c r="J34" t="n">
        <v>358.866655997859</v>
      </c>
      <c r="K34" t="n">
        <v>322.992403634185</v>
      </c>
      <c r="L34" t="n">
        <v>339.419752373721</v>
      </c>
      <c r="M34" t="n">
        <v>305.420345706167</v>
      </c>
      <c r="N34" t="n">
        <v>265.778766912446</v>
      </c>
      <c r="O34" t="n">
        <v>361.794843548606</v>
      </c>
      <c r="P34" t="n">
        <v>299.817140156982</v>
      </c>
      <c r="Q34" t="n">
        <v>325.247571047618</v>
      </c>
      <c r="R34" t="n">
        <v>305.754256359002</v>
      </c>
      <c r="S34" t="n">
        <v>299.987323126943</v>
      </c>
      <c r="T34" t="n">
        <v>191.194980282227</v>
      </c>
      <c r="U34" t="n">
        <v>182.922120558477</v>
      </c>
      <c r="V34" t="n">
        <v>227.855446527675</v>
      </c>
      <c r="W34" t="n">
        <v>59.2365510921369</v>
      </c>
      <c r="X34" t="n">
        <v>108.685307167329</v>
      </c>
      <c r="Y34" t="n">
        <v>127.907851934017</v>
      </c>
      <c r="Z34" t="n">
        <v>163.620317635561</v>
      </c>
      <c r="AA34" t="n">
        <v>251.343844312577</v>
      </c>
      <c r="AB34" t="n">
        <v>315.631629379962</v>
      </c>
      <c r="AC34" t="n">
        <v>277.020381514063</v>
      </c>
      <c r="AD34" t="n">
        <v>280.490791599354</v>
      </c>
      <c r="AE34" t="n">
        <v>185.1</v>
      </c>
      <c r="AF34" t="n">
        <v>207.2</v>
      </c>
    </row>
    <row r="35">
      <c r="A35" t="s">
        <v>55</v>
      </c>
      <c r="B35" t="s">
        <v>340</v>
      </c>
      <c r="C35" t="s">
        <v>246</v>
      </c>
      <c r="D35" t="s">
        <v>341</v>
      </c>
      <c r="E35" t="s">
        <v>247</v>
      </c>
      <c r="F35" t="n">
        <v>202.96478266264</v>
      </c>
      <c r="G35" t="n">
        <v>197.675159948459</v>
      </c>
      <c r="H35" t="n">
        <v>193.439263663849</v>
      </c>
      <c r="I35" t="n">
        <v>196.178226689178</v>
      </c>
      <c r="J35" t="n">
        <v>199.544779721286</v>
      </c>
      <c r="K35" t="n">
        <v>241.509132538208</v>
      </c>
      <c r="L35" t="n">
        <v>230.914243709198</v>
      </c>
      <c r="M35" t="n">
        <v>277.810443089499</v>
      </c>
      <c r="N35" t="n">
        <v>231.077185887584</v>
      </c>
      <c r="O35" t="n">
        <v>286.046522029087</v>
      </c>
      <c r="P35" t="n">
        <v>241.598509478708</v>
      </c>
      <c r="Q35" t="n">
        <v>233.05524445294</v>
      </c>
      <c r="R35" t="n">
        <v>258.495247175439</v>
      </c>
      <c r="S35" t="n">
        <v>234.011404154062</v>
      </c>
      <c r="T35" t="n">
        <v>149.517301883746</v>
      </c>
      <c r="U35" t="n">
        <v>141.054058380892</v>
      </c>
      <c r="V35" t="n">
        <v>179.452724155707</v>
      </c>
      <c r="W35" t="n">
        <v>64.5848197625535</v>
      </c>
      <c r="X35" t="n">
        <v>81.1275981578741</v>
      </c>
      <c r="Y35" t="n">
        <v>268.496473218642</v>
      </c>
      <c r="Z35" t="n">
        <v>435.555810686007</v>
      </c>
      <c r="AA35" t="n">
        <v>476.145241072517</v>
      </c>
      <c r="AB35" t="n">
        <v>346.480190656237</v>
      </c>
      <c r="AC35" t="n">
        <v>353.16400267263</v>
      </c>
      <c r="AD35" t="n">
        <v>385.043258426966</v>
      </c>
      <c r="AE35" t="n">
        <v>361.2</v>
      </c>
      <c r="AF35" t="n">
        <v>363.7</v>
      </c>
    </row>
    <row r="36">
      <c r="A36" t="s">
        <v>55</v>
      </c>
      <c r="B36" t="s">
        <v>342</v>
      </c>
      <c r="C36" t="s">
        <v>246</v>
      </c>
      <c r="D36" t="s">
        <v>343</v>
      </c>
      <c r="E36" t="s">
        <v>247</v>
      </c>
      <c r="F36" t="n">
        <v>24.0516134466478</v>
      </c>
      <c r="G36" t="n">
        <v>27.036120224699</v>
      </c>
      <c r="H36" t="n">
        <v>25.9293784611149</v>
      </c>
      <c r="I36" t="n">
        <v>37.5899273548707</v>
      </c>
      <c r="J36" t="n">
        <v>27.8494717264188</v>
      </c>
      <c r="K36" t="n">
        <v>33.9814655010431</v>
      </c>
      <c r="L36" t="n">
        <v>40.6563962244623</v>
      </c>
      <c r="M36" t="n">
        <v>31.7923563499429</v>
      </c>
      <c r="N36" t="n">
        <v>32.7172248983048</v>
      </c>
      <c r="O36" t="n">
        <v>36.1732697819286</v>
      </c>
      <c r="P36" t="n">
        <v>35.7168247373617</v>
      </c>
      <c r="Q36" t="n">
        <v>32.7965812053761</v>
      </c>
      <c r="R36" t="n">
        <v>35.5759524939673</v>
      </c>
      <c r="S36" t="n">
        <v>32.5928757320508</v>
      </c>
      <c r="T36" t="n">
        <v>21.0450687673838</v>
      </c>
      <c r="U36" t="n">
        <v>20.0932817377031</v>
      </c>
      <c r="V36" t="n">
        <v>24.9916439523671</v>
      </c>
      <c r="W36" t="n">
        <v>8.77257706083089</v>
      </c>
      <c r="X36" t="n">
        <v>10.4238856840461</v>
      </c>
      <c r="Y36" t="n">
        <v>10.8450527823914</v>
      </c>
      <c r="Z36" t="n">
        <v>13.6094780014324</v>
      </c>
      <c r="AA36" t="n">
        <v>14.9600368870707</v>
      </c>
      <c r="AB36" t="n">
        <v>18.216643556365</v>
      </c>
      <c r="AC36" t="n">
        <v>23.436018957346</v>
      </c>
      <c r="AD36" t="n">
        <v>21.5</v>
      </c>
      <c r="AE36" t="n">
        <v>14.5</v>
      </c>
      <c r="AF36" t="n">
        <v>19.8</v>
      </c>
    </row>
    <row r="37">
      <c r="A37" t="s">
        <v>55</v>
      </c>
      <c r="B37" t="s">
        <v>344</v>
      </c>
      <c r="C37" t="s">
        <v>246</v>
      </c>
      <c r="D37" t="s">
        <v>345</v>
      </c>
      <c r="E37" t="s">
        <v>247</v>
      </c>
      <c r="F37" t="n">
        <v>9.13382356996276</v>
      </c>
      <c r="G37" t="n">
        <v>6.49516342752908</v>
      </c>
      <c r="H37" t="n">
        <v>10.2066853861171</v>
      </c>
      <c r="I37" t="n">
        <v>9.13229745073637</v>
      </c>
      <c r="J37" t="n">
        <v>9.13229745073637</v>
      </c>
      <c r="K37" t="n">
        <v>7.93461909654144</v>
      </c>
      <c r="L37" t="n">
        <v>7.50182169127554</v>
      </c>
      <c r="M37" t="n">
        <v>12.4558548836273</v>
      </c>
      <c r="N37" t="n">
        <v>11.0718710076687</v>
      </c>
      <c r="O37" t="n">
        <v>7.61191131777225</v>
      </c>
      <c r="P37" t="n">
        <v>8.56340023249378</v>
      </c>
      <c r="Q37" t="n">
        <v>8.8352542081285</v>
      </c>
      <c r="R37" t="n">
        <v>10.5755315521538</v>
      </c>
      <c r="S37" t="n">
        <v>6.60970722009613</v>
      </c>
      <c r="T37" t="n">
        <v>4.14726727535444</v>
      </c>
      <c r="U37" t="n">
        <v>5.90671399823208</v>
      </c>
      <c r="V37" t="n">
        <v>7.20619107784314</v>
      </c>
      <c r="W37" t="n">
        <v>8.64742929341176</v>
      </c>
      <c r="X37" t="n">
        <v>5.16443693912091</v>
      </c>
      <c r="Y37" t="n">
        <v>154.441257036568</v>
      </c>
      <c r="Z37" t="n">
        <v>300.241592678656</v>
      </c>
      <c r="AA37" t="n">
        <v>274.948229176866</v>
      </c>
      <c r="AB37" t="n">
        <v>142.402992130912</v>
      </c>
      <c r="AC37" t="n">
        <v>123.141289520554</v>
      </c>
      <c r="AD37" t="n">
        <v>143.577503526093</v>
      </c>
      <c r="AE37" t="n">
        <v>144.7</v>
      </c>
      <c r="AF37" t="n">
        <v>141.7</v>
      </c>
    </row>
    <row r="38">
      <c r="A38" t="s">
        <v>55</v>
      </c>
      <c r="B38" t="s">
        <v>346</v>
      </c>
      <c r="C38" t="s">
        <v>246</v>
      </c>
      <c r="D38" t="s">
        <v>347</v>
      </c>
      <c r="E38" t="s">
        <v>247</v>
      </c>
      <c r="F38" t="n">
        <v>162.91004552527</v>
      </c>
      <c r="G38" t="n">
        <v>156.996449024938</v>
      </c>
      <c r="H38" t="n">
        <v>150.641012904673</v>
      </c>
      <c r="I38" t="n">
        <v>141.642545319659</v>
      </c>
      <c r="J38" t="n">
        <v>155.494024514957</v>
      </c>
      <c r="K38" t="n">
        <v>190.78936162559</v>
      </c>
      <c r="L38" t="n">
        <v>173.60113084851</v>
      </c>
      <c r="M38" t="n">
        <v>224.357938165432</v>
      </c>
      <c r="N38" t="n">
        <v>179.133626092782</v>
      </c>
      <c r="O38" t="n">
        <v>231.959894584154</v>
      </c>
      <c r="P38" t="n">
        <v>188.366791063801</v>
      </c>
      <c r="Q38" t="n">
        <v>182.991863173524</v>
      </c>
      <c r="R38" t="n">
        <v>203.136649692956</v>
      </c>
      <c r="S38" t="n">
        <v>186.158777852815</v>
      </c>
      <c r="T38" t="n">
        <v>118.772570311363</v>
      </c>
      <c r="U38" t="n">
        <v>109.978831932541</v>
      </c>
      <c r="V38" t="n">
        <v>140.816033827351</v>
      </c>
      <c r="W38" t="n">
        <v>45.3568886387472</v>
      </c>
      <c r="X38" t="n">
        <v>62.8187416497903</v>
      </c>
      <c r="Y38" t="n">
        <v>107.801447724015</v>
      </c>
      <c r="Z38" t="n">
        <v>132.913642262033</v>
      </c>
      <c r="AA38" t="n">
        <v>195.144885170847</v>
      </c>
      <c r="AB38" t="n">
        <v>186.712031407231</v>
      </c>
      <c r="AC38" t="n">
        <v>206.265254958131</v>
      </c>
      <c r="AD38" t="n">
        <v>219.802704056084</v>
      </c>
      <c r="AE38" t="n">
        <v>202</v>
      </c>
      <c r="AF38" t="n">
        <v>202.2</v>
      </c>
    </row>
    <row r="39">
      <c r="A39" t="s">
        <v>55</v>
      </c>
      <c r="B39" t="s">
        <v>348</v>
      </c>
      <c r="C39" t="s">
        <v>246</v>
      </c>
      <c r="D39" t="s">
        <v>349</v>
      </c>
      <c r="E39" t="s">
        <v>247</v>
      </c>
      <c r="F39" t="n">
        <v>216.054590906308</v>
      </c>
      <c r="G39" t="n">
        <v>278.80372272753</v>
      </c>
      <c r="H39" t="n">
        <v>414.797428864155</v>
      </c>
      <c r="I39" t="n">
        <v>283.146436272498</v>
      </c>
      <c r="J39" t="n">
        <v>305.082347747227</v>
      </c>
      <c r="K39" t="n">
        <v>346.800710253465</v>
      </c>
      <c r="L39" t="n">
        <v>337.704718222436</v>
      </c>
      <c r="M39" t="n">
        <v>332.225733118532</v>
      </c>
      <c r="N39" t="n">
        <v>380.698212371769</v>
      </c>
      <c r="O39" t="n">
        <v>333.505221736773</v>
      </c>
      <c r="P39" t="n">
        <v>342.265884272499</v>
      </c>
      <c r="Q39" t="n">
        <v>342.976225090775</v>
      </c>
      <c r="R39" t="n">
        <v>349.286520203177</v>
      </c>
      <c r="S39" t="n">
        <v>326.340690408808</v>
      </c>
      <c r="T39" t="n">
        <v>282.421096971896</v>
      </c>
      <c r="U39" t="n">
        <v>177.882148034003</v>
      </c>
      <c r="V39" t="n">
        <v>259.933420542645</v>
      </c>
      <c r="W39" t="n">
        <v>224.804388017722</v>
      </c>
      <c r="X39" t="n">
        <v>174.19452579234</v>
      </c>
      <c r="Y39" t="n">
        <v>187.073973170702</v>
      </c>
      <c r="Z39" t="n">
        <v>223.774249157315</v>
      </c>
      <c r="AA39" t="n">
        <v>301.709782842119</v>
      </c>
      <c r="AB39" t="n">
        <v>296.812228031019</v>
      </c>
      <c r="AC39" t="n">
        <v>271.166834146067</v>
      </c>
      <c r="AD39" t="n">
        <v>285.219039595619</v>
      </c>
      <c r="AE39" t="n">
        <v>238</v>
      </c>
      <c r="AF39" t="n">
        <v>265.4</v>
      </c>
    </row>
    <row r="40">
      <c r="A40" t="s">
        <v>55</v>
      </c>
      <c r="B40" t="s">
        <v>350</v>
      </c>
      <c r="C40" t="s">
        <v>246</v>
      </c>
      <c r="D40" t="s">
        <v>351</v>
      </c>
      <c r="E40" t="s">
        <v>247</v>
      </c>
      <c r="F40" t="n">
        <v>267.554381433988</v>
      </c>
      <c r="G40" t="n">
        <v>255.375519121203</v>
      </c>
      <c r="H40" t="n">
        <v>253.834016993711</v>
      </c>
      <c r="I40" t="n">
        <v>256.99239703489</v>
      </c>
      <c r="J40" t="n">
        <v>272.905699397583</v>
      </c>
      <c r="K40" t="n">
        <v>208.97809400008</v>
      </c>
      <c r="L40" t="n">
        <v>482.551818825722</v>
      </c>
      <c r="M40" t="n">
        <v>329.876429633656</v>
      </c>
      <c r="N40" t="n">
        <v>297.014693704502</v>
      </c>
      <c r="O40" t="n">
        <v>346.058400499853</v>
      </c>
      <c r="P40" t="n">
        <v>284.050081955352</v>
      </c>
      <c r="Q40" t="n">
        <v>306.510423631237</v>
      </c>
      <c r="R40" t="n">
        <v>340.714337309536</v>
      </c>
      <c r="S40" t="n">
        <v>274.052836531583</v>
      </c>
      <c r="T40" t="n">
        <v>183.985237637423</v>
      </c>
      <c r="U40" t="n">
        <v>208.524211639933</v>
      </c>
      <c r="V40" t="n">
        <v>237.096557081806</v>
      </c>
      <c r="W40" t="n">
        <v>-17.0461576986919</v>
      </c>
      <c r="X40" t="n">
        <v>61.2825055916164</v>
      </c>
      <c r="Y40" t="n">
        <v>97.8594984578167</v>
      </c>
      <c r="Z40" t="n">
        <v>102.612056881817</v>
      </c>
      <c r="AA40" t="n">
        <v>150.287197156138</v>
      </c>
      <c r="AB40" t="n">
        <v>220.992579117579</v>
      </c>
      <c r="AC40" t="n">
        <v>196.574074074074</v>
      </c>
      <c r="AD40" t="n">
        <v>236.622602384655</v>
      </c>
      <c r="AE40" t="n">
        <v>193</v>
      </c>
      <c r="AF40" t="n">
        <v>247.7</v>
      </c>
    </row>
    <row r="41">
      <c r="A41" t="s">
        <v>55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55</v>
      </c>
      <c r="B42" t="s">
        <v>354</v>
      </c>
      <c r="C42" t="s">
        <v>246</v>
      </c>
      <c r="D42" t="s">
        <v>355</v>
      </c>
      <c r="E42" t="s">
        <v>247</v>
      </c>
      <c r="F42" t="n">
        <v>373.471392668459</v>
      </c>
      <c r="G42" t="n">
        <v>359.660884835715</v>
      </c>
      <c r="H42" t="n">
        <v>349.464313358414</v>
      </c>
      <c r="I42" t="n">
        <v>331.091741001703</v>
      </c>
      <c r="J42" t="n">
        <v>360.647342751421</v>
      </c>
      <c r="K42" t="n">
        <v>510.702397860495</v>
      </c>
      <c r="L42" t="n">
        <v>413.917292642586</v>
      </c>
      <c r="M42" t="n">
        <v>439.842997797305</v>
      </c>
      <c r="N42" t="n">
        <v>437.213289883105</v>
      </c>
      <c r="O42" t="n">
        <v>415.826805362484</v>
      </c>
      <c r="P42" t="n">
        <v>458.136991359312</v>
      </c>
      <c r="Q42" t="n">
        <v>463.329147659489</v>
      </c>
      <c r="R42" t="n">
        <v>416.651507808815</v>
      </c>
      <c r="S42" t="n">
        <v>420.439248788895</v>
      </c>
      <c r="T42" t="n">
        <v>270.636897857458</v>
      </c>
      <c r="U42" t="n">
        <v>257.12271855844</v>
      </c>
      <c r="V42" t="n">
        <v>336.821581337833</v>
      </c>
      <c r="W42" t="n">
        <v>10.5897251739075</v>
      </c>
      <c r="X42" t="n">
        <v>166.320977731371</v>
      </c>
      <c r="Y42" t="n">
        <v>158.698374041582</v>
      </c>
      <c r="Z42" t="n">
        <v>210.671022144149</v>
      </c>
      <c r="AA42" t="n">
        <v>313.353638863296</v>
      </c>
      <c r="AB42" t="n">
        <v>374.065268665856</v>
      </c>
      <c r="AC42" t="n">
        <v>318.860227649305</v>
      </c>
      <c r="AD42" t="n">
        <v>337.334523809524</v>
      </c>
      <c r="AE42" t="n">
        <v>276.9</v>
      </c>
      <c r="AF42" t="n">
        <v>336.1</v>
      </c>
    </row>
    <row r="43">
      <c r="A43" t="s">
        <v>55</v>
      </c>
      <c r="B43" t="s">
        <v>356</v>
      </c>
      <c r="C43" t="s">
        <v>246</v>
      </c>
      <c r="D43" t="s">
        <v>357</v>
      </c>
      <c r="E43" t="s">
        <v>247</v>
      </c>
      <c r="F43" t="n">
        <v>4611.84667394087</v>
      </c>
      <c r="G43" t="n">
        <v>4364.41550945968</v>
      </c>
      <c r="H43" t="n">
        <v>4364.10379889228</v>
      </c>
      <c r="I43" t="n">
        <v>4185.49171228507</v>
      </c>
      <c r="J43" t="n">
        <v>4727.69206843013</v>
      </c>
      <c r="K43" t="n">
        <v>6436.64425790976</v>
      </c>
      <c r="L43" t="n">
        <v>5984.92287645645</v>
      </c>
      <c r="M43" t="n">
        <v>5507.38454617542</v>
      </c>
      <c r="N43" t="n">
        <v>4675.14832407758</v>
      </c>
      <c r="O43" t="n">
        <v>4792.62659746077</v>
      </c>
      <c r="P43" t="n">
        <v>5589.14224002334</v>
      </c>
      <c r="Q43" t="n">
        <v>5148.0402781049</v>
      </c>
      <c r="R43" t="n">
        <v>6230.81580345641</v>
      </c>
      <c r="S43" t="n">
        <v>6148.92242406523</v>
      </c>
      <c r="T43" t="n">
        <v>3994.0210023443</v>
      </c>
      <c r="U43" t="n">
        <v>3685.06795264538</v>
      </c>
      <c r="V43" t="n">
        <v>4217.38346140062</v>
      </c>
      <c r="W43" t="n">
        <v>3920.54409663015</v>
      </c>
      <c r="X43" t="n">
        <v>2826.37361444285</v>
      </c>
      <c r="Y43" t="n">
        <v>3169.50536075593</v>
      </c>
      <c r="Z43" t="n">
        <v>3918.73602151609</v>
      </c>
      <c r="AA43" t="n">
        <v>4807.60017712141</v>
      </c>
      <c r="AB43" t="n">
        <v>7145.58606001433</v>
      </c>
      <c r="AC43" t="n">
        <v>6429.01122811099</v>
      </c>
      <c r="AD43" t="n">
        <v>6925.20052959434</v>
      </c>
      <c r="AE43" t="n">
        <v>4586.9</v>
      </c>
      <c r="AF43" t="n">
        <v>5449.5</v>
      </c>
    </row>
    <row r="44">
      <c r="A44" t="s">
        <v>55</v>
      </c>
      <c r="B44" t="s">
        <v>358</v>
      </c>
      <c r="C44" t="s">
        <v>246</v>
      </c>
      <c r="D44" t="s">
        <v>359</v>
      </c>
      <c r="E44" t="s">
        <v>247</v>
      </c>
      <c r="F44" t="n">
        <v>19647.767538743</v>
      </c>
      <c r="G44" t="n">
        <v>18859.8150687545</v>
      </c>
      <c r="H44" t="n">
        <v>19030.2664593573</v>
      </c>
      <c r="I44" t="n">
        <v>20969.7816133659</v>
      </c>
      <c r="J44" t="n">
        <v>22844.8867038295</v>
      </c>
      <c r="K44" t="n">
        <v>24732.6406456829</v>
      </c>
      <c r="L44" t="n">
        <v>24291.002676373</v>
      </c>
      <c r="M44" t="n">
        <v>25203.5561497556</v>
      </c>
      <c r="N44" t="n">
        <v>23294.3521789779</v>
      </c>
      <c r="O44" t="n">
        <v>24563.9934276036</v>
      </c>
      <c r="P44" t="n">
        <v>23639.7008240211</v>
      </c>
      <c r="Q44" t="n">
        <v>24924.7850491887</v>
      </c>
      <c r="R44" t="n">
        <v>24397.6617234531</v>
      </c>
      <c r="S44" t="n">
        <v>24955.3153548442</v>
      </c>
      <c r="T44" t="n">
        <v>19876.4711602999</v>
      </c>
      <c r="U44" t="n">
        <v>18153.1024987252</v>
      </c>
      <c r="V44" t="n">
        <v>19538.0718181041</v>
      </c>
      <c r="W44" t="n">
        <v>14140.028815497</v>
      </c>
      <c r="X44" t="n">
        <v>11533.3434157617</v>
      </c>
      <c r="Y44" t="n">
        <v>12816.9298765132</v>
      </c>
      <c r="Z44" t="n">
        <v>16003.6079404259</v>
      </c>
      <c r="AA44" t="n">
        <v>18544.5078748231</v>
      </c>
      <c r="AB44" t="n">
        <v>21177.0106127597</v>
      </c>
      <c r="AC44" t="n">
        <v>21114.4155361101</v>
      </c>
      <c r="AD44" t="n">
        <v>22058.3841571512</v>
      </c>
      <c r="AE44" t="n">
        <v>16786.3</v>
      </c>
      <c r="AF44" t="n">
        <v>21516.5</v>
      </c>
    </row>
    <row r="45">
      <c r="A45" t="s">
        <v>55</v>
      </c>
      <c r="B45" t="s">
        <v>360</v>
      </c>
      <c r="C45" t="s">
        <v>246</v>
      </c>
      <c r="D45" t="s">
        <v>361</v>
      </c>
      <c r="E45" t="s">
        <v>247</v>
      </c>
      <c r="F45" t="n">
        <v>19229.7385175609</v>
      </c>
      <c r="G45" t="n">
        <v>18488.0943055307</v>
      </c>
      <c r="H45" t="n">
        <v>18552.4232054587</v>
      </c>
      <c r="I45" t="n">
        <v>20532.8833979461</v>
      </c>
      <c r="J45" t="n">
        <v>22311.1008563763</v>
      </c>
      <c r="K45" t="n">
        <v>24246.7770426425</v>
      </c>
      <c r="L45" t="n">
        <v>23834.9713047572</v>
      </c>
      <c r="M45" t="n">
        <v>24631.3411289901</v>
      </c>
      <c r="N45" t="n">
        <v>22843.494283786</v>
      </c>
      <c r="O45" t="n">
        <v>24008.4907572503</v>
      </c>
      <c r="P45" t="n">
        <v>23141.2468121006</v>
      </c>
      <c r="Q45" t="n">
        <v>24420.5406721868</v>
      </c>
      <c r="R45" t="n">
        <v>23903.3266714637</v>
      </c>
      <c r="S45" t="n">
        <v>24502.3854229884</v>
      </c>
      <c r="T45" t="n">
        <v>19546.8019846634</v>
      </c>
      <c r="U45" t="n">
        <v>17847.1536714059</v>
      </c>
      <c r="V45" t="n">
        <v>19170.5000965058</v>
      </c>
      <c r="W45" t="n">
        <v>13980.2687298324</v>
      </c>
      <c r="X45" t="n">
        <v>11393.8664968993</v>
      </c>
      <c r="Y45" t="n">
        <v>12676.7159687191</v>
      </c>
      <c r="Z45" t="n">
        <v>15845.9213147219</v>
      </c>
      <c r="AA45" t="n">
        <v>18318.8250957763</v>
      </c>
      <c r="AB45" t="n">
        <v>20914.1006771289</v>
      </c>
      <c r="AC45" t="n">
        <v>20846.3793737322</v>
      </c>
      <c r="AD45" t="n">
        <v>21781.1350376593</v>
      </c>
      <c r="AE45" t="n">
        <v>16528.8</v>
      </c>
      <c r="AF45" t="n">
        <v>21237.1</v>
      </c>
    </row>
    <row r="46">
      <c r="A46" t="s">
        <v>55</v>
      </c>
      <c r="B46" t="s">
        <v>362</v>
      </c>
      <c r="C46" t="s">
        <v>246</v>
      </c>
      <c r="D46" t="s">
        <v>363</v>
      </c>
      <c r="E46" t="s">
        <v>247</v>
      </c>
      <c r="F46" t="n">
        <v>4149.65917705389</v>
      </c>
      <c r="G46" t="n">
        <v>3919.9231597812</v>
      </c>
      <c r="H46" t="n">
        <v>3931.54945934159</v>
      </c>
      <c r="I46" t="n">
        <v>3775.41478537073</v>
      </c>
      <c r="J46" t="n">
        <v>4280.58960534294</v>
      </c>
      <c r="K46" t="n">
        <v>5803.45447911884</v>
      </c>
      <c r="L46" t="n">
        <v>5472.89831751415</v>
      </c>
      <c r="M46" t="n">
        <v>4962.19923333266</v>
      </c>
      <c r="N46" t="n">
        <v>4132.23241900788</v>
      </c>
      <c r="O46" t="n">
        <v>4276.86360239119</v>
      </c>
      <c r="P46" t="n">
        <v>5021.22368948991</v>
      </c>
      <c r="Q46" t="n">
        <v>4573.14510824927</v>
      </c>
      <c r="R46" t="n">
        <v>5713.88740856482</v>
      </c>
      <c r="S46" t="n">
        <v>5627.42495903316</v>
      </c>
      <c r="T46" t="n">
        <v>3658.26381473695</v>
      </c>
      <c r="U46" t="n">
        <v>3365.97070846312</v>
      </c>
      <c r="V46" t="n">
        <v>3798.75483803421</v>
      </c>
      <c r="W46" t="n">
        <v>3910.02706815868</v>
      </c>
      <c r="X46" t="n">
        <v>2660.19223890409</v>
      </c>
      <c r="Y46" t="n">
        <v>3010.22024508441</v>
      </c>
      <c r="Z46" t="n">
        <v>3707.53924660836</v>
      </c>
      <c r="AA46" t="n">
        <v>4494.12124308847</v>
      </c>
      <c r="AB46" t="n">
        <v>6771.33313781542</v>
      </c>
      <c r="AC46" t="n">
        <v>6109.9082825783</v>
      </c>
      <c r="AD46" t="n">
        <v>6587.57834692039</v>
      </c>
      <c r="AE46" t="n">
        <v>4310</v>
      </c>
      <c r="AF46" t="n">
        <v>5113.4</v>
      </c>
    </row>
    <row r="47">
      <c r="A47" t="s">
        <v>55</v>
      </c>
      <c r="B47" t="s">
        <v>364</v>
      </c>
      <c r="C47" t="s">
        <v>246</v>
      </c>
      <c r="D47" t="s">
        <v>365</v>
      </c>
      <c r="E47" t="s">
        <v>247</v>
      </c>
      <c r="F47" t="n">
        <v>709.499779331823</v>
      </c>
      <c r="G47" t="n">
        <v>780.268299520931</v>
      </c>
      <c r="H47" t="n">
        <v>793.042603539636</v>
      </c>
      <c r="I47" t="n">
        <v>923.46861850194</v>
      </c>
      <c r="J47" t="n">
        <v>1116.37439535344</v>
      </c>
      <c r="K47" t="n">
        <v>674.048756545831</v>
      </c>
      <c r="L47" t="n">
        <v>809.142317857754</v>
      </c>
      <c r="M47" t="n">
        <v>901.82835259564</v>
      </c>
      <c r="N47" t="n">
        <v>1254.20194208518</v>
      </c>
      <c r="O47" t="n">
        <v>943.847327877237</v>
      </c>
      <c r="P47" t="n">
        <v>1854.35692903588</v>
      </c>
      <c r="Q47" t="n">
        <v>934.590298397191</v>
      </c>
      <c r="R47" t="n">
        <v>1652.63575532137</v>
      </c>
      <c r="S47" t="n">
        <v>1265.43515771359</v>
      </c>
      <c r="T47" t="n">
        <v>1348.42106331944</v>
      </c>
      <c r="U47" t="n">
        <v>1315.66589578942</v>
      </c>
      <c r="V47" t="n">
        <v>1151.20765881574</v>
      </c>
      <c r="W47" t="n">
        <v>1170.72317187772</v>
      </c>
      <c r="X47" t="n">
        <v>636.973041516107</v>
      </c>
      <c r="Y47" t="n">
        <v>463.132482269003</v>
      </c>
      <c r="Z47" t="n">
        <v>307.730682531347</v>
      </c>
      <c r="AA47" t="n">
        <v>382.341876085439</v>
      </c>
      <c r="AB47" t="n">
        <v>562.7561206784</v>
      </c>
      <c r="AC47" t="n">
        <v>504.092429131667</v>
      </c>
      <c r="AD47" t="n">
        <v>672.054794520548</v>
      </c>
      <c r="AE47" t="n">
        <v>726</v>
      </c>
      <c r="AF47" t="n">
        <v>923.7</v>
      </c>
    </row>
    <row r="48">
      <c r="A48" t="s">
        <v>55</v>
      </c>
      <c r="B48" t="s">
        <v>366</v>
      </c>
      <c r="C48" t="s">
        <v>246</v>
      </c>
      <c r="D48" t="s">
        <v>367</v>
      </c>
      <c r="E48" t="s">
        <v>247</v>
      </c>
      <c r="F48" t="n">
        <v>886.640077702846</v>
      </c>
      <c r="G48" t="n">
        <v>1136.97898111102</v>
      </c>
      <c r="H48" t="n">
        <v>1107.55047520528</v>
      </c>
      <c r="I48" t="n">
        <v>1352.14763107039</v>
      </c>
      <c r="J48" t="n">
        <v>1569.89887476021</v>
      </c>
      <c r="K48" t="n">
        <v>1127.03115531652</v>
      </c>
      <c r="L48" t="n">
        <v>1228.23052979862</v>
      </c>
      <c r="M48" t="n">
        <v>1345.35802385688</v>
      </c>
      <c r="N48" t="n">
        <v>1658.82790388511</v>
      </c>
      <c r="O48" t="n">
        <v>1405.2464811715</v>
      </c>
      <c r="P48" t="n">
        <v>2309.63230281602</v>
      </c>
      <c r="Q48" t="n">
        <v>1398.58360202754</v>
      </c>
      <c r="R48" t="n">
        <v>2145.31842881954</v>
      </c>
      <c r="S48" t="n">
        <v>1673.5702493229</v>
      </c>
      <c r="T48" t="n">
        <v>1702.14182329744</v>
      </c>
      <c r="U48" t="n">
        <v>1553.12441975394</v>
      </c>
      <c r="V48" t="n">
        <v>1448.38507227762</v>
      </c>
      <c r="W48" t="n">
        <v>1331.53111016534</v>
      </c>
      <c r="X48" t="n">
        <v>819.994838659115</v>
      </c>
      <c r="Y48" t="n">
        <v>661.85685322876</v>
      </c>
      <c r="Z48" t="n">
        <v>522.301530511563</v>
      </c>
      <c r="AA48" t="n">
        <v>639.50089833367</v>
      </c>
      <c r="AB48" t="n">
        <v>919.873213366658</v>
      </c>
      <c r="AC48" t="n">
        <v>840.059317987555</v>
      </c>
      <c r="AD48" t="n">
        <v>1017.84693895711</v>
      </c>
      <c r="AE48" t="n">
        <v>1123.3</v>
      </c>
      <c r="AF48" t="n">
        <v>1298.1</v>
      </c>
    </row>
    <row r="49">
      <c r="A49" t="s">
        <v>55</v>
      </c>
      <c r="B49" t="s">
        <v>368</v>
      </c>
      <c r="C49" t="s">
        <v>246</v>
      </c>
      <c r="D49" t="s">
        <v>369</v>
      </c>
      <c r="E49" t="s">
        <v>247</v>
      </c>
      <c r="F49" t="n">
        <v>64.5429926996027</v>
      </c>
      <c r="G49" t="n">
        <v>116.687896406061</v>
      </c>
      <c r="H49" t="n">
        <v>95.9799035227322</v>
      </c>
      <c r="I49" t="n">
        <v>101.241260360357</v>
      </c>
      <c r="J49" t="n">
        <v>130.045111899501</v>
      </c>
      <c r="K49" t="n">
        <v>113.29083367932</v>
      </c>
      <c r="L49" t="n">
        <v>118.987020847554</v>
      </c>
      <c r="M49" t="n">
        <v>119.848353987091</v>
      </c>
      <c r="N49" t="n">
        <v>103.79615753162</v>
      </c>
      <c r="O49" t="n">
        <v>95.8764507141785</v>
      </c>
      <c r="P49" t="n">
        <v>130.643529995434</v>
      </c>
      <c r="Q49" t="n">
        <v>134.503186655997</v>
      </c>
      <c r="R49" t="n">
        <v>133.34964303116</v>
      </c>
      <c r="S49" t="n">
        <v>150.847494989794</v>
      </c>
      <c r="T49" t="n">
        <v>98.7040603782222</v>
      </c>
      <c r="U49" t="n">
        <v>50.5530751715895</v>
      </c>
      <c r="V49" t="n">
        <v>78.5120208277135</v>
      </c>
      <c r="W49" t="n">
        <v>56.3944822500799</v>
      </c>
      <c r="X49" t="n">
        <v>47.2381825489599</v>
      </c>
      <c r="Y49" t="n">
        <v>67.9975632207001</v>
      </c>
      <c r="Z49" t="n">
        <v>60.9077698991105</v>
      </c>
      <c r="AA49" t="n">
        <v>65.7217860767035</v>
      </c>
      <c r="AB49" t="n">
        <v>98.9415344212463</v>
      </c>
      <c r="AC49" t="n">
        <v>117.332536146483</v>
      </c>
      <c r="AD49" t="n">
        <v>115.074167121791</v>
      </c>
      <c r="AE49" t="n">
        <v>182.9</v>
      </c>
      <c r="AF49" t="n">
        <v>132.1</v>
      </c>
    </row>
    <row r="50">
      <c r="A50" t="s">
        <v>55</v>
      </c>
      <c r="B50" t="s">
        <v>370</v>
      </c>
      <c r="C50" t="s">
        <v>246</v>
      </c>
      <c r="D50" t="s">
        <v>371</v>
      </c>
      <c r="E50" t="s">
        <v>247</v>
      </c>
      <c r="F50" t="n">
        <v>105.22099615119</v>
      </c>
      <c r="G50" t="n">
        <v>239.681097092975</v>
      </c>
      <c r="H50" t="n">
        <v>218.3800884641</v>
      </c>
      <c r="I50" t="n">
        <v>331.659321603644</v>
      </c>
      <c r="J50" t="n">
        <v>326.985869443894</v>
      </c>
      <c r="K50" t="n">
        <v>335.548748404031</v>
      </c>
      <c r="L50" t="n">
        <v>297.787366705274</v>
      </c>
      <c r="M50" t="n">
        <v>322.088319533793</v>
      </c>
      <c r="N50" t="n">
        <v>306.312565107648</v>
      </c>
      <c r="O50" t="n">
        <v>360.383163575664</v>
      </c>
      <c r="P50" t="n">
        <v>347.447002156523</v>
      </c>
      <c r="Q50" t="n">
        <v>323.146393374743</v>
      </c>
      <c r="R50" t="n">
        <v>368.746081521435</v>
      </c>
      <c r="S50" t="n">
        <v>258.046435389571</v>
      </c>
      <c r="T50" t="n">
        <v>265.929476852546</v>
      </c>
      <c r="U50" t="n">
        <v>211.537498483417</v>
      </c>
      <c r="V50" t="n">
        <v>229.583351434609</v>
      </c>
      <c r="W50" t="n">
        <v>107.627608872828</v>
      </c>
      <c r="X50" t="n">
        <v>140.428403957881</v>
      </c>
      <c r="Y50" t="n">
        <v>131.898678680439</v>
      </c>
      <c r="Z50" t="n">
        <v>152.752643126705</v>
      </c>
      <c r="AA50" t="n">
        <v>190.452858343585</v>
      </c>
      <c r="AB50" t="n">
        <v>257.249665035364</v>
      </c>
      <c r="AC50" t="n">
        <v>217.735464705308</v>
      </c>
      <c r="AD50" t="n">
        <v>230.119486474094</v>
      </c>
      <c r="AE50" t="n">
        <v>214.3</v>
      </c>
      <c r="AF50" t="n">
        <v>242.4</v>
      </c>
    </row>
    <row r="51">
      <c r="A51" t="s">
        <v>55</v>
      </c>
      <c r="B51" t="s">
        <v>372</v>
      </c>
      <c r="C51" t="s">
        <v>246</v>
      </c>
      <c r="D51" t="s">
        <v>373</v>
      </c>
      <c r="E51" t="s">
        <v>247</v>
      </c>
      <c r="F51" t="n">
        <v>73.6637349657262</v>
      </c>
      <c r="G51" t="n">
        <v>162.140286201734</v>
      </c>
      <c r="H51" t="n">
        <v>149.169063305596</v>
      </c>
      <c r="I51" t="n">
        <v>225.329324500354</v>
      </c>
      <c r="J51" t="n">
        <v>220.31504189673</v>
      </c>
      <c r="K51" t="n">
        <v>207.320980446227</v>
      </c>
      <c r="L51" t="n">
        <v>196.892359699435</v>
      </c>
      <c r="M51" t="n">
        <v>233.243797420195</v>
      </c>
      <c r="N51" t="n">
        <v>218.012090036139</v>
      </c>
      <c r="O51" t="n">
        <v>238.693599483676</v>
      </c>
      <c r="P51" t="n">
        <v>238.041787360564</v>
      </c>
      <c r="Q51" t="n">
        <v>226.982039271418</v>
      </c>
      <c r="R51" t="n">
        <v>243.729735852652</v>
      </c>
      <c r="S51" t="n">
        <v>175.656536525711</v>
      </c>
      <c r="T51" t="n">
        <v>183.395251071949</v>
      </c>
      <c r="U51" t="n">
        <v>151.313053103749</v>
      </c>
      <c r="V51" t="n">
        <v>155.152339525784</v>
      </c>
      <c r="W51" t="n">
        <v>47.1320333733851</v>
      </c>
      <c r="X51" t="n">
        <v>88.3854542691269</v>
      </c>
      <c r="Y51" t="n">
        <v>83.7885748508745</v>
      </c>
      <c r="Z51" t="n">
        <v>98.5498066687091</v>
      </c>
      <c r="AA51" t="n">
        <v>122.284315081068</v>
      </c>
      <c r="AB51" t="n">
        <v>129.991309729035</v>
      </c>
      <c r="AC51" t="n">
        <v>134.681192276122</v>
      </c>
      <c r="AD51" t="n">
        <v>147.488611315209</v>
      </c>
      <c r="AE51" t="n">
        <v>134</v>
      </c>
      <c r="AF51" t="n">
        <v>165.6</v>
      </c>
    </row>
    <row r="52">
      <c r="A52" t="s">
        <v>55</v>
      </c>
      <c r="B52" t="s">
        <v>374</v>
      </c>
      <c r="C52" t="s">
        <v>246</v>
      </c>
      <c r="D52" t="s">
        <v>375</v>
      </c>
      <c r="E52" t="s">
        <v>247</v>
      </c>
      <c r="F52" t="n">
        <v>32.206383417637</v>
      </c>
      <c r="G52" t="n">
        <v>79.0156611799168</v>
      </c>
      <c r="H52" t="n">
        <v>70.556125700518</v>
      </c>
      <c r="I52" t="n">
        <v>108.372808458116</v>
      </c>
      <c r="J52" t="n">
        <v>108.686477947141</v>
      </c>
      <c r="K52" t="n">
        <v>130.30690635598</v>
      </c>
      <c r="L52" t="n">
        <v>102.585026710054</v>
      </c>
      <c r="M52" t="n">
        <v>90.7223692192722</v>
      </c>
      <c r="N52" t="n">
        <v>90.0640065979423</v>
      </c>
      <c r="O52" t="n">
        <v>123.887749871102</v>
      </c>
      <c r="P52" t="n">
        <v>111.325238017937</v>
      </c>
      <c r="Q52" t="n">
        <v>97.7587215569699</v>
      </c>
      <c r="R52" t="n">
        <v>127.295447588889</v>
      </c>
      <c r="S52" t="n">
        <v>83.8255444876881</v>
      </c>
      <c r="T52" t="n">
        <v>83.9515979380455</v>
      </c>
      <c r="U52" t="n">
        <v>61.4708353102844</v>
      </c>
      <c r="V52" t="n">
        <v>75.5464469734622</v>
      </c>
      <c r="W52" t="n">
        <v>60.2403650975075</v>
      </c>
      <c r="X52" t="n">
        <v>52.1135030270174</v>
      </c>
      <c r="Y52" t="n">
        <v>48.1843103384725</v>
      </c>
      <c r="Z52" t="n">
        <v>54.2996057424799</v>
      </c>
      <c r="AA52" t="n">
        <v>68.2827748904494</v>
      </c>
      <c r="AB52" t="n">
        <v>127.175392396861</v>
      </c>
      <c r="AC52" t="n">
        <v>83.0553921568628</v>
      </c>
      <c r="AD52" t="n">
        <v>82.650243902439</v>
      </c>
      <c r="AE52" t="n">
        <v>80.3</v>
      </c>
      <c r="AF52" t="n">
        <v>76.8</v>
      </c>
    </row>
    <row r="53">
      <c r="A53" t="s">
        <v>55</v>
      </c>
      <c r="B53" t="s">
        <v>376</v>
      </c>
      <c r="C53" t="s">
        <v>246</v>
      </c>
      <c r="D53" t="s">
        <v>377</v>
      </c>
      <c r="E53" t="s">
        <v>247</v>
      </c>
      <c r="F53" t="n">
        <v>109.226153843562</v>
      </c>
      <c r="G53" t="n">
        <v>126.305152444555</v>
      </c>
      <c r="H53" t="n">
        <v>151.202714868877</v>
      </c>
      <c r="I53" t="n">
        <v>184.195605977956</v>
      </c>
      <c r="J53" t="n">
        <v>154.239919192613</v>
      </c>
      <c r="K53" t="n">
        <v>186.522692977114</v>
      </c>
      <c r="L53" t="n">
        <v>199.139139542822</v>
      </c>
      <c r="M53" t="n">
        <v>146.552014437699</v>
      </c>
      <c r="N53" t="n">
        <v>159.554780968215</v>
      </c>
      <c r="O53" t="n">
        <v>177.479232957836</v>
      </c>
      <c r="P53" t="n">
        <v>151.351474025065</v>
      </c>
      <c r="Q53" t="n">
        <v>151.48565086374</v>
      </c>
      <c r="R53" t="n">
        <v>169.447332221603</v>
      </c>
      <c r="S53" t="n">
        <v>134.981246858663</v>
      </c>
      <c r="T53" t="n">
        <v>119.14617154128</v>
      </c>
      <c r="U53" t="n">
        <v>95.2445079494119</v>
      </c>
      <c r="V53" t="n">
        <v>109.696183588092</v>
      </c>
      <c r="W53" t="n">
        <v>57.8604740376569</v>
      </c>
      <c r="X53" t="n">
        <v>48.4244469096519</v>
      </c>
      <c r="Y53" t="n">
        <v>55.8094388130846</v>
      </c>
      <c r="Z53" t="n">
        <v>71.6631757503908</v>
      </c>
      <c r="AA53" t="n">
        <v>90.330862631824</v>
      </c>
      <c r="AB53" t="n">
        <v>94.6372147663719</v>
      </c>
      <c r="AC53" t="n">
        <v>98.6600506756757</v>
      </c>
      <c r="AD53" t="n">
        <v>88.4950757575757</v>
      </c>
      <c r="AE53" t="n">
        <v>76.1</v>
      </c>
      <c r="AF53" t="n">
        <v>81.4</v>
      </c>
    </row>
    <row r="54">
      <c r="A54" t="s">
        <v>55</v>
      </c>
      <c r="B54" t="s">
        <v>378</v>
      </c>
      <c r="C54" t="s">
        <v>246</v>
      </c>
      <c r="D54" t="s">
        <v>379</v>
      </c>
      <c r="E54" t="s">
        <v>247</v>
      </c>
      <c r="F54" t="n">
        <v>230.829599039575</v>
      </c>
      <c r="G54" t="n">
        <v>256.820648380252</v>
      </c>
      <c r="H54" t="n">
        <v>309.938836608384</v>
      </c>
      <c r="I54" t="n">
        <v>376.744306053507</v>
      </c>
      <c r="J54" t="n">
        <v>313.953588377923</v>
      </c>
      <c r="K54" t="n">
        <v>333.92141436844</v>
      </c>
      <c r="L54" t="n">
        <v>389.489031971836</v>
      </c>
      <c r="M54" t="n">
        <v>359.144102581276</v>
      </c>
      <c r="N54" t="n">
        <v>339.076084583549</v>
      </c>
      <c r="O54" t="n">
        <v>387.044731538673</v>
      </c>
      <c r="P54" t="n">
        <v>330.126388665339</v>
      </c>
      <c r="Q54" t="n">
        <v>369.373019865858</v>
      </c>
      <c r="R54" t="n">
        <v>348.026750199281</v>
      </c>
      <c r="S54" t="n">
        <v>315.516186840611</v>
      </c>
      <c r="T54" t="n">
        <v>230.389577298804</v>
      </c>
      <c r="U54" t="n">
        <v>208.934960501638</v>
      </c>
      <c r="V54" t="n">
        <v>245.230779921783</v>
      </c>
      <c r="W54" t="n">
        <v>130.430891811501</v>
      </c>
      <c r="X54" t="n">
        <v>136.800772574389</v>
      </c>
      <c r="Y54" t="n">
        <v>155.609594047802</v>
      </c>
      <c r="Z54" t="n">
        <v>180.229367548265</v>
      </c>
      <c r="AA54" t="n">
        <v>240.713121403446</v>
      </c>
      <c r="AB54" t="n">
        <v>262.33650349562</v>
      </c>
      <c r="AC54" t="n">
        <v>243.148578123843</v>
      </c>
      <c r="AD54" t="n">
        <v>231.512254160363</v>
      </c>
      <c r="AE54" t="n">
        <v>194.2</v>
      </c>
      <c r="AF54" t="n">
        <v>211.3</v>
      </c>
    </row>
    <row r="55">
      <c r="A55" t="s">
        <v>55</v>
      </c>
      <c r="B55" t="s">
        <v>380</v>
      </c>
      <c r="C55" t="s">
        <v>246</v>
      </c>
      <c r="D55" t="s">
        <v>381</v>
      </c>
      <c r="E55" t="s">
        <v>247</v>
      </c>
      <c r="F55" t="n">
        <v>123.219477214889</v>
      </c>
      <c r="G55" t="n">
        <v>132.974352494401</v>
      </c>
      <c r="H55" t="n">
        <v>161.52427181642</v>
      </c>
      <c r="I55" t="n">
        <v>195.996833089449</v>
      </c>
      <c r="J55" t="n">
        <v>162.701635171228</v>
      </c>
      <c r="K55" t="n">
        <v>154.158228845634</v>
      </c>
      <c r="L55" t="n">
        <v>195.179386715341</v>
      </c>
      <c r="M55" t="n">
        <v>211.095800989152</v>
      </c>
      <c r="N55" t="n">
        <v>181.476314611829</v>
      </c>
      <c r="O55" t="n">
        <v>211.02423608013</v>
      </c>
      <c r="P55" t="n">
        <v>180.014308550053</v>
      </c>
      <c r="Q55" t="n">
        <v>216.105466671369</v>
      </c>
      <c r="R55" t="n">
        <v>181.593913555589</v>
      </c>
      <c r="S55" t="n">
        <v>179.975429477553</v>
      </c>
      <c r="T55" t="n">
        <v>114.434026002707</v>
      </c>
      <c r="U55" t="n">
        <v>114.744145314367</v>
      </c>
      <c r="V55" t="n">
        <v>136.47895782272</v>
      </c>
      <c r="W55" t="n">
        <v>73.0026334222669</v>
      </c>
      <c r="X55" t="n">
        <v>88.3611109455306</v>
      </c>
      <c r="Y55" t="n">
        <v>99.8115760107198</v>
      </c>
      <c r="Z55" t="n">
        <v>108.771696612935</v>
      </c>
      <c r="AA55" t="n">
        <v>150.506156666461</v>
      </c>
      <c r="AB55" t="n">
        <v>167.805714903985</v>
      </c>
      <c r="AC55" t="n">
        <v>144.417091219863</v>
      </c>
      <c r="AD55" t="n">
        <v>143.088413098237</v>
      </c>
      <c r="AE55" t="n">
        <v>118.1</v>
      </c>
      <c r="AF55" t="n">
        <v>129.9</v>
      </c>
    </row>
    <row r="56">
      <c r="A56" t="s">
        <v>55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55</v>
      </c>
      <c r="B57" t="s">
        <v>384</v>
      </c>
      <c r="C57" t="s">
        <v>246</v>
      </c>
      <c r="D57" t="s">
        <v>385</v>
      </c>
      <c r="E57" t="s">
        <v>247</v>
      </c>
      <c r="F57" t="n">
        <v>20824.9559690492</v>
      </c>
      <c r="G57" t="n">
        <v>20252.7891313967</v>
      </c>
      <c r="H57" t="n">
        <v>20395.6849922464</v>
      </c>
      <c r="I57" t="n">
        <v>22576.1561376528</v>
      </c>
      <c r="J57" t="n">
        <v>24677.6675888707</v>
      </c>
      <c r="K57" t="n">
        <v>26103.533198582</v>
      </c>
      <c r="L57" t="n">
        <v>26026.7916681244</v>
      </c>
      <c r="M57" t="n">
        <v>26902.6144292247</v>
      </c>
      <c r="N57" t="n">
        <v>25247.4972524385</v>
      </c>
      <c r="O57" t="n">
        <v>26344.5459401708</v>
      </c>
      <c r="P57" t="n">
        <v>26148.0390196213</v>
      </c>
      <c r="Q57" t="n">
        <v>26651.8608472147</v>
      </c>
      <c r="R57" t="n">
        <v>26823.1483262676</v>
      </c>
      <c r="S57" t="n">
        <v>26907.9486011081</v>
      </c>
      <c r="T57" t="n">
        <v>21718.3442443727</v>
      </c>
      <c r="U57" t="n">
        <v>19874.4198142934</v>
      </c>
      <c r="V57" t="n">
        <v>21204.9390048056</v>
      </c>
      <c r="W57" t="n">
        <v>15457.5933617524</v>
      </c>
      <c r="X57" t="n">
        <v>12404.4378519464</v>
      </c>
      <c r="Y57" t="n">
        <v>13573.2285039308</v>
      </c>
      <c r="Z57" t="n">
        <v>16633.0666863975</v>
      </c>
      <c r="AA57" t="n">
        <v>19338.0290011796</v>
      </c>
      <c r="AB57" t="n">
        <v>22318.5271875324</v>
      </c>
      <c r="AC57" t="n">
        <v>22152.0994970109</v>
      </c>
      <c r="AD57" t="n">
        <v>23313.7139236322</v>
      </c>
      <c r="AE57" t="n">
        <v>18102.5</v>
      </c>
      <c r="AF57" t="n">
        <v>23062.4</v>
      </c>
    </row>
    <row r="58">
      <c r="A58" t="s">
        <v>55</v>
      </c>
      <c r="B58" t="s">
        <v>386</v>
      </c>
      <c r="C58" t="s">
        <v>246</v>
      </c>
      <c r="D58" t="s">
        <v>387</v>
      </c>
      <c r="E58" t="s">
        <v>247</v>
      </c>
      <c r="F58" t="n">
        <v>20824.9559690492</v>
      </c>
      <c r="G58" t="n">
        <v>20252.7891313967</v>
      </c>
      <c r="H58" t="n">
        <v>20395.6849922464</v>
      </c>
      <c r="I58" t="n">
        <v>22576.1561376528</v>
      </c>
      <c r="J58" t="n">
        <v>24677.6675888707</v>
      </c>
      <c r="K58" t="n">
        <v>26103.533198582</v>
      </c>
      <c r="L58" t="n">
        <v>26026.7916681244</v>
      </c>
      <c r="M58" t="n">
        <v>26902.6144292247</v>
      </c>
      <c r="N58" t="n">
        <v>25247.4972524385</v>
      </c>
      <c r="O58" t="n">
        <v>26344.5459401708</v>
      </c>
      <c r="P58" t="n">
        <v>26148.0390196213</v>
      </c>
      <c r="Q58" t="n">
        <v>26651.8608472147</v>
      </c>
      <c r="R58" t="n">
        <v>26823.1483262676</v>
      </c>
      <c r="S58" t="n">
        <v>26907.9486011081</v>
      </c>
      <c r="T58" t="n">
        <v>21718.3442443727</v>
      </c>
      <c r="U58" t="n">
        <v>19874.4198142934</v>
      </c>
      <c r="V58" t="n">
        <v>21204.9390048056</v>
      </c>
      <c r="W58" t="n">
        <v>15457.5933617524</v>
      </c>
      <c r="X58" t="n">
        <v>12404.4378519464</v>
      </c>
      <c r="Y58" t="n">
        <v>13573.2285039308</v>
      </c>
      <c r="Z58" t="n">
        <v>16633.0666863975</v>
      </c>
      <c r="AA58" t="n">
        <v>19338.0290011796</v>
      </c>
      <c r="AB58" t="n">
        <v>22318.5271875324</v>
      </c>
      <c r="AC58" t="n">
        <v>22152.0994970109</v>
      </c>
      <c r="AD58" t="n">
        <v>23313.7139236322</v>
      </c>
      <c r="AE58" t="n">
        <v>18102.5</v>
      </c>
      <c r="AF58" t="n">
        <v>23062.4</v>
      </c>
    </row>
    <row r="59">
      <c r="A59" t="s">
        <v>55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57</v>
      </c>
      <c r="B2" t="s">
        <v>197</v>
      </c>
      <c r="C2" t="s">
        <v>246</v>
      </c>
      <c r="D2" t="s">
        <v>199</v>
      </c>
      <c r="E2" t="s">
        <v>247</v>
      </c>
      <c r="F2" t="n">
        <v>4077.35700824939</v>
      </c>
      <c r="G2" t="n">
        <v>4023.98630049685</v>
      </c>
      <c r="H2" t="n">
        <v>4254.70612450406</v>
      </c>
      <c r="I2" t="n">
        <v>4664.25701331111</v>
      </c>
      <c r="J2" t="n">
        <v>4881.0622722613</v>
      </c>
      <c r="K2" t="n">
        <v>5645.93140796475</v>
      </c>
      <c r="L2" t="n">
        <v>5117.1686438422</v>
      </c>
      <c r="M2" t="n">
        <v>4958.82597125873</v>
      </c>
      <c r="N2" t="n">
        <v>4875.94069565844</v>
      </c>
      <c r="O2" t="n">
        <v>5543.08653052954</v>
      </c>
      <c r="P2" t="n">
        <v>5478.48936327923</v>
      </c>
      <c r="Q2" t="n">
        <v>5889.5991068357</v>
      </c>
      <c r="R2" t="n">
        <v>5648.47653142803</v>
      </c>
      <c r="S2" t="n">
        <v>5006.64031798106</v>
      </c>
      <c r="T2" t="n">
        <v>4271.71961871115</v>
      </c>
      <c r="U2" t="n">
        <v>5046.0775349714</v>
      </c>
      <c r="V2" t="n">
        <v>4874.98181834189</v>
      </c>
      <c r="W2" t="n">
        <v>4609.73870625118</v>
      </c>
      <c r="X2" t="n">
        <v>4258.8922222696</v>
      </c>
      <c r="Y2" t="n">
        <v>4823.37052869502</v>
      </c>
      <c r="Z2" t="n">
        <v>4741.39761139543</v>
      </c>
      <c r="AA2" t="n">
        <v>5004.87200537527</v>
      </c>
      <c r="AB2" t="n">
        <v>5611.78841821191</v>
      </c>
      <c r="AC2" t="n">
        <v>6289.57397797283</v>
      </c>
      <c r="AD2" t="n">
        <v>6226.24079263411</v>
      </c>
      <c r="AE2" t="n">
        <v>5437.3</v>
      </c>
      <c r="AF2" t="n">
        <v>6775.8</v>
      </c>
    </row>
    <row r="3">
      <c r="A3" t="s">
        <v>57</v>
      </c>
      <c r="B3" t="s">
        <v>276</v>
      </c>
      <c r="C3" t="s">
        <v>246</v>
      </c>
      <c r="D3" t="s">
        <v>277</v>
      </c>
      <c r="E3" t="s">
        <v>247</v>
      </c>
      <c r="F3" t="n">
        <v>338.418594846883</v>
      </c>
      <c r="G3" t="n">
        <v>404.511195648806</v>
      </c>
      <c r="H3" t="n">
        <v>461.305717786701</v>
      </c>
      <c r="I3" t="n">
        <v>391.656664222214</v>
      </c>
      <c r="J3" t="n">
        <v>456.912928130324</v>
      </c>
      <c r="K3" t="n">
        <v>527.534479405589</v>
      </c>
      <c r="L3" t="n">
        <v>431.942575088839</v>
      </c>
      <c r="M3" t="n">
        <v>527.903997096203</v>
      </c>
      <c r="N3" t="n">
        <v>371.033892467442</v>
      </c>
      <c r="O3" t="n">
        <v>440.453868679632</v>
      </c>
      <c r="P3" t="n">
        <v>595.322771477624</v>
      </c>
      <c r="Q3" t="n">
        <v>485.696125393224</v>
      </c>
      <c r="R3" t="n">
        <v>629.04129269923</v>
      </c>
      <c r="S3" t="n">
        <v>443.506745745587</v>
      </c>
      <c r="T3" t="n">
        <v>304.591977296512</v>
      </c>
      <c r="U3" t="n">
        <v>500.739524376844</v>
      </c>
      <c r="V3" t="n">
        <v>472.078018281324</v>
      </c>
      <c r="W3" t="n">
        <v>320.846484455831</v>
      </c>
      <c r="X3" t="n">
        <v>372.250059260903</v>
      </c>
      <c r="Y3" t="n">
        <v>331.940782950453</v>
      </c>
      <c r="Z3" t="n">
        <v>449.431151931078</v>
      </c>
      <c r="AA3" t="n">
        <v>452.73800321619</v>
      </c>
      <c r="AB3" t="n">
        <v>299.199010603827</v>
      </c>
      <c r="AC3" t="n">
        <v>572.698106192553</v>
      </c>
      <c r="AD3" t="n">
        <v>425.939830774052</v>
      </c>
      <c r="AE3" t="n">
        <v>315.5</v>
      </c>
      <c r="AF3" t="n">
        <v>414.3</v>
      </c>
    </row>
    <row r="4">
      <c r="A4" t="s">
        <v>57</v>
      </c>
      <c r="B4" t="s">
        <v>278</v>
      </c>
      <c r="C4" t="s">
        <v>246</v>
      </c>
      <c r="D4" t="s">
        <v>279</v>
      </c>
      <c r="E4" t="s">
        <v>247</v>
      </c>
      <c r="F4" t="n">
        <v>29228.2900050422</v>
      </c>
      <c r="G4" t="n">
        <v>27105.7558382967</v>
      </c>
      <c r="H4" t="n">
        <v>27185.8264385932</v>
      </c>
      <c r="I4" t="n">
        <v>30644.9400196499</v>
      </c>
      <c r="J4" t="n">
        <v>33446.7318981172</v>
      </c>
      <c r="K4" t="n">
        <v>36603.3962593195</v>
      </c>
      <c r="L4" t="n">
        <v>36663.9997861623</v>
      </c>
      <c r="M4" t="n">
        <v>37879.5275643295</v>
      </c>
      <c r="N4" t="n">
        <v>36174.1711785089</v>
      </c>
      <c r="O4" t="n">
        <v>36472.1901614505</v>
      </c>
      <c r="P4" t="n">
        <v>36408.8029186155</v>
      </c>
      <c r="Q4" t="n">
        <v>39918.4633482596</v>
      </c>
      <c r="R4" t="n">
        <v>40422.334209131</v>
      </c>
      <c r="S4" t="n">
        <v>39132.4701503155</v>
      </c>
      <c r="T4" t="n">
        <v>31679.6370134052</v>
      </c>
      <c r="U4" t="n">
        <v>35444.5361863508</v>
      </c>
      <c r="V4" t="n">
        <v>34381.8527413375</v>
      </c>
      <c r="W4" t="n">
        <v>33147.444059657</v>
      </c>
      <c r="X4" t="n">
        <v>31460.4876394531</v>
      </c>
      <c r="Y4" t="n">
        <v>33850.7390534154</v>
      </c>
      <c r="Z4" t="n">
        <v>35286.8253399046</v>
      </c>
      <c r="AA4" t="n">
        <v>36924.2225568276</v>
      </c>
      <c r="AB4" t="n">
        <v>38788.6093908798</v>
      </c>
      <c r="AC4" t="n">
        <v>43118.2621007676</v>
      </c>
      <c r="AD4" t="n">
        <v>40265.8546073111</v>
      </c>
      <c r="AE4" t="n">
        <v>35590.9</v>
      </c>
      <c r="AF4" t="n">
        <v>42359.1</v>
      </c>
    </row>
    <row r="5">
      <c r="A5" t="s">
        <v>57</v>
      </c>
      <c r="B5" t="s">
        <v>280</v>
      </c>
      <c r="C5" t="s">
        <v>246</v>
      </c>
      <c r="D5" t="s">
        <v>281</v>
      </c>
      <c r="E5" t="s">
        <v>247</v>
      </c>
      <c r="F5" t="n">
        <v>4898.74107189898</v>
      </c>
      <c r="G5" t="n">
        <v>4357.19383190557</v>
      </c>
      <c r="H5" t="n">
        <v>4719.88225371169</v>
      </c>
      <c r="I5" t="n">
        <v>4028.64239260432</v>
      </c>
      <c r="J5" t="n">
        <v>6033.93190738905</v>
      </c>
      <c r="K5" t="n">
        <v>5845.42028828808</v>
      </c>
      <c r="L5" t="n">
        <v>5663.81845005019</v>
      </c>
      <c r="M5" t="n">
        <v>5874.69074879893</v>
      </c>
      <c r="N5" t="n">
        <v>5051.7397350025</v>
      </c>
      <c r="O5" t="n">
        <v>6335.00317585447</v>
      </c>
      <c r="P5" t="n">
        <v>5383.69078045974</v>
      </c>
      <c r="Q5" t="n">
        <v>6628.77499600529</v>
      </c>
      <c r="R5" t="n">
        <v>6132.98727047581</v>
      </c>
      <c r="S5" t="n">
        <v>5997.12054766737</v>
      </c>
      <c r="T5" t="n">
        <v>4472.44209949285</v>
      </c>
      <c r="U5" t="n">
        <v>5594.83061246123</v>
      </c>
      <c r="V5" t="n">
        <v>5400.93455439732</v>
      </c>
      <c r="W5" t="n">
        <v>5318.50532251582</v>
      </c>
      <c r="X5" t="n">
        <v>4918.64284999827</v>
      </c>
      <c r="Y5" t="n">
        <v>5209.07038494457</v>
      </c>
      <c r="Z5" t="n">
        <v>4940.41430326565</v>
      </c>
      <c r="AA5" t="n">
        <v>5378.50933055153</v>
      </c>
      <c r="AB5" t="n">
        <v>5840.21794135691</v>
      </c>
      <c r="AC5" t="n">
        <v>7543.45785949965</v>
      </c>
      <c r="AD5" t="n">
        <v>6172.58631110212</v>
      </c>
      <c r="AE5" t="n">
        <v>4918.1</v>
      </c>
      <c r="AF5" t="n">
        <v>6361.4</v>
      </c>
    </row>
    <row r="6">
      <c r="A6" t="s">
        <v>57</v>
      </c>
      <c r="B6" t="s">
        <v>282</v>
      </c>
      <c r="C6" t="s">
        <v>246</v>
      </c>
      <c r="D6" t="s">
        <v>283</v>
      </c>
      <c r="E6" t="s">
        <v>247</v>
      </c>
      <c r="F6" t="n">
        <v>2373.79742844383</v>
      </c>
      <c r="G6" t="n">
        <v>2104.93700541704</v>
      </c>
      <c r="H6" t="n">
        <v>1850.69590232373</v>
      </c>
      <c r="I6" t="n">
        <v>2774.24174249556</v>
      </c>
      <c r="J6" t="n">
        <v>2237.52775590633</v>
      </c>
      <c r="K6" t="n">
        <v>2562.48052399818</v>
      </c>
      <c r="L6" t="n">
        <v>2582.43309759995</v>
      </c>
      <c r="M6" t="n">
        <v>3016.84541992841</v>
      </c>
      <c r="N6" t="n">
        <v>3053.14491360969</v>
      </c>
      <c r="O6" t="n">
        <v>2840.64352760615</v>
      </c>
      <c r="P6" t="n">
        <v>2867.64992950989</v>
      </c>
      <c r="Q6" t="n">
        <v>2767.5375022613</v>
      </c>
      <c r="R6" t="n">
        <v>2893.71063854258</v>
      </c>
      <c r="S6" t="n">
        <v>3152.99908288418</v>
      </c>
      <c r="T6" t="n">
        <v>2348.89624414863</v>
      </c>
      <c r="U6" t="n">
        <v>2655.59409106057</v>
      </c>
      <c r="V6" t="n">
        <v>2395.74059056799</v>
      </c>
      <c r="W6" t="n">
        <v>2220.68359688018</v>
      </c>
      <c r="X6" t="n">
        <v>2104.00751436176</v>
      </c>
      <c r="Y6" t="n">
        <v>2222.72657965443</v>
      </c>
      <c r="Z6" t="n">
        <v>1908.01866227832</v>
      </c>
      <c r="AA6" t="n">
        <v>2014.67399414831</v>
      </c>
      <c r="AB6" t="n">
        <v>2500.02685248878</v>
      </c>
      <c r="AC6" t="n">
        <v>2876.70635226227</v>
      </c>
      <c r="AD6" t="n">
        <v>2366.67705759162</v>
      </c>
      <c r="AE6" t="n">
        <v>1861.3</v>
      </c>
      <c r="AF6" t="n">
        <v>2121</v>
      </c>
    </row>
    <row r="7">
      <c r="A7" t="s">
        <v>57</v>
      </c>
      <c r="B7" t="s">
        <v>284</v>
      </c>
      <c r="C7" t="s">
        <v>246</v>
      </c>
      <c r="D7" t="s">
        <v>285</v>
      </c>
      <c r="E7" t="s">
        <v>247</v>
      </c>
      <c r="F7" t="n">
        <v>4077.47040424709</v>
      </c>
      <c r="G7" t="n">
        <v>2051.28346547813</v>
      </c>
      <c r="H7" t="n">
        <v>1678.6013027606</v>
      </c>
      <c r="I7" t="n">
        <v>2452.71417148842</v>
      </c>
      <c r="J7" t="n">
        <v>2462.46978857632</v>
      </c>
      <c r="K7" t="n">
        <v>2694.34367471388</v>
      </c>
      <c r="L7" t="n">
        <v>2879.35761037766</v>
      </c>
      <c r="M7" t="n">
        <v>2712.07422505459</v>
      </c>
      <c r="N7" t="n">
        <v>2681.47831774107</v>
      </c>
      <c r="O7" t="n">
        <v>2731.66290861766</v>
      </c>
      <c r="P7" t="n">
        <v>2907.88402596532</v>
      </c>
      <c r="Q7" t="n">
        <v>3037.90848787968</v>
      </c>
      <c r="R7" t="n">
        <v>3038.02378727576</v>
      </c>
      <c r="S7" t="n">
        <v>2813.5907454163</v>
      </c>
      <c r="T7" t="n">
        <v>2208.04625932316</v>
      </c>
      <c r="U7" t="n">
        <v>2649.52189939257</v>
      </c>
      <c r="V7" t="n">
        <v>2593.47071358107</v>
      </c>
      <c r="W7" t="n">
        <v>2596.26772032377</v>
      </c>
      <c r="X7" t="n">
        <v>2128.63933522841</v>
      </c>
      <c r="Y7" t="n">
        <v>2312.99793751942</v>
      </c>
      <c r="Z7" t="n">
        <v>2727.68851666846</v>
      </c>
      <c r="AA7" t="n">
        <v>2718.05918809078</v>
      </c>
      <c r="AB7" t="n">
        <v>2931.29561194123</v>
      </c>
      <c r="AC7" t="n">
        <v>3495.98777419669</v>
      </c>
      <c r="AD7" t="n">
        <v>2888.75938363621</v>
      </c>
      <c r="AE7" t="n">
        <v>2381.9</v>
      </c>
      <c r="AF7" t="n">
        <v>2869.7</v>
      </c>
    </row>
    <row r="8">
      <c r="A8" t="s">
        <v>57</v>
      </c>
      <c r="B8" t="s">
        <v>286</v>
      </c>
      <c r="C8" t="s">
        <v>246</v>
      </c>
      <c r="D8" t="s">
        <v>287</v>
      </c>
      <c r="E8" t="s">
        <v>247</v>
      </c>
      <c r="F8" t="n">
        <v>716.601376317932</v>
      </c>
      <c r="G8" t="n">
        <v>1031.05771737829</v>
      </c>
      <c r="H8" t="n">
        <v>665.070110636711</v>
      </c>
      <c r="I8" t="n">
        <v>1398.71075686615</v>
      </c>
      <c r="J8" t="n">
        <v>813.013426758213</v>
      </c>
      <c r="K8" t="n">
        <v>1363.05861056659</v>
      </c>
      <c r="L8" t="n">
        <v>1541.32248112866</v>
      </c>
      <c r="M8" t="n">
        <v>1211.61980643458</v>
      </c>
      <c r="N8" t="n">
        <v>1076.89934079861</v>
      </c>
      <c r="O8" t="n">
        <v>819.158900229814</v>
      </c>
      <c r="P8" t="n">
        <v>946.612735222674</v>
      </c>
      <c r="Q8" t="n">
        <v>1049.09267379356</v>
      </c>
      <c r="R8" t="n">
        <v>1282.12294028833</v>
      </c>
      <c r="S8" t="n">
        <v>1112.26051197564</v>
      </c>
      <c r="T8" t="n">
        <v>1327.93698529404</v>
      </c>
      <c r="U8" t="n">
        <v>1101.4848777591</v>
      </c>
      <c r="V8" t="n">
        <v>1074.37007955696</v>
      </c>
      <c r="W8" t="n">
        <v>1190.29279724252</v>
      </c>
      <c r="X8" t="n">
        <v>969.629169971634</v>
      </c>
      <c r="Y8" t="n">
        <v>941.617199514504</v>
      </c>
      <c r="Z8" t="n">
        <v>715.254032063649</v>
      </c>
      <c r="AA8" t="n">
        <v>871.948118233892</v>
      </c>
      <c r="AB8" t="n">
        <v>874.112528456458</v>
      </c>
      <c r="AC8" t="n">
        <v>706.993789045338</v>
      </c>
      <c r="AD8" t="n">
        <v>962.944469835466</v>
      </c>
      <c r="AE8" t="n">
        <v>652.5</v>
      </c>
      <c r="AF8" t="n">
        <v>652.3</v>
      </c>
    </row>
    <row r="9">
      <c r="A9" t="s">
        <v>57</v>
      </c>
      <c r="B9" t="s">
        <v>288</v>
      </c>
      <c r="C9" t="s">
        <v>246</v>
      </c>
      <c r="D9" t="s">
        <v>289</v>
      </c>
      <c r="E9" t="s">
        <v>247</v>
      </c>
      <c r="F9" t="n">
        <v>968.12827980311</v>
      </c>
      <c r="G9" t="n">
        <v>1363.12357850147</v>
      </c>
      <c r="H9" t="n">
        <v>2008.32771091664</v>
      </c>
      <c r="I9" t="n">
        <v>2235.73621436777</v>
      </c>
      <c r="J9" t="n">
        <v>2461.62205305091</v>
      </c>
      <c r="K9" t="n">
        <v>2465.7557592693</v>
      </c>
      <c r="L9" t="n">
        <v>2498.46914630192</v>
      </c>
      <c r="M9" t="n">
        <v>2434.10923084529</v>
      </c>
      <c r="N9" t="n">
        <v>2947.24119220282</v>
      </c>
      <c r="O9" t="n">
        <v>2331.02394653092</v>
      </c>
      <c r="P9" t="n">
        <v>2322.30411172942</v>
      </c>
      <c r="Q9" t="n">
        <v>2863.09052265462</v>
      </c>
      <c r="R9" t="n">
        <v>2761.53416518929</v>
      </c>
      <c r="S9" t="n">
        <v>2345.95323562379</v>
      </c>
      <c r="T9" t="n">
        <v>2323.4614968356</v>
      </c>
      <c r="U9" t="n">
        <v>2382.28330688207</v>
      </c>
      <c r="V9" t="n">
        <v>2348.8085999938</v>
      </c>
      <c r="W9" t="n">
        <v>2016.34565818056</v>
      </c>
      <c r="X9" t="n">
        <v>2229.9886460298</v>
      </c>
      <c r="Y9" t="n">
        <v>2562.47785037203</v>
      </c>
      <c r="Z9" t="n">
        <v>2338.83817311546</v>
      </c>
      <c r="AA9" t="n">
        <v>2558.18340355925</v>
      </c>
      <c r="AB9" t="n">
        <v>1948.40732960858</v>
      </c>
      <c r="AC9" t="n">
        <v>2250.43138997381</v>
      </c>
      <c r="AD9" t="n">
        <v>2118.9087092996</v>
      </c>
      <c r="AE9" t="n">
        <v>2120.2</v>
      </c>
      <c r="AF9" t="n">
        <v>2341.1</v>
      </c>
    </row>
    <row r="10">
      <c r="A10" t="s">
        <v>57</v>
      </c>
      <c r="B10" t="s">
        <v>290</v>
      </c>
      <c r="C10" t="s">
        <v>246</v>
      </c>
      <c r="D10" t="s">
        <v>291</v>
      </c>
      <c r="E10" t="s">
        <v>247</v>
      </c>
      <c r="F10" t="n">
        <v>1729.7825407289</v>
      </c>
      <c r="G10" t="n">
        <v>2297.38429769921</v>
      </c>
      <c r="H10" t="n">
        <v>3106.18179471605</v>
      </c>
      <c r="I10" t="n">
        <v>3884.3193406758</v>
      </c>
      <c r="J10" t="n">
        <v>4001.13502703535</v>
      </c>
      <c r="K10" t="n">
        <v>3822.70204703857</v>
      </c>
      <c r="L10" t="n">
        <v>3704.4093240861</v>
      </c>
      <c r="M10" t="n">
        <v>3940.85825781118</v>
      </c>
      <c r="N10" t="n">
        <v>4459.29949587967</v>
      </c>
      <c r="O10" t="n">
        <v>3590.90696052294</v>
      </c>
      <c r="P10" t="n">
        <v>3790.72889940016</v>
      </c>
      <c r="Q10" t="n">
        <v>4370.39201796827</v>
      </c>
      <c r="R10" t="n">
        <v>4180.15128348229</v>
      </c>
      <c r="S10" t="n">
        <v>3490.85983099551</v>
      </c>
      <c r="T10" t="n">
        <v>3560.17621955359</v>
      </c>
      <c r="U10" t="n">
        <v>3661.35391733982</v>
      </c>
      <c r="V10" t="n">
        <v>3615.60781229224</v>
      </c>
      <c r="W10" t="n">
        <v>3249.61504485815</v>
      </c>
      <c r="X10" t="n">
        <v>3602.63817797326</v>
      </c>
      <c r="Y10" t="n">
        <v>4226.50648289289</v>
      </c>
      <c r="Z10" t="n">
        <v>3959.45560717646</v>
      </c>
      <c r="AA10" t="n">
        <v>4372.76989373916</v>
      </c>
      <c r="AB10" t="n">
        <v>4246.83210579486</v>
      </c>
      <c r="AC10" t="n">
        <v>4219.66708867685</v>
      </c>
      <c r="AD10" t="n">
        <v>3816.81478590544</v>
      </c>
      <c r="AE10" t="n">
        <v>4042.5</v>
      </c>
      <c r="AF10" t="n">
        <v>4247.3</v>
      </c>
    </row>
    <row r="11">
      <c r="A11" t="s">
        <v>57</v>
      </c>
      <c r="B11" t="s">
        <v>292</v>
      </c>
      <c r="C11" t="s">
        <v>246</v>
      </c>
      <c r="D11" t="s">
        <v>293</v>
      </c>
      <c r="E11" t="s">
        <v>247</v>
      </c>
      <c r="F11" t="n">
        <v>761.706557458899</v>
      </c>
      <c r="G11" t="n">
        <v>927.288775793534</v>
      </c>
      <c r="H11" t="n">
        <v>1073.37138963516</v>
      </c>
      <c r="I11" t="n">
        <v>1642.88125823005</v>
      </c>
      <c r="J11" t="n">
        <v>1519.35010402444</v>
      </c>
      <c r="K11" t="n">
        <v>1327.42478504526</v>
      </c>
      <c r="L11" t="n">
        <v>1167.73251874206</v>
      </c>
      <c r="M11" t="n">
        <v>1488.73023711059</v>
      </c>
      <c r="N11" t="n">
        <v>1472.64232439375</v>
      </c>
      <c r="O11" t="n">
        <v>1232.07387601505</v>
      </c>
      <c r="P11" t="n">
        <v>1453.12547850701</v>
      </c>
      <c r="Q11" t="n">
        <v>1467.95061204541</v>
      </c>
      <c r="R11" t="n">
        <v>1378.09704187823</v>
      </c>
      <c r="S11" t="n">
        <v>1105.75431599814</v>
      </c>
      <c r="T11" t="n">
        <v>1206.41183980543</v>
      </c>
      <c r="U11" t="n">
        <v>1248.45523402905</v>
      </c>
      <c r="V11" t="n">
        <v>1236.86433964571</v>
      </c>
      <c r="W11" t="n">
        <v>1214.00997926064</v>
      </c>
      <c r="X11" t="n">
        <v>1351.67327914601</v>
      </c>
      <c r="Y11" t="n">
        <v>1645.36447923419</v>
      </c>
      <c r="Z11" t="n">
        <v>1610.3640732663</v>
      </c>
      <c r="AA11" t="n">
        <v>1805.98216091523</v>
      </c>
      <c r="AB11" t="n">
        <v>2306.44147157915</v>
      </c>
      <c r="AC11" t="n">
        <v>1969.06668511581</v>
      </c>
      <c r="AD11" t="n">
        <v>1695.80207774446</v>
      </c>
      <c r="AE11" t="n">
        <v>1922.3</v>
      </c>
      <c r="AF11" t="n">
        <v>1906.2</v>
      </c>
    </row>
    <row r="12">
      <c r="A12" t="s">
        <v>57</v>
      </c>
      <c r="B12" t="s">
        <v>294</v>
      </c>
      <c r="C12" t="s">
        <v>246</v>
      </c>
      <c r="D12" t="s">
        <v>295</v>
      </c>
      <c r="E12" t="s">
        <v>247</v>
      </c>
      <c r="F12" t="n">
        <v>2920.3369643083</v>
      </c>
      <c r="G12" t="n">
        <v>2091.79188030549</v>
      </c>
      <c r="H12" t="n">
        <v>2223.45462650882</v>
      </c>
      <c r="I12" t="n">
        <v>2056.64141072928</v>
      </c>
      <c r="J12" t="n">
        <v>3052.95583219814</v>
      </c>
      <c r="K12" t="n">
        <v>3385.9727544152</v>
      </c>
      <c r="L12" t="n">
        <v>3211.135722598</v>
      </c>
      <c r="M12" t="n">
        <v>3214.34118711414</v>
      </c>
      <c r="N12" t="n">
        <v>3819.21381539581</v>
      </c>
      <c r="O12" t="n">
        <v>3807.10417154088</v>
      </c>
      <c r="P12" t="n">
        <v>3299.85271702707</v>
      </c>
      <c r="Q12" t="n">
        <v>4085.9420503682</v>
      </c>
      <c r="R12" t="n">
        <v>3845.72128635349</v>
      </c>
      <c r="S12" t="n">
        <v>4175.69066577794</v>
      </c>
      <c r="T12" t="n">
        <v>2549.99888364299</v>
      </c>
      <c r="U12" t="n">
        <v>3414.75519395451</v>
      </c>
      <c r="V12" t="n">
        <v>3314.40508467687</v>
      </c>
      <c r="W12" t="n">
        <v>3184.84692475165</v>
      </c>
      <c r="X12" t="n">
        <v>2890.57317390888</v>
      </c>
      <c r="Y12" t="n">
        <v>3065.70821218189</v>
      </c>
      <c r="Z12" t="n">
        <v>3382.14879092741</v>
      </c>
      <c r="AA12" t="n">
        <v>3579.48798533337</v>
      </c>
      <c r="AB12" t="n">
        <v>4119.8270604156</v>
      </c>
      <c r="AC12" t="n">
        <v>4321.45840336501</v>
      </c>
      <c r="AD12" t="n">
        <v>4162.35458707818</v>
      </c>
      <c r="AE12" t="n">
        <v>3522</v>
      </c>
      <c r="AF12" t="n">
        <v>4232.1</v>
      </c>
    </row>
    <row r="13">
      <c r="A13" t="s">
        <v>57</v>
      </c>
      <c r="B13" t="s">
        <v>296</v>
      </c>
      <c r="C13" t="s">
        <v>246</v>
      </c>
      <c r="D13" t="s">
        <v>297</v>
      </c>
      <c r="E13" t="s">
        <v>247</v>
      </c>
      <c r="F13" t="n">
        <v>4445.50845005059</v>
      </c>
      <c r="G13" t="n">
        <v>4591.42116692847</v>
      </c>
      <c r="H13" t="n">
        <v>4013.29991165253</v>
      </c>
      <c r="I13" t="n">
        <v>4893.98170308808</v>
      </c>
      <c r="J13" t="n">
        <v>4808.23574363628</v>
      </c>
      <c r="K13" t="n">
        <v>5340.56351214687</v>
      </c>
      <c r="L13" t="n">
        <v>5558.6688500925</v>
      </c>
      <c r="M13" t="n">
        <v>6278.80857104621</v>
      </c>
      <c r="N13" t="n">
        <v>5755.94017951268</v>
      </c>
      <c r="O13" t="n">
        <v>5643.24857961258</v>
      </c>
      <c r="P13" t="n">
        <v>5220.71243583563</v>
      </c>
      <c r="Q13" t="n">
        <v>5209.41668322576</v>
      </c>
      <c r="R13" t="n">
        <v>6410.04861633228</v>
      </c>
      <c r="S13" t="n">
        <v>5973.34140126289</v>
      </c>
      <c r="T13" t="n">
        <v>4921.84305273496</v>
      </c>
      <c r="U13" t="n">
        <v>5454.0591221468</v>
      </c>
      <c r="V13" t="n">
        <v>5278.22574170633</v>
      </c>
      <c r="W13" t="n">
        <v>5082.49943071482</v>
      </c>
      <c r="X13" t="n">
        <v>4158.26928695094</v>
      </c>
      <c r="Y13" t="n">
        <v>4808.73803206556</v>
      </c>
      <c r="Z13" t="n">
        <v>5295.36878237071</v>
      </c>
      <c r="AA13" t="n">
        <v>4955.28818652936</v>
      </c>
      <c r="AB13" t="n">
        <v>5148.34089424368</v>
      </c>
      <c r="AC13" t="n">
        <v>5912.75077810614</v>
      </c>
      <c r="AD13" t="n">
        <v>6660.60897937316</v>
      </c>
      <c r="AE13" t="n">
        <v>5496.6</v>
      </c>
      <c r="AF13" t="n">
        <v>7074.1</v>
      </c>
    </row>
    <row r="14">
      <c r="A14" t="s">
        <v>57</v>
      </c>
      <c r="B14" t="s">
        <v>298</v>
      </c>
      <c r="C14" t="s">
        <v>246</v>
      </c>
      <c r="D14" t="s">
        <v>299</v>
      </c>
      <c r="E14" t="s">
        <v>247</v>
      </c>
      <c r="F14" t="n">
        <v>1877.23022365165</v>
      </c>
      <c r="G14" t="n">
        <v>1276.61771801549</v>
      </c>
      <c r="H14" t="n">
        <v>774.324436620017</v>
      </c>
      <c r="I14" t="n">
        <v>1921.94805310682</v>
      </c>
      <c r="J14" t="n">
        <v>1504.59670539719</v>
      </c>
      <c r="K14" t="n">
        <v>1352.5560017389</v>
      </c>
      <c r="L14" t="n">
        <v>1972.15425234286</v>
      </c>
      <c r="M14" t="n">
        <v>1098.24105660906</v>
      </c>
      <c r="N14" t="n">
        <v>1288.34712186155</v>
      </c>
      <c r="O14" t="n">
        <v>1468.54803816878</v>
      </c>
      <c r="P14" t="n">
        <v>1628.12676416312</v>
      </c>
      <c r="Q14" t="n">
        <v>1731.46041199627</v>
      </c>
      <c r="R14" t="n">
        <v>1829.46551804806</v>
      </c>
      <c r="S14" t="n">
        <v>1204.1786468111</v>
      </c>
      <c r="T14" t="n">
        <v>1589.60232864629</v>
      </c>
      <c r="U14" t="n">
        <v>1485.29114083595</v>
      </c>
      <c r="V14" t="n">
        <v>1441.30358826367</v>
      </c>
      <c r="W14" t="n">
        <v>1281.04042606664</v>
      </c>
      <c r="X14" t="n">
        <v>857.934986891153</v>
      </c>
      <c r="Y14" t="n">
        <v>925.829878662767</v>
      </c>
      <c r="Z14" t="n">
        <v>826.465900036394</v>
      </c>
      <c r="AA14" t="n">
        <v>976.937429399339</v>
      </c>
      <c r="AB14" t="n">
        <v>1398.71446172978</v>
      </c>
      <c r="AC14" t="n">
        <v>1536.10635015311</v>
      </c>
      <c r="AD14" t="n">
        <v>1512.07155222158</v>
      </c>
      <c r="AE14" t="n">
        <v>1548</v>
      </c>
      <c r="AF14" t="n">
        <v>1806.3</v>
      </c>
    </row>
    <row r="15">
      <c r="A15" t="s">
        <v>57</v>
      </c>
      <c r="B15" t="s">
        <v>300</v>
      </c>
      <c r="C15" t="s">
        <v>246</v>
      </c>
      <c r="D15" t="s">
        <v>301</v>
      </c>
      <c r="E15" t="s">
        <v>247</v>
      </c>
      <c r="F15" t="n">
        <v>2315.44024276831</v>
      </c>
      <c r="G15" t="n">
        <v>2856.2338268517</v>
      </c>
      <c r="H15" t="n">
        <v>1994.05551429545</v>
      </c>
      <c r="I15" t="n">
        <v>3203.88930630928</v>
      </c>
      <c r="J15" t="n">
        <v>2922.22203428974</v>
      </c>
      <c r="K15" t="n">
        <v>2981.53458380841</v>
      </c>
      <c r="L15" t="n">
        <v>3647.53003365451</v>
      </c>
      <c r="M15" t="n">
        <v>2662.40229370885</v>
      </c>
      <c r="N15" t="n">
        <v>2738.11591936848</v>
      </c>
      <c r="O15" t="n">
        <v>3126.75395999674</v>
      </c>
      <c r="P15" t="n">
        <v>3248.38236631564</v>
      </c>
      <c r="Q15" t="n">
        <v>3437.93090788669</v>
      </c>
      <c r="R15" t="n">
        <v>3734.0729708771</v>
      </c>
      <c r="S15" t="n">
        <v>2873.47274496208</v>
      </c>
      <c r="T15" t="n">
        <v>2817.85432357615</v>
      </c>
      <c r="U15" t="n">
        <v>3022.17700309284</v>
      </c>
      <c r="V15" t="n">
        <v>2953.5733549826</v>
      </c>
      <c r="W15" t="n">
        <v>2398.53800375728</v>
      </c>
      <c r="X15" t="n">
        <v>1810.47443872351</v>
      </c>
      <c r="Y15" t="n">
        <v>1907.19163974583</v>
      </c>
      <c r="Z15" t="n">
        <v>1854.59460071999</v>
      </c>
      <c r="AA15" t="n">
        <v>2118.0709746218</v>
      </c>
      <c r="AB15" t="n">
        <v>2769.73745518465</v>
      </c>
      <c r="AC15" t="n">
        <v>2858.9789041994</v>
      </c>
      <c r="AD15" t="n">
        <v>2764.19885773624</v>
      </c>
      <c r="AE15" t="n">
        <v>2675.3</v>
      </c>
      <c r="AF15" t="n">
        <v>3173.8</v>
      </c>
    </row>
    <row r="16">
      <c r="A16" t="s">
        <v>57</v>
      </c>
      <c r="B16" t="s">
        <v>302</v>
      </c>
      <c r="C16" t="s">
        <v>246</v>
      </c>
      <c r="D16" t="s">
        <v>303</v>
      </c>
      <c r="E16" t="s">
        <v>247</v>
      </c>
      <c r="F16" t="n">
        <v>382.870907926555</v>
      </c>
      <c r="G16" t="n">
        <v>1586.36394734494</v>
      </c>
      <c r="H16" t="n">
        <v>1232.82416435551</v>
      </c>
      <c r="I16" t="n">
        <v>1254.07539148579</v>
      </c>
      <c r="J16" t="n">
        <v>1410.5517994104</v>
      </c>
      <c r="K16" t="n">
        <v>1635.40200926117</v>
      </c>
      <c r="L16" t="n">
        <v>1659.07640025238</v>
      </c>
      <c r="M16" t="n">
        <v>1577.87482476347</v>
      </c>
      <c r="N16" t="n">
        <v>1452.58183334905</v>
      </c>
      <c r="O16" t="n">
        <v>1661.58898110061</v>
      </c>
      <c r="P16" t="n">
        <v>1618.40034251854</v>
      </c>
      <c r="Q16" t="n">
        <v>1704.17920333597</v>
      </c>
      <c r="R16" t="n">
        <v>1904.05632493446</v>
      </c>
      <c r="S16" t="n">
        <v>1674.50049488378</v>
      </c>
      <c r="T16" t="n">
        <v>1224.67589947013</v>
      </c>
      <c r="U16" t="n">
        <v>1536.08843889733</v>
      </c>
      <c r="V16" t="n">
        <v>1511.51628933559</v>
      </c>
      <c r="W16" t="n">
        <v>1116.51553145945</v>
      </c>
      <c r="X16" t="n">
        <v>952.279160582088</v>
      </c>
      <c r="Y16" t="n">
        <v>981.037148506746</v>
      </c>
      <c r="Z16" t="n">
        <v>1027.90264675062</v>
      </c>
      <c r="AA16" t="n">
        <v>1140.82513865371</v>
      </c>
      <c r="AB16" t="n">
        <v>1371.09287986734</v>
      </c>
      <c r="AC16" t="n">
        <v>1322.90231001288</v>
      </c>
      <c r="AD16" t="n">
        <v>1252.05969033166</v>
      </c>
      <c r="AE16" t="n">
        <v>1127.3</v>
      </c>
      <c r="AF16" t="n">
        <v>1367.5</v>
      </c>
    </row>
    <row r="17">
      <c r="A17" t="s">
        <v>57</v>
      </c>
      <c r="B17" t="s">
        <v>304</v>
      </c>
      <c r="C17" t="s">
        <v>246</v>
      </c>
      <c r="D17" t="s">
        <v>305</v>
      </c>
      <c r="E17" t="s">
        <v>247</v>
      </c>
      <c r="F17" t="n">
        <v>1547.76421937841</v>
      </c>
      <c r="G17" t="n">
        <v>1705.58198778431</v>
      </c>
      <c r="H17" t="n">
        <v>2176.91730118054</v>
      </c>
      <c r="I17" t="n">
        <v>1836.42254479683</v>
      </c>
      <c r="J17" t="n">
        <v>2446.94463166548</v>
      </c>
      <c r="K17" t="n">
        <v>2873.9257099173</v>
      </c>
      <c r="L17" t="n">
        <v>2502.80517925755</v>
      </c>
      <c r="M17" t="n">
        <v>2876.62594508621</v>
      </c>
      <c r="N17" t="n">
        <v>2315.61232793507</v>
      </c>
      <c r="O17" t="n">
        <v>2508.82576551633</v>
      </c>
      <c r="P17" t="n">
        <v>2759.94053325403</v>
      </c>
      <c r="Q17" t="n">
        <v>2679.58210143631</v>
      </c>
      <c r="R17" t="n">
        <v>2938.16211401468</v>
      </c>
      <c r="S17" t="n">
        <v>3084.34044223839</v>
      </c>
      <c r="T17" t="n">
        <v>2045.11319957011</v>
      </c>
      <c r="U17" t="n">
        <v>2486.72840802356</v>
      </c>
      <c r="V17" t="n">
        <v>2434.65032618014</v>
      </c>
      <c r="W17" t="n">
        <v>2211.31866386983</v>
      </c>
      <c r="X17" t="n">
        <v>2409.78217938908</v>
      </c>
      <c r="Y17" t="n">
        <v>2511.35382837596</v>
      </c>
      <c r="Z17" t="n">
        <v>2787.92508880719</v>
      </c>
      <c r="AA17" t="n">
        <v>2770.75768709437</v>
      </c>
      <c r="AB17" t="n">
        <v>3212.40907264131</v>
      </c>
      <c r="AC17" t="n">
        <v>3769.2427824166</v>
      </c>
      <c r="AD17" t="n">
        <v>2787.6534347275</v>
      </c>
      <c r="AE17" t="n">
        <v>2724.8</v>
      </c>
      <c r="AF17" t="n">
        <v>3435.3</v>
      </c>
    </row>
    <row r="18">
      <c r="A18" t="s">
        <v>57</v>
      </c>
      <c r="B18" t="s">
        <v>306</v>
      </c>
      <c r="C18" t="s">
        <v>246</v>
      </c>
      <c r="D18" t="s">
        <v>307</v>
      </c>
      <c r="E18" t="s">
        <v>247</v>
      </c>
      <c r="F18" t="n">
        <v>2927.04014320882</v>
      </c>
      <c r="G18" t="n">
        <v>2943.05239782156</v>
      </c>
      <c r="H18" t="n">
        <v>3505.06184953091</v>
      </c>
      <c r="I18" t="n">
        <v>2950.49350229439</v>
      </c>
      <c r="J18" t="n">
        <v>3603.94933124279</v>
      </c>
      <c r="K18" t="n">
        <v>4258.35198622567</v>
      </c>
      <c r="L18" t="n">
        <v>3903.16066808772</v>
      </c>
      <c r="M18" t="n">
        <v>4467.10625427794</v>
      </c>
      <c r="N18" t="n">
        <v>3774.79817923484</v>
      </c>
      <c r="O18" t="n">
        <v>3664.99869311197</v>
      </c>
      <c r="P18" t="n">
        <v>4581.33542650524</v>
      </c>
      <c r="Q18" t="n">
        <v>5068.95826469732</v>
      </c>
      <c r="R18" t="n">
        <v>4217.04584435834</v>
      </c>
      <c r="S18" t="n">
        <v>5045.58550596432</v>
      </c>
      <c r="T18" t="n">
        <v>4039.44842380197</v>
      </c>
      <c r="U18" t="n">
        <v>4000.69733315605</v>
      </c>
      <c r="V18" t="n">
        <v>3915.70741633077</v>
      </c>
      <c r="W18" t="n">
        <v>4523.84462686813</v>
      </c>
      <c r="X18" t="n">
        <v>5349.27816167648</v>
      </c>
      <c r="Y18" t="n">
        <v>5532.12666777485</v>
      </c>
      <c r="Z18" t="n">
        <v>6445.21612896123</v>
      </c>
      <c r="AA18" t="n">
        <v>6865.70346384228</v>
      </c>
      <c r="AB18" t="n">
        <v>5698.24358327822</v>
      </c>
      <c r="AC18" t="n">
        <v>5777.24104885921</v>
      </c>
      <c r="AD18" t="n">
        <v>5922.73211009174</v>
      </c>
      <c r="AE18" t="n">
        <v>5892.6</v>
      </c>
      <c r="AF18" t="n">
        <v>6371.4</v>
      </c>
    </row>
    <row r="19">
      <c r="A19" t="s">
        <v>57</v>
      </c>
      <c r="B19" t="s">
        <v>308</v>
      </c>
      <c r="C19" t="s">
        <v>246</v>
      </c>
      <c r="D19" t="s">
        <v>309</v>
      </c>
      <c r="E19" t="s">
        <v>247</v>
      </c>
      <c r="F19" t="n">
        <v>1330.63583794417</v>
      </c>
      <c r="G19" t="n">
        <v>1097.42629984771</v>
      </c>
      <c r="H19" t="n">
        <v>1304.76713044718</v>
      </c>
      <c r="I19" t="n">
        <v>1292.39607986825</v>
      </c>
      <c r="J19" t="n">
        <v>1134.79601246833</v>
      </c>
      <c r="K19" t="n">
        <v>1540.78403226334</v>
      </c>
      <c r="L19" t="n">
        <v>1511.13913734157</v>
      </c>
      <c r="M19" t="n">
        <v>1732.99375044052</v>
      </c>
      <c r="N19" t="n">
        <v>1604.62384300048</v>
      </c>
      <c r="O19" t="n">
        <v>1490.10999233039</v>
      </c>
      <c r="P19" t="n">
        <v>1475.06431283064</v>
      </c>
      <c r="Q19" t="n">
        <v>1652.49088886547</v>
      </c>
      <c r="R19" t="n">
        <v>1793.11863328397</v>
      </c>
      <c r="S19" t="n">
        <v>1481.15396939947</v>
      </c>
      <c r="T19" t="n">
        <v>1428.56274985179</v>
      </c>
      <c r="U19" t="n">
        <v>1465.61008554638</v>
      </c>
      <c r="V19" t="n">
        <v>1445.27553398108</v>
      </c>
      <c r="W19" t="n">
        <v>1191.25676675762</v>
      </c>
      <c r="X19" t="n">
        <v>1138.56457672758</v>
      </c>
      <c r="Y19" t="n">
        <v>1143.27934676096</v>
      </c>
      <c r="Z19" t="n">
        <v>1289.08407042817</v>
      </c>
      <c r="AA19" t="n">
        <v>1314.38613045786</v>
      </c>
      <c r="AB19" t="n">
        <v>1460.70342163612</v>
      </c>
      <c r="AC19" t="n">
        <v>1638.56345645387</v>
      </c>
      <c r="AD19" t="n">
        <v>1754.79952708811</v>
      </c>
      <c r="AE19" t="n">
        <v>1423.3</v>
      </c>
      <c r="AF19" t="n">
        <v>1820.7</v>
      </c>
    </row>
    <row r="20">
      <c r="A20" t="s">
        <v>57</v>
      </c>
      <c r="B20" t="s">
        <v>310</v>
      </c>
      <c r="C20" t="s">
        <v>246</v>
      </c>
      <c r="D20" t="s">
        <v>311</v>
      </c>
      <c r="E20" t="s">
        <v>247</v>
      </c>
      <c r="F20" t="n">
        <v>5438.5838871078</v>
      </c>
      <c r="G20" t="n">
        <v>5611.6959828736</v>
      </c>
      <c r="H20" t="n">
        <v>6571.36866825415</v>
      </c>
      <c r="I20" t="n">
        <v>8046.791577499</v>
      </c>
      <c r="J20" t="n">
        <v>8517.80391081978</v>
      </c>
      <c r="K20" t="n">
        <v>7695.07157775088</v>
      </c>
      <c r="L20" t="n">
        <v>6870.302400881</v>
      </c>
      <c r="M20" t="n">
        <v>7575.67476312219</v>
      </c>
      <c r="N20" t="n">
        <v>7872.261043054</v>
      </c>
      <c r="O20" t="n">
        <v>6687.20873861052</v>
      </c>
      <c r="P20" t="n">
        <v>8024.48599958466</v>
      </c>
      <c r="Q20" t="n">
        <v>8079.68906250354</v>
      </c>
      <c r="R20" t="n">
        <v>8385.5798694459</v>
      </c>
      <c r="S20" t="n">
        <v>9796.83724760632</v>
      </c>
      <c r="T20" t="n">
        <v>6734.4586163675</v>
      </c>
      <c r="U20" t="n">
        <v>7491.35298931205</v>
      </c>
      <c r="V20" t="n">
        <v>7362.03595888089</v>
      </c>
      <c r="W20" t="n">
        <v>6839.73006895022</v>
      </c>
      <c r="X20" t="n">
        <v>8283.85324460563</v>
      </c>
      <c r="Y20" t="n">
        <v>5805.6293659893</v>
      </c>
      <c r="Z20" t="n">
        <v>4196.78307237804</v>
      </c>
      <c r="AA20" t="n">
        <v>5789.10183000457</v>
      </c>
      <c r="AB20" t="n">
        <v>3187.9815852571</v>
      </c>
      <c r="AC20" t="n">
        <v>3383.37400499867</v>
      </c>
      <c r="AD20" t="n">
        <v>3193.7204890226</v>
      </c>
      <c r="AE20" t="n">
        <v>3089.6</v>
      </c>
      <c r="AF20" t="n">
        <v>4083.5</v>
      </c>
    </row>
    <row r="21">
      <c r="A21" t="s">
        <v>57</v>
      </c>
      <c r="B21" t="s">
        <v>312</v>
      </c>
      <c r="C21" t="s">
        <v>246</v>
      </c>
      <c r="D21" t="s">
        <v>313</v>
      </c>
      <c r="E21" t="s">
        <v>247</v>
      </c>
      <c r="F21" t="n">
        <v>7142.53369942991</v>
      </c>
      <c r="G21" t="n">
        <v>7367.92904410189</v>
      </c>
      <c r="H21" t="n">
        <v>8637.51107212596</v>
      </c>
      <c r="I21" t="n">
        <v>10296.0059390625</v>
      </c>
      <c r="J21" t="n">
        <v>10903.5896117686</v>
      </c>
      <c r="K21" t="n">
        <v>9734.47457911076</v>
      </c>
      <c r="L21" t="n">
        <v>9209.38516466222</v>
      </c>
      <c r="M21" t="n">
        <v>9907.527218136</v>
      </c>
      <c r="N21" t="n">
        <v>10235.8021173709</v>
      </c>
      <c r="O21" t="n">
        <v>9340.03939045553</v>
      </c>
      <c r="P21" t="n">
        <v>10313.202774761</v>
      </c>
      <c r="Q21" t="n">
        <v>10981.2274442886</v>
      </c>
      <c r="R21" t="n">
        <v>11069.377133266</v>
      </c>
      <c r="S21" t="n">
        <v>12163.9734229003</v>
      </c>
      <c r="T21" t="n">
        <v>8908.28262477471</v>
      </c>
      <c r="U21" t="n">
        <v>9873.95666196952</v>
      </c>
      <c r="V21" t="n">
        <v>9688.78053487129</v>
      </c>
      <c r="W21" t="n">
        <v>9811.87791163597</v>
      </c>
      <c r="X21" t="n">
        <v>10350.6831444193</v>
      </c>
      <c r="Y21" t="n">
        <v>7872.75814086171</v>
      </c>
      <c r="Z21" t="n">
        <v>6738.01243623299</v>
      </c>
      <c r="AA21" t="n">
        <v>8500.82250645774</v>
      </c>
      <c r="AB21" t="n">
        <v>6124.72848668512</v>
      </c>
      <c r="AC21" t="n">
        <v>6768.48858503469</v>
      </c>
      <c r="AD21" t="n">
        <v>6750.49998941687</v>
      </c>
      <c r="AE21" t="n">
        <v>6554.2</v>
      </c>
      <c r="AF21" t="n">
        <v>8113.2</v>
      </c>
    </row>
    <row r="22">
      <c r="A22" t="s">
        <v>57</v>
      </c>
      <c r="B22" t="s">
        <v>314</v>
      </c>
      <c r="C22" t="s">
        <v>246</v>
      </c>
      <c r="D22" t="s">
        <v>315</v>
      </c>
      <c r="E22" t="s">
        <v>247</v>
      </c>
      <c r="F22" t="n">
        <v>1700.94198348994</v>
      </c>
      <c r="G22" t="n">
        <v>1753.09503645028</v>
      </c>
      <c r="H22" t="n">
        <v>2062.61417024941</v>
      </c>
      <c r="I22" t="n">
        <v>2240.88350824448</v>
      </c>
      <c r="J22" t="n">
        <v>2377.03557517325</v>
      </c>
      <c r="K22" t="n">
        <v>2030.25046526765</v>
      </c>
      <c r="L22" t="n">
        <v>2335.78214554966</v>
      </c>
      <c r="M22" t="n">
        <v>2327.05920570461</v>
      </c>
      <c r="N22" t="n">
        <v>2358.48798309192</v>
      </c>
      <c r="O22" t="n">
        <v>2651.24261385299</v>
      </c>
      <c r="P22" t="n">
        <v>2284.63910529273</v>
      </c>
      <c r="Q22" t="n">
        <v>2898.45958095857</v>
      </c>
      <c r="R22" t="n">
        <v>2680.78870333717</v>
      </c>
      <c r="S22" t="n">
        <v>2369.62872691542</v>
      </c>
      <c r="T22" t="n">
        <v>2170.80769785934</v>
      </c>
      <c r="U22" t="n">
        <v>2379.43843164576</v>
      </c>
      <c r="V22" t="n">
        <v>2323.67627626957</v>
      </c>
      <c r="W22" t="n">
        <v>2970.10216866857</v>
      </c>
      <c r="X22" t="n">
        <v>2062.63993277032</v>
      </c>
      <c r="Y22" t="n">
        <v>2064.62625607101</v>
      </c>
      <c r="Z22" t="n">
        <v>2537.894798482</v>
      </c>
      <c r="AA22" t="n">
        <v>2708.92948875908</v>
      </c>
      <c r="AB22" t="n">
        <v>2936.82388452148</v>
      </c>
      <c r="AC22" t="n">
        <v>3385.08987340812</v>
      </c>
      <c r="AD22" t="n">
        <v>3556.73252715133</v>
      </c>
      <c r="AE22" t="n">
        <v>3464.6</v>
      </c>
      <c r="AF22" t="n">
        <v>4029.7</v>
      </c>
    </row>
    <row r="23">
      <c r="A23" t="s">
        <v>57</v>
      </c>
      <c r="B23" t="s">
        <v>316</v>
      </c>
      <c r="C23" t="s">
        <v>246</v>
      </c>
      <c r="D23" t="s">
        <v>317</v>
      </c>
      <c r="E23" t="s">
        <v>247</v>
      </c>
      <c r="F23" t="n">
        <v>4038.54202875667</v>
      </c>
      <c r="G23" t="n">
        <v>3613.08551396405</v>
      </c>
      <c r="H23" t="n">
        <v>3970.11254849809</v>
      </c>
      <c r="I23" t="n">
        <v>5285.43114150579</v>
      </c>
      <c r="J23" t="n">
        <v>3934.35504291087</v>
      </c>
      <c r="K23" t="n">
        <v>4857.79181278852</v>
      </c>
      <c r="L23" t="n">
        <v>5617.8008027509</v>
      </c>
      <c r="M23" t="n">
        <v>5243.9031529549</v>
      </c>
      <c r="N23" t="n">
        <v>5891.44123560572</v>
      </c>
      <c r="O23" t="n">
        <v>4751.47401462116</v>
      </c>
      <c r="P23" t="n">
        <v>5439.27548961912</v>
      </c>
      <c r="Q23" t="n">
        <v>6130.24371029056</v>
      </c>
      <c r="R23" t="n">
        <v>6473.8872340247</v>
      </c>
      <c r="S23" t="n">
        <v>5661.84088729381</v>
      </c>
      <c r="T23" t="n">
        <v>4119.81781135412</v>
      </c>
      <c r="U23" t="n">
        <v>5441.47219816512</v>
      </c>
      <c r="V23" t="n">
        <v>5145.79365293531</v>
      </c>
      <c r="W23" t="n">
        <v>3485.51109710606</v>
      </c>
      <c r="X23" t="n">
        <v>3132.37626359632</v>
      </c>
      <c r="Y23" t="n">
        <v>3196.71674786045</v>
      </c>
      <c r="Z23" t="n">
        <v>3194.20692062923</v>
      </c>
      <c r="AA23" t="n">
        <v>3444.38711532576</v>
      </c>
      <c r="AB23" t="n">
        <v>4736.46127533509</v>
      </c>
      <c r="AC23" t="n">
        <v>3633.77550906608</v>
      </c>
      <c r="AD23" t="n">
        <v>3846.0789071894</v>
      </c>
      <c r="AE23" t="n">
        <v>3515.3</v>
      </c>
      <c r="AF23" t="n">
        <v>4463.3</v>
      </c>
    </row>
    <row r="24">
      <c r="A24" t="s">
        <v>57</v>
      </c>
      <c r="B24" t="s">
        <v>318</v>
      </c>
      <c r="C24" t="s">
        <v>246</v>
      </c>
      <c r="D24" t="s">
        <v>319</v>
      </c>
      <c r="E24" t="s">
        <v>247</v>
      </c>
      <c r="F24" t="n">
        <v>6635.61259782585</v>
      </c>
      <c r="G24" t="n">
        <v>7339.71416403112</v>
      </c>
      <c r="H24" t="n">
        <v>8862.57797788638</v>
      </c>
      <c r="I24" t="n">
        <v>7320.2335569108</v>
      </c>
      <c r="J24" t="n">
        <v>8369.3499301976</v>
      </c>
      <c r="K24" t="n">
        <v>10021.3594001604</v>
      </c>
      <c r="L24" t="n">
        <v>9469.8152955815</v>
      </c>
      <c r="M24" t="n">
        <v>10185.5159779735</v>
      </c>
      <c r="N24" t="n">
        <v>8973.39974178879</v>
      </c>
      <c r="O24" t="n">
        <v>10206.0704879785</v>
      </c>
      <c r="P24" t="n">
        <v>10369.6516282614</v>
      </c>
      <c r="Q24" t="n">
        <v>11121.0043690518</v>
      </c>
      <c r="R24" t="n">
        <v>11675.658178116</v>
      </c>
      <c r="S24" t="n">
        <v>9558.10770133008</v>
      </c>
      <c r="T24" t="n">
        <v>8867.66314232483</v>
      </c>
      <c r="U24" t="n">
        <v>9456.00978756141</v>
      </c>
      <c r="V24" t="n">
        <v>9419.53135069333</v>
      </c>
      <c r="W24" t="n">
        <v>7632.39703297504</v>
      </c>
      <c r="X24" t="n">
        <v>7535.20681542034</v>
      </c>
      <c r="Y24" t="n">
        <v>6985.73083372715</v>
      </c>
      <c r="Z24" t="n">
        <v>7794.46719636669</v>
      </c>
      <c r="AA24" t="n">
        <v>8519.40493621987</v>
      </c>
      <c r="AB24" t="n">
        <v>9220.45041547931</v>
      </c>
      <c r="AC24" t="n">
        <v>10248.5440161055</v>
      </c>
      <c r="AD24" t="n">
        <v>9042.38933132153</v>
      </c>
      <c r="AE24" t="n">
        <v>8013.9</v>
      </c>
      <c r="AF24" t="n">
        <v>7726.7</v>
      </c>
    </row>
    <row r="25">
      <c r="A25" t="s">
        <v>57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57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57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57</v>
      </c>
      <c r="B28" t="s">
        <v>326</v>
      </c>
      <c r="C28" t="s">
        <v>246</v>
      </c>
      <c r="D28" t="s">
        <v>327</v>
      </c>
      <c r="E28" t="s">
        <v>247</v>
      </c>
      <c r="F28" t="n">
        <v>1848.73878766129</v>
      </c>
      <c r="G28" t="n">
        <v>2207.71084482548</v>
      </c>
      <c r="H28" t="n">
        <v>3200.31608628487</v>
      </c>
      <c r="I28" t="n">
        <v>3373.39597048481</v>
      </c>
      <c r="J28" t="n">
        <v>3879.0417298188</v>
      </c>
      <c r="K28" t="n">
        <v>3570.8880844702</v>
      </c>
      <c r="L28" t="n">
        <v>3626.07719556525</v>
      </c>
      <c r="M28" t="n">
        <v>4305.3139161582</v>
      </c>
      <c r="N28" t="n">
        <v>3313.48562986458</v>
      </c>
      <c r="O28" t="n">
        <v>3797.57474925132</v>
      </c>
      <c r="P28" t="n">
        <v>4354.4888180808</v>
      </c>
      <c r="Q28" t="n">
        <v>4408.25526581823</v>
      </c>
      <c r="R28" t="n">
        <v>4907.45979658783</v>
      </c>
      <c r="S28" t="n">
        <v>3700.96828902706</v>
      </c>
      <c r="T28" t="n">
        <v>4327.94913114579</v>
      </c>
      <c r="U28" t="n">
        <v>3996.35643936503</v>
      </c>
      <c r="V28" t="n">
        <v>3788.45790975014</v>
      </c>
      <c r="W28" t="n">
        <v>2905.74435804429</v>
      </c>
      <c r="X28" t="n">
        <v>2826.93228806011</v>
      </c>
      <c r="Y28" t="n">
        <v>3458.85205144025</v>
      </c>
      <c r="Z28" t="n">
        <v>2500.04760133186</v>
      </c>
      <c r="AA28" t="n">
        <v>2120.56883127604</v>
      </c>
      <c r="AB28" t="n">
        <v>2558.64949509978</v>
      </c>
      <c r="AC28" t="n">
        <v>2615.91532665605</v>
      </c>
      <c r="AD28" t="n">
        <v>3337.77833435353</v>
      </c>
      <c r="AE28" t="n">
        <v>2914.3</v>
      </c>
      <c r="AF28" t="n">
        <v>3160.9</v>
      </c>
    </row>
    <row r="29">
      <c r="A29" t="s">
        <v>57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57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57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57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57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57</v>
      </c>
      <c r="B34" t="s">
        <v>338</v>
      </c>
      <c r="C34" t="s">
        <v>246</v>
      </c>
      <c r="D34" t="s">
        <v>339</v>
      </c>
      <c r="E34" t="s">
        <v>247</v>
      </c>
      <c r="F34" t="n">
        <v>2615.30139953369</v>
      </c>
      <c r="G34" t="n">
        <v>2884.85884125866</v>
      </c>
      <c r="H34" t="n">
        <v>1705.73919477144</v>
      </c>
      <c r="I34" t="n">
        <v>2516.76152142134</v>
      </c>
      <c r="J34" t="n">
        <v>2595.69544655149</v>
      </c>
      <c r="K34" t="n">
        <v>3361.28973392762</v>
      </c>
      <c r="L34" t="n">
        <v>3294.34447177618</v>
      </c>
      <c r="M34" t="n">
        <v>3168.14036188702</v>
      </c>
      <c r="N34" t="n">
        <v>3031.59411939054</v>
      </c>
      <c r="O34" t="n">
        <v>3281.52200321126</v>
      </c>
      <c r="P34" t="n">
        <v>3557.33462809087</v>
      </c>
      <c r="Q34" t="n">
        <v>3631.78401062088</v>
      </c>
      <c r="R34" t="n">
        <v>4232.99008124099</v>
      </c>
      <c r="S34" t="n">
        <v>3800.09665634393</v>
      </c>
      <c r="T34" t="n">
        <v>3249.23256770772</v>
      </c>
      <c r="U34" t="n">
        <v>3219.88087332915</v>
      </c>
      <c r="V34" t="n">
        <v>3242.16413483744</v>
      </c>
      <c r="W34" t="n">
        <v>2692.81626289413</v>
      </c>
      <c r="X34" t="n">
        <v>2563.29428250723</v>
      </c>
      <c r="Y34" t="n">
        <v>2454.4646153378</v>
      </c>
      <c r="Z34" t="n">
        <v>2053.97101540326</v>
      </c>
      <c r="AA34" t="n">
        <v>2247.05201786053</v>
      </c>
      <c r="AB34" t="n">
        <v>2191.86055588685</v>
      </c>
      <c r="AC34" t="n">
        <v>2366.79918569939</v>
      </c>
      <c r="AD34" t="n">
        <v>2667.07225602236</v>
      </c>
      <c r="AE34" t="n">
        <v>2396.1</v>
      </c>
      <c r="AF34" t="n">
        <v>2771.5</v>
      </c>
    </row>
    <row r="35">
      <c r="A35" t="s">
        <v>57</v>
      </c>
      <c r="B35" t="s">
        <v>340</v>
      </c>
      <c r="C35" t="s">
        <v>246</v>
      </c>
      <c r="D35" t="s">
        <v>341</v>
      </c>
      <c r="E35" t="s">
        <v>247</v>
      </c>
      <c r="F35" t="n">
        <v>408.586899641016</v>
      </c>
      <c r="G35" t="n">
        <v>439.081534611702</v>
      </c>
      <c r="H35" t="n">
        <v>508.935415118109</v>
      </c>
      <c r="I35" t="n">
        <v>495.112228783617</v>
      </c>
      <c r="J35" t="n">
        <v>524.984470879</v>
      </c>
      <c r="K35" t="n">
        <v>544.644509577804</v>
      </c>
      <c r="L35" t="n">
        <v>540.613837906553</v>
      </c>
      <c r="M35" t="n">
        <v>597.698522041645</v>
      </c>
      <c r="N35" t="n">
        <v>735.499029034956</v>
      </c>
      <c r="O35" t="n">
        <v>703.15509624009</v>
      </c>
      <c r="P35" t="n">
        <v>779.538129033583</v>
      </c>
      <c r="Q35" t="n">
        <v>726.158348084328</v>
      </c>
      <c r="R35" t="n">
        <v>888.856445732595</v>
      </c>
      <c r="S35" t="n">
        <v>791.30817178218</v>
      </c>
      <c r="T35" t="n">
        <v>738.11098376321</v>
      </c>
      <c r="U35" t="n">
        <v>802.750288850165</v>
      </c>
      <c r="V35" t="n">
        <v>736.693339619716</v>
      </c>
      <c r="W35" t="n">
        <v>756.963304289726</v>
      </c>
      <c r="X35" t="n">
        <v>710.652979778119</v>
      </c>
      <c r="Y35" t="n">
        <v>689.791910337456</v>
      </c>
      <c r="Z35" t="n">
        <v>666.983683968039</v>
      </c>
      <c r="AA35" t="n">
        <v>610.768658212191</v>
      </c>
      <c r="AB35" t="n">
        <v>808.382335114458</v>
      </c>
      <c r="AC35" t="n">
        <v>865.592761627525</v>
      </c>
      <c r="AD35" t="n">
        <v>882.855012690355</v>
      </c>
      <c r="AE35" t="n">
        <v>931</v>
      </c>
      <c r="AF35" t="n">
        <v>1166.3</v>
      </c>
    </row>
    <row r="36">
      <c r="A36" t="s">
        <v>57</v>
      </c>
      <c r="B36" t="s">
        <v>342</v>
      </c>
      <c r="C36" t="s">
        <v>246</v>
      </c>
      <c r="D36" t="s">
        <v>343</v>
      </c>
      <c r="E36" t="s">
        <v>247</v>
      </c>
      <c r="F36" t="n">
        <v>143.487213450338</v>
      </c>
      <c r="G36" t="n">
        <v>156.523218230134</v>
      </c>
      <c r="H36" t="n">
        <v>183.439526472887</v>
      </c>
      <c r="I36" t="n">
        <v>182.468479893868</v>
      </c>
      <c r="J36" t="n">
        <v>179.735860146665</v>
      </c>
      <c r="K36" t="n">
        <v>197.5579583268</v>
      </c>
      <c r="L36" t="n">
        <v>163.89024445742</v>
      </c>
      <c r="M36" t="n">
        <v>237.821805837266</v>
      </c>
      <c r="N36" t="n">
        <v>215.305099082765</v>
      </c>
      <c r="O36" t="n">
        <v>251.560446756198</v>
      </c>
      <c r="P36" t="n">
        <v>260.344503960909</v>
      </c>
      <c r="Q36" t="n">
        <v>301.346006510008</v>
      </c>
      <c r="R36" t="n">
        <v>340.686216237164</v>
      </c>
      <c r="S36" t="n">
        <v>313.199854842233</v>
      </c>
      <c r="T36" t="n">
        <v>295.735570024023</v>
      </c>
      <c r="U36" t="n">
        <v>358.847853682781</v>
      </c>
      <c r="V36" t="n">
        <v>306.656096088905</v>
      </c>
      <c r="W36" t="n">
        <v>238.361507003603</v>
      </c>
      <c r="X36" t="n">
        <v>250.033296879341</v>
      </c>
      <c r="Y36" t="n">
        <v>201.954089042586</v>
      </c>
      <c r="Z36" t="n">
        <v>192.44788192238</v>
      </c>
      <c r="AA36" t="n">
        <v>189.792019433006</v>
      </c>
      <c r="AB36" t="n">
        <v>244.889593701956</v>
      </c>
      <c r="AC36" t="n">
        <v>258.637434382316</v>
      </c>
      <c r="AD36" t="n">
        <v>238.284008643976</v>
      </c>
      <c r="AE36" t="n">
        <v>183.7</v>
      </c>
      <c r="AF36" t="n">
        <v>279.5</v>
      </c>
    </row>
    <row r="37">
      <c r="A37" t="s">
        <v>57</v>
      </c>
      <c r="B37" t="s">
        <v>344</v>
      </c>
      <c r="C37" t="s">
        <v>246</v>
      </c>
      <c r="D37" t="s">
        <v>345</v>
      </c>
      <c r="E37" t="s">
        <v>247</v>
      </c>
      <c r="F37" t="n">
        <v>47.7253541319769</v>
      </c>
      <c r="G37" t="n">
        <v>23.9183010218532</v>
      </c>
      <c r="H37" t="n">
        <v>47.4036916179715</v>
      </c>
      <c r="I37" t="n">
        <v>37.151265291294</v>
      </c>
      <c r="J37" t="n">
        <v>40.8109421707349</v>
      </c>
      <c r="K37" t="n">
        <v>35.9632335703437</v>
      </c>
      <c r="L37" t="n">
        <v>41.5824888157099</v>
      </c>
      <c r="M37" t="n">
        <v>62.0950302154167</v>
      </c>
      <c r="N37" t="n">
        <v>31.6541273034184</v>
      </c>
      <c r="O37" t="n">
        <v>70.4165498609379</v>
      </c>
      <c r="P37" t="n">
        <v>57.8905289722133</v>
      </c>
      <c r="Q37" t="n">
        <v>54.4643548085517</v>
      </c>
      <c r="R37" t="n">
        <v>78.5941322553785</v>
      </c>
      <c r="S37" t="n">
        <v>70.4240248027696</v>
      </c>
      <c r="T37" t="n">
        <v>42.8269679288387</v>
      </c>
      <c r="U37" t="n">
        <v>51.5765635272036</v>
      </c>
      <c r="V37" t="n">
        <v>48.646076963158</v>
      </c>
      <c r="W37" t="n">
        <v>69.2358118638434</v>
      </c>
      <c r="X37" t="n">
        <v>75.4907605992062</v>
      </c>
      <c r="Y37" t="n">
        <v>108.564948742244</v>
      </c>
      <c r="Z37" t="n">
        <v>142.682352614685</v>
      </c>
      <c r="AA37" t="n">
        <v>78.7316998571519</v>
      </c>
      <c r="AB37" t="n">
        <v>105.684894402844</v>
      </c>
      <c r="AC37" t="n">
        <v>98.7293986103347</v>
      </c>
      <c r="AD37" t="n">
        <v>128.328744939271</v>
      </c>
      <c r="AE37" t="n">
        <v>145.4</v>
      </c>
      <c r="AF37" t="n">
        <v>148.1</v>
      </c>
    </row>
    <row r="38">
      <c r="A38" t="s">
        <v>57</v>
      </c>
      <c r="B38" t="s">
        <v>346</v>
      </c>
      <c r="C38" t="s">
        <v>246</v>
      </c>
      <c r="D38" t="s">
        <v>347</v>
      </c>
      <c r="E38" t="s">
        <v>247</v>
      </c>
      <c r="F38" t="n">
        <v>220.230649711589</v>
      </c>
      <c r="G38" t="n">
        <v>261.404693748345</v>
      </c>
      <c r="H38" t="n">
        <v>280.462010233159</v>
      </c>
      <c r="I38" t="n">
        <v>276.812465147318</v>
      </c>
      <c r="J38" t="n">
        <v>309.352594996702</v>
      </c>
      <c r="K38" t="n">
        <v>313.292675355103</v>
      </c>
      <c r="L38" t="n">
        <v>346.17729659805</v>
      </c>
      <c r="M38" t="n">
        <v>294.924220100775</v>
      </c>
      <c r="N38" t="n">
        <v>502.603628756782</v>
      </c>
      <c r="O38" t="n">
        <v>385.802139325688</v>
      </c>
      <c r="P38" t="n">
        <v>468.903024699832</v>
      </c>
      <c r="Q38" t="n">
        <v>370.310851920701</v>
      </c>
      <c r="R38" t="n">
        <v>473.296710147169</v>
      </c>
      <c r="S38" t="n">
        <v>410.424154807091</v>
      </c>
      <c r="T38" t="n">
        <v>400.776043402487</v>
      </c>
      <c r="U38" t="n">
        <v>394.606927962589</v>
      </c>
      <c r="V38" t="n">
        <v>381.846007406585</v>
      </c>
      <c r="W38" t="n">
        <v>447.512434140939</v>
      </c>
      <c r="X38" t="n">
        <v>384.690961540673</v>
      </c>
      <c r="Y38" t="n">
        <v>378.825812113426</v>
      </c>
      <c r="Z38" t="n">
        <v>331.913684147599</v>
      </c>
      <c r="AA38" t="n">
        <v>342.734757945221</v>
      </c>
      <c r="AB38" t="n">
        <v>458.378316165017</v>
      </c>
      <c r="AC38" t="n">
        <v>509.387031252113</v>
      </c>
      <c r="AD38" t="n">
        <v>516.869214437367</v>
      </c>
      <c r="AE38" t="n">
        <v>601.9</v>
      </c>
      <c r="AF38" t="n">
        <v>738.7</v>
      </c>
    </row>
    <row r="39">
      <c r="A39" t="s">
        <v>57</v>
      </c>
      <c r="B39" t="s">
        <v>348</v>
      </c>
      <c r="C39" t="s">
        <v>246</v>
      </c>
      <c r="D39" t="s">
        <v>349</v>
      </c>
      <c r="E39" t="s">
        <v>247</v>
      </c>
      <c r="F39" t="n">
        <v>289.691130222601</v>
      </c>
      <c r="G39" t="n">
        <v>265.135280512326</v>
      </c>
      <c r="H39" t="n">
        <v>243.415468538209</v>
      </c>
      <c r="I39" t="n">
        <v>250.061240238234</v>
      </c>
      <c r="J39" t="n">
        <v>247.900638344407</v>
      </c>
      <c r="K39" t="n">
        <v>288.755771479379</v>
      </c>
      <c r="L39" t="n">
        <v>306.970854516493</v>
      </c>
      <c r="M39" t="n">
        <v>305.929098222885</v>
      </c>
      <c r="N39" t="n">
        <v>261.967952539258</v>
      </c>
      <c r="O39" t="n">
        <v>355.704767172077</v>
      </c>
      <c r="P39" t="n">
        <v>363.806868797002</v>
      </c>
      <c r="Q39" t="n">
        <v>374.578609897964</v>
      </c>
      <c r="R39" t="n">
        <v>310.710884010486</v>
      </c>
      <c r="S39" t="n">
        <v>380.415336296436</v>
      </c>
      <c r="T39" t="n">
        <v>292.236013463218</v>
      </c>
      <c r="U39" t="n">
        <v>333.078386610816</v>
      </c>
      <c r="V39" t="n">
        <v>278.823119716464</v>
      </c>
      <c r="W39" t="n">
        <v>269.35753779251</v>
      </c>
      <c r="X39" t="n">
        <v>275.773162547553</v>
      </c>
      <c r="Y39" t="n">
        <v>281.172637086193</v>
      </c>
      <c r="Z39" t="n">
        <v>310.371334014374</v>
      </c>
      <c r="AA39" t="n">
        <v>270.348011851022</v>
      </c>
      <c r="AB39" t="n">
        <v>277.008759969091</v>
      </c>
      <c r="AC39" t="n">
        <v>314.320535463543</v>
      </c>
      <c r="AD39" t="n">
        <v>399.316867779204</v>
      </c>
      <c r="AE39" t="n">
        <v>374.6</v>
      </c>
      <c r="AF39" t="n">
        <v>476.7</v>
      </c>
    </row>
    <row r="40">
      <c r="A40" t="s">
        <v>57</v>
      </c>
      <c r="B40" t="s">
        <v>350</v>
      </c>
      <c r="C40" t="s">
        <v>246</v>
      </c>
      <c r="D40" t="s">
        <v>351</v>
      </c>
      <c r="E40" t="s">
        <v>247</v>
      </c>
      <c r="F40" t="n">
        <v>732.785540580726</v>
      </c>
      <c r="G40" t="n">
        <v>825.040014983417</v>
      </c>
      <c r="H40" t="n">
        <v>844.896868709061</v>
      </c>
      <c r="I40" t="n">
        <v>933.672264334289</v>
      </c>
      <c r="J40" t="n">
        <v>1024.71753094804</v>
      </c>
      <c r="K40" t="n">
        <v>931.019129500692</v>
      </c>
      <c r="L40" t="n">
        <v>1027.84708004118</v>
      </c>
      <c r="M40" t="n">
        <v>1309.6799476801</v>
      </c>
      <c r="N40" t="n">
        <v>1048.21024383974</v>
      </c>
      <c r="O40" t="n">
        <v>860.410723857425</v>
      </c>
      <c r="P40" t="n">
        <v>1466.76538089562</v>
      </c>
      <c r="Q40" t="n">
        <v>1115.18494275511</v>
      </c>
      <c r="R40" t="n">
        <v>1171.03583711334</v>
      </c>
      <c r="S40" t="n">
        <v>1208.24475874957</v>
      </c>
      <c r="T40" t="n">
        <v>627.045640453067</v>
      </c>
      <c r="U40" t="n">
        <v>1199.44282663285</v>
      </c>
      <c r="V40" t="n">
        <v>958.976264596867</v>
      </c>
      <c r="W40" t="n">
        <v>1206.29991848344</v>
      </c>
      <c r="X40" t="n">
        <v>622.433956039257</v>
      </c>
      <c r="Y40" t="n">
        <v>932.876280722185</v>
      </c>
      <c r="Z40" t="n">
        <v>615.354507421707</v>
      </c>
      <c r="AA40" t="n">
        <v>1118.31938207469</v>
      </c>
      <c r="AB40" t="n">
        <v>836.188351706945</v>
      </c>
      <c r="AC40" t="n">
        <v>1326.80203982307</v>
      </c>
      <c r="AD40" t="n">
        <v>863.234949630625</v>
      </c>
      <c r="AE40" t="n">
        <v>723.9</v>
      </c>
      <c r="AF40" t="n">
        <v>1047.8</v>
      </c>
    </row>
    <row r="41">
      <c r="A41" t="s">
        <v>57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57</v>
      </c>
      <c r="B42" t="s">
        <v>354</v>
      </c>
      <c r="C42" t="s">
        <v>246</v>
      </c>
      <c r="D42" t="s">
        <v>355</v>
      </c>
      <c r="E42" t="s">
        <v>247</v>
      </c>
      <c r="F42" t="n">
        <v>1023.6831526201</v>
      </c>
      <c r="G42" t="n">
        <v>1143.24217567619</v>
      </c>
      <c r="H42" t="n">
        <v>1208.14426034205</v>
      </c>
      <c r="I42" t="n">
        <v>1239.25758160732</v>
      </c>
      <c r="J42" t="n">
        <v>1371.43500273321</v>
      </c>
      <c r="K42" t="n">
        <v>1618.59568065029</v>
      </c>
      <c r="L42" t="n">
        <v>1667.90831430544</v>
      </c>
      <c r="M42" t="n">
        <v>1524.01906151924</v>
      </c>
      <c r="N42" t="n">
        <v>1555.38823602735</v>
      </c>
      <c r="O42" t="n">
        <v>1656.65268398744</v>
      </c>
      <c r="P42" t="n">
        <v>1750.85429503282</v>
      </c>
      <c r="Q42" t="n">
        <v>1957.1459924422</v>
      </c>
      <c r="R42" t="n">
        <v>1946.00758907052</v>
      </c>
      <c r="S42" t="n">
        <v>2212.55023100297</v>
      </c>
      <c r="T42" t="n">
        <v>1467.581672662</v>
      </c>
      <c r="U42" t="n">
        <v>1740.03607867388</v>
      </c>
      <c r="V42" t="n">
        <v>1592.49414351022</v>
      </c>
      <c r="W42" t="n">
        <v>1577.88410549636</v>
      </c>
      <c r="X42" t="n">
        <v>1992.59606361402</v>
      </c>
      <c r="Y42" t="n">
        <v>1959.6799623228</v>
      </c>
      <c r="Z42" t="n">
        <v>1480.49071480329</v>
      </c>
      <c r="AA42" t="n">
        <v>1099.35684970717</v>
      </c>
      <c r="AB42" t="n">
        <v>1360.69188689581</v>
      </c>
      <c r="AC42" t="n">
        <v>1275.45639277757</v>
      </c>
      <c r="AD42" t="n">
        <v>1311.66276883635</v>
      </c>
      <c r="AE42" t="n">
        <v>1374.3</v>
      </c>
      <c r="AF42" t="n">
        <v>1578.4</v>
      </c>
    </row>
    <row r="43">
      <c r="A43" t="s">
        <v>57</v>
      </c>
      <c r="B43" t="s">
        <v>356</v>
      </c>
      <c r="C43" t="s">
        <v>246</v>
      </c>
      <c r="D43" t="s">
        <v>357</v>
      </c>
      <c r="E43" t="s">
        <v>247</v>
      </c>
      <c r="F43" t="n">
        <v>2103.65109070791</v>
      </c>
      <c r="G43" t="n">
        <v>2428.61278214289</v>
      </c>
      <c r="H43" t="n">
        <v>2549.04079328079</v>
      </c>
      <c r="I43" t="n">
        <v>2557.15911668134</v>
      </c>
      <c r="J43" t="n">
        <v>2901.60015425971</v>
      </c>
      <c r="K43" t="n">
        <v>2997.69709649066</v>
      </c>
      <c r="L43" t="n">
        <v>3516.60289975534</v>
      </c>
      <c r="M43" t="n">
        <v>3303.92384477422</v>
      </c>
      <c r="N43" t="n">
        <v>3207.20450758956</v>
      </c>
      <c r="O43" t="n">
        <v>3617.43721111241</v>
      </c>
      <c r="P43" t="n">
        <v>3393.51772800152</v>
      </c>
      <c r="Q43" t="n">
        <v>3659.07425550697</v>
      </c>
      <c r="R43" t="n">
        <v>4025.12251051358</v>
      </c>
      <c r="S43" t="n">
        <v>3960.59772779723</v>
      </c>
      <c r="T43" t="n">
        <v>3274.24534883654</v>
      </c>
      <c r="U43" t="n">
        <v>3489.58286623633</v>
      </c>
      <c r="V43" t="n">
        <v>3339.29754323331</v>
      </c>
      <c r="W43" t="n">
        <v>3449.63918556557</v>
      </c>
      <c r="X43" t="n">
        <v>3198.46507155479</v>
      </c>
      <c r="Y43" t="n">
        <v>3350.80689906768</v>
      </c>
      <c r="Z43" t="n">
        <v>3106.15343067978</v>
      </c>
      <c r="AA43" t="n">
        <v>2495.26122218912</v>
      </c>
      <c r="AB43" t="n">
        <v>2452.11753325671</v>
      </c>
      <c r="AC43" t="n">
        <v>2674.72223441413</v>
      </c>
      <c r="AD43" t="n">
        <v>2656.44668018578</v>
      </c>
      <c r="AE43" t="n">
        <v>3006.3</v>
      </c>
      <c r="AF43" t="n">
        <v>3154.2</v>
      </c>
    </row>
    <row r="44">
      <c r="A44" t="s">
        <v>57</v>
      </c>
      <c r="B44" t="s">
        <v>358</v>
      </c>
      <c r="C44" t="s">
        <v>246</v>
      </c>
      <c r="D44" t="s">
        <v>359</v>
      </c>
      <c r="E44" t="s">
        <v>247</v>
      </c>
      <c r="F44" t="n">
        <v>59923.3356448565</v>
      </c>
      <c r="G44" t="n">
        <v>59759.6922286729</v>
      </c>
      <c r="H44" t="n">
        <v>63271.0661100443</v>
      </c>
      <c r="I44" t="n">
        <v>69499.3528705878</v>
      </c>
      <c r="J44" t="n">
        <v>73705.6170699378</v>
      </c>
      <c r="K44" t="n">
        <v>79940.2792027122</v>
      </c>
      <c r="L44" t="n">
        <v>79848.850902512</v>
      </c>
      <c r="M44" t="n">
        <v>82578.9260383232</v>
      </c>
      <c r="N44" t="n">
        <v>79049.92724682</v>
      </c>
      <c r="O44" t="n">
        <v>80622.3000032076</v>
      </c>
      <c r="P44" t="n">
        <v>83623.9675137101</v>
      </c>
      <c r="Q44" t="n">
        <v>89989.1267780154</v>
      </c>
      <c r="R44" t="n">
        <v>92912.0344223999</v>
      </c>
      <c r="S44" t="n">
        <v>86970.7465916346</v>
      </c>
      <c r="T44" t="n">
        <v>71903.3289281424</v>
      </c>
      <c r="U44" t="n">
        <v>79772.3597800571</v>
      </c>
      <c r="V44" t="n">
        <v>77735.5732725857</v>
      </c>
      <c r="W44" t="n">
        <v>70929.230810355</v>
      </c>
      <c r="X44" t="n">
        <v>68460.9585829367</v>
      </c>
      <c r="Y44" t="n">
        <v>68890.7084464645</v>
      </c>
      <c r="Z44" t="n">
        <v>68476.6042678294</v>
      </c>
      <c r="AA44" t="n">
        <v>72737.099870564</v>
      </c>
      <c r="AB44" t="n">
        <v>75335.7567960428</v>
      </c>
      <c r="AC44" t="n">
        <v>81559.0312333597</v>
      </c>
      <c r="AD44" t="n">
        <v>78734.2700209105</v>
      </c>
      <c r="AE44" t="n">
        <v>70708.6</v>
      </c>
      <c r="AF44" t="n">
        <v>82772.7</v>
      </c>
    </row>
    <row r="45">
      <c r="A45" t="s">
        <v>57</v>
      </c>
      <c r="B45" t="s">
        <v>360</v>
      </c>
      <c r="C45" t="s">
        <v>246</v>
      </c>
      <c r="D45" t="s">
        <v>361</v>
      </c>
      <c r="E45" t="s">
        <v>247</v>
      </c>
      <c r="F45" t="n">
        <v>55851.2487526682</v>
      </c>
      <c r="G45" t="n">
        <v>55737.3328156988</v>
      </c>
      <c r="H45" t="n">
        <v>59017.6846768756</v>
      </c>
      <c r="I45" t="n">
        <v>64835.9892320113</v>
      </c>
      <c r="J45" t="n">
        <v>68821.2665639286</v>
      </c>
      <c r="K45" t="n">
        <v>74313.4834295536</v>
      </c>
      <c r="L45" t="n">
        <v>74715.2977946317</v>
      </c>
      <c r="M45" t="n">
        <v>77583.940882942</v>
      </c>
      <c r="N45" t="n">
        <v>74146.2129255736</v>
      </c>
      <c r="O45" t="n">
        <v>75080.5563131932</v>
      </c>
      <c r="P45" t="n">
        <v>78135.9965497194</v>
      </c>
      <c r="Q45" t="n">
        <v>84089.1668190607</v>
      </c>
      <c r="R45" t="n">
        <v>87241.2237092552</v>
      </c>
      <c r="S45" t="n">
        <v>81937.7561172835</v>
      </c>
      <c r="T45" t="n">
        <v>67612.6762552725</v>
      </c>
      <c r="U45" t="n">
        <v>74704.892324948</v>
      </c>
      <c r="V45" t="n">
        <v>72839.497008865</v>
      </c>
      <c r="W45" t="n">
        <v>66301.0735508079</v>
      </c>
      <c r="X45" t="n">
        <v>64183.0725768137</v>
      </c>
      <c r="Y45" t="n">
        <v>64055.1784170761</v>
      </c>
      <c r="Z45" t="n">
        <v>63721.8864844882</v>
      </c>
      <c r="AA45" t="n">
        <v>67717.0861228823</v>
      </c>
      <c r="AB45" t="n">
        <v>69718.1465476448</v>
      </c>
      <c r="AC45" t="n">
        <v>75268.5191686192</v>
      </c>
      <c r="AD45" t="n">
        <v>72508.2280624883</v>
      </c>
      <c r="AE45" t="n">
        <v>65271.3</v>
      </c>
      <c r="AF45" t="n">
        <v>75996.9</v>
      </c>
    </row>
    <row r="46">
      <c r="A46" t="s">
        <v>57</v>
      </c>
      <c r="B46" t="s">
        <v>362</v>
      </c>
      <c r="C46" t="s">
        <v>246</v>
      </c>
      <c r="D46" t="s">
        <v>363</v>
      </c>
      <c r="E46" t="s">
        <v>247</v>
      </c>
      <c r="F46" t="n">
        <v>1078.06689046005</v>
      </c>
      <c r="G46" t="n">
        <v>1286.98062132101</v>
      </c>
      <c r="H46" t="n">
        <v>1341.7608257328</v>
      </c>
      <c r="I46" t="n">
        <v>1316.18664047289</v>
      </c>
      <c r="J46" t="n">
        <v>1531.43211306096</v>
      </c>
      <c r="K46" t="n">
        <v>1361.57910278951</v>
      </c>
      <c r="L46" t="n">
        <v>1849.10734014648</v>
      </c>
      <c r="M46" t="n">
        <v>1783.95827770547</v>
      </c>
      <c r="N46" t="n">
        <v>1649.47370165915</v>
      </c>
      <c r="O46" t="n">
        <v>1964.93512491004</v>
      </c>
      <c r="P46" t="n">
        <v>1636.85158318278</v>
      </c>
      <c r="Q46" t="n">
        <v>1694.04736812577</v>
      </c>
      <c r="R46" t="n">
        <v>2074.64254216835</v>
      </c>
      <c r="S46" t="n">
        <v>1742.81141968271</v>
      </c>
      <c r="T46" t="n">
        <v>1797.78671356051</v>
      </c>
      <c r="U46" t="n">
        <v>1741.92239969893</v>
      </c>
      <c r="V46" t="n">
        <v>1738.25805999527</v>
      </c>
      <c r="W46" t="n">
        <v>1862.76139211615</v>
      </c>
      <c r="X46" t="n">
        <v>1202.0011175523</v>
      </c>
      <c r="Y46" t="n">
        <v>1386.64311431698</v>
      </c>
      <c r="Z46" t="n">
        <v>1621.02936536159</v>
      </c>
      <c r="AA46" t="n">
        <v>1392.29576166447</v>
      </c>
      <c r="AB46" t="n">
        <v>1091.96326098431</v>
      </c>
      <c r="AC46" t="n">
        <v>1398.9976367199</v>
      </c>
      <c r="AD46" t="n">
        <v>1343.94193080087</v>
      </c>
      <c r="AE46" t="n">
        <v>1632</v>
      </c>
      <c r="AF46" t="n">
        <v>1575.8</v>
      </c>
    </row>
    <row r="47">
      <c r="A47" t="s">
        <v>57</v>
      </c>
      <c r="B47" t="s">
        <v>364</v>
      </c>
      <c r="C47" t="s">
        <v>246</v>
      </c>
      <c r="D47" t="s">
        <v>365</v>
      </c>
      <c r="E47" t="s">
        <v>247</v>
      </c>
      <c r="F47" t="n">
        <v>3932.65323144096</v>
      </c>
      <c r="G47" t="n">
        <v>4608.1624449303</v>
      </c>
      <c r="H47" t="n">
        <v>4811.48833124352</v>
      </c>
      <c r="I47" t="n">
        <v>4534.86438276554</v>
      </c>
      <c r="J47" t="n">
        <v>5207.23427661129</v>
      </c>
      <c r="K47" t="n">
        <v>6093.91701213488</v>
      </c>
      <c r="L47" t="n">
        <v>6475.06717448298</v>
      </c>
      <c r="M47" t="n">
        <v>6593.06965616356</v>
      </c>
      <c r="N47" t="n">
        <v>6742.76221589744</v>
      </c>
      <c r="O47" t="n">
        <v>6735.93237318698</v>
      </c>
      <c r="P47" t="n">
        <v>5234.40485232004</v>
      </c>
      <c r="Q47" t="n">
        <v>5243.08683801075</v>
      </c>
      <c r="R47" t="n">
        <v>5130.87224275618</v>
      </c>
      <c r="S47" t="n">
        <v>5823.51823221786</v>
      </c>
      <c r="T47" t="n">
        <v>8863.50469063896</v>
      </c>
      <c r="U47" t="n">
        <v>6634.58653910381</v>
      </c>
      <c r="V47" t="n">
        <v>7259.27986644743</v>
      </c>
      <c r="W47" t="n">
        <v>4869.71299418844</v>
      </c>
      <c r="X47" t="n">
        <v>3556.80484584329</v>
      </c>
      <c r="Y47" t="n">
        <v>3751.4430939616</v>
      </c>
      <c r="Z47" t="n">
        <v>4236.69213500587</v>
      </c>
      <c r="AA47" t="n">
        <v>5625.73027475772</v>
      </c>
      <c r="AB47" t="n">
        <v>5583.08555741962</v>
      </c>
      <c r="AC47" t="n">
        <v>4864.7341608779</v>
      </c>
      <c r="AD47" t="n">
        <v>5698.62990473115</v>
      </c>
      <c r="AE47" t="n">
        <v>5585</v>
      </c>
      <c r="AF47" t="n">
        <v>6512.3</v>
      </c>
    </row>
    <row r="48">
      <c r="A48" t="s">
        <v>57</v>
      </c>
      <c r="B48" t="s">
        <v>366</v>
      </c>
      <c r="C48" t="s">
        <v>246</v>
      </c>
      <c r="D48" t="s">
        <v>367</v>
      </c>
      <c r="E48" t="s">
        <v>247</v>
      </c>
      <c r="F48" t="n">
        <v>6388.28671316462</v>
      </c>
      <c r="G48" t="n">
        <v>6964.87120389352</v>
      </c>
      <c r="H48" t="n">
        <v>7274.99131230857</v>
      </c>
      <c r="I48" t="n">
        <v>7419.37794788534</v>
      </c>
      <c r="J48" t="n">
        <v>8145.96824807742</v>
      </c>
      <c r="K48" t="n">
        <v>9420.46490381044</v>
      </c>
      <c r="L48" t="n">
        <v>10285.6249333585</v>
      </c>
      <c r="M48" t="n">
        <v>10107.3061253844</v>
      </c>
      <c r="N48" t="n">
        <v>10268.5383612206</v>
      </c>
      <c r="O48" t="n">
        <v>10131.5175258674</v>
      </c>
      <c r="P48" t="n">
        <v>8965.04213338041</v>
      </c>
      <c r="Q48" t="n">
        <v>9822.62225861219</v>
      </c>
      <c r="R48" t="n">
        <v>9262.59217019888</v>
      </c>
      <c r="S48" t="n">
        <v>9325.40433340294</v>
      </c>
      <c r="T48" t="n">
        <v>12620.3987067242</v>
      </c>
      <c r="U48" t="n">
        <v>10438.4625191113</v>
      </c>
      <c r="V48" t="n">
        <v>10761.66972079</v>
      </c>
      <c r="W48" t="n">
        <v>7759.07061811981</v>
      </c>
      <c r="X48" t="n">
        <v>6621.03728960641</v>
      </c>
      <c r="Y48" t="n">
        <v>7159.51606081641</v>
      </c>
      <c r="Z48" t="n">
        <v>7784.19663657669</v>
      </c>
      <c r="AA48" t="n">
        <v>9186.4440662247</v>
      </c>
      <c r="AB48" t="n">
        <v>9830.32107482977</v>
      </c>
      <c r="AC48" t="n">
        <v>9529.61783782748</v>
      </c>
      <c r="AD48" t="n">
        <v>11280.2561257938</v>
      </c>
      <c r="AE48" t="n">
        <v>11234.1</v>
      </c>
      <c r="AF48" t="n">
        <v>13038.1</v>
      </c>
    </row>
    <row r="49">
      <c r="A49" t="s">
        <v>57</v>
      </c>
      <c r="B49" t="s">
        <v>368</v>
      </c>
      <c r="C49" t="s">
        <v>246</v>
      </c>
      <c r="D49" t="s">
        <v>369</v>
      </c>
      <c r="E49" t="s">
        <v>247</v>
      </c>
      <c r="F49" t="n">
        <v>304.433179663048</v>
      </c>
      <c r="G49" t="n">
        <v>247.857102026553</v>
      </c>
      <c r="H49" t="n">
        <v>264.519764347665</v>
      </c>
      <c r="I49" t="n">
        <v>278.424569841106</v>
      </c>
      <c r="J49" t="n">
        <v>261.879071987503</v>
      </c>
      <c r="K49" t="n">
        <v>381.442259879582</v>
      </c>
      <c r="L49" t="n">
        <v>492.659546969183</v>
      </c>
      <c r="M49" t="n">
        <v>489.411242263892</v>
      </c>
      <c r="N49" t="n">
        <v>453.51052546352</v>
      </c>
      <c r="O49" t="n">
        <v>467.659802315282</v>
      </c>
      <c r="P49" t="n">
        <v>449.485148661013</v>
      </c>
      <c r="Q49" t="n">
        <v>624.745526495216</v>
      </c>
      <c r="R49" t="n">
        <v>459.910722948934</v>
      </c>
      <c r="S49" t="n">
        <v>418.21160830739</v>
      </c>
      <c r="T49" t="n">
        <v>398.367995991422</v>
      </c>
      <c r="U49" t="n">
        <v>364.56648132909</v>
      </c>
      <c r="V49" t="n">
        <v>444.628903891877</v>
      </c>
      <c r="W49" t="n">
        <v>413.199425375111</v>
      </c>
      <c r="X49" t="n">
        <v>251.245660204075</v>
      </c>
      <c r="Y49" t="n">
        <v>320.239115354029</v>
      </c>
      <c r="Z49" t="n">
        <v>234.318998513176</v>
      </c>
      <c r="AA49" t="n">
        <v>294.465551824142</v>
      </c>
      <c r="AB49" t="n">
        <v>206.554719604799</v>
      </c>
      <c r="AC49" t="n">
        <v>254.327932104565</v>
      </c>
      <c r="AD49" t="n">
        <v>301.141580860085</v>
      </c>
      <c r="AE49" t="n">
        <v>328.5</v>
      </c>
      <c r="AF49" t="n">
        <v>789.7</v>
      </c>
    </row>
    <row r="50">
      <c r="A50" t="s">
        <v>57</v>
      </c>
      <c r="B50" t="s">
        <v>370</v>
      </c>
      <c r="C50" t="s">
        <v>246</v>
      </c>
      <c r="D50" t="s">
        <v>371</v>
      </c>
      <c r="E50" t="s">
        <v>247</v>
      </c>
      <c r="F50" t="n">
        <v>2283.77316292695</v>
      </c>
      <c r="G50" t="n">
        <v>2256.09690549608</v>
      </c>
      <c r="H50" t="n">
        <v>2351.50398856432</v>
      </c>
      <c r="I50" t="n">
        <v>2791.6390003144</v>
      </c>
      <c r="J50" t="n">
        <v>2870.27671863311</v>
      </c>
      <c r="K50" t="n">
        <v>3142.75460067847</v>
      </c>
      <c r="L50" t="n">
        <v>3532.49761288198</v>
      </c>
      <c r="M50" t="n">
        <v>3208.01411879966</v>
      </c>
      <c r="N50" t="n">
        <v>3265.00592172185</v>
      </c>
      <c r="O50" t="n">
        <v>3106.39438877819</v>
      </c>
      <c r="P50" t="n">
        <v>3489.04824150404</v>
      </c>
      <c r="Q50" t="n">
        <v>4204.85937148615</v>
      </c>
      <c r="R50" t="n">
        <v>3916.06622830875</v>
      </c>
      <c r="S50" t="n">
        <v>3264.22012313599</v>
      </c>
      <c r="T50" t="n">
        <v>3528.74404107213</v>
      </c>
      <c r="U50" t="n">
        <v>3566.6975095269</v>
      </c>
      <c r="V50" t="n">
        <v>3178.10655674826</v>
      </c>
      <c r="W50" t="n">
        <v>2528.31915709604</v>
      </c>
      <c r="X50" t="n">
        <v>2825.0928287614</v>
      </c>
      <c r="Y50" t="n">
        <v>3093.14129929991</v>
      </c>
      <c r="Z50" t="n">
        <v>3339.45208468396</v>
      </c>
      <c r="AA50" t="n">
        <v>3280.9396493073</v>
      </c>
      <c r="AB50" t="n">
        <v>4049.7375390742</v>
      </c>
      <c r="AC50" t="n">
        <v>4410.39827674168</v>
      </c>
      <c r="AD50" t="n">
        <v>5280.5858851539</v>
      </c>
      <c r="AE50" t="n">
        <v>5320.7</v>
      </c>
      <c r="AF50" t="n">
        <v>5736</v>
      </c>
    </row>
    <row r="51">
      <c r="A51" t="s">
        <v>57</v>
      </c>
      <c r="B51" t="s">
        <v>372</v>
      </c>
      <c r="C51" t="s">
        <v>246</v>
      </c>
      <c r="D51" t="s">
        <v>373</v>
      </c>
      <c r="E51" t="s">
        <v>247</v>
      </c>
      <c r="F51" t="n">
        <v>2138.60581716605</v>
      </c>
      <c r="G51" t="n">
        <v>2112.28451480093</v>
      </c>
      <c r="H51" t="n">
        <v>2198.89806666368</v>
      </c>
      <c r="I51" t="n">
        <v>2608.78405433767</v>
      </c>
      <c r="J51" t="n">
        <v>2669.50851366665</v>
      </c>
      <c r="K51" t="n">
        <v>2934.63335836137</v>
      </c>
      <c r="L51" t="n">
        <v>3324.57001372614</v>
      </c>
      <c r="M51" t="n">
        <v>3015.72040349626</v>
      </c>
      <c r="N51" t="n">
        <v>3052.81330585611</v>
      </c>
      <c r="O51" t="n">
        <v>2859.94796262401</v>
      </c>
      <c r="P51" t="n">
        <v>3226.41907953462</v>
      </c>
      <c r="Q51" t="n">
        <v>3955.63135352543</v>
      </c>
      <c r="R51" t="n">
        <v>3625.40454432021</v>
      </c>
      <c r="S51" t="n">
        <v>3032.80647122306</v>
      </c>
      <c r="T51" t="n">
        <v>3349.08504116782</v>
      </c>
      <c r="U51" t="n">
        <v>3345.8200301601</v>
      </c>
      <c r="V51" t="n">
        <v>2946.95077341966</v>
      </c>
      <c r="W51" t="n">
        <v>2303.52015380106</v>
      </c>
      <c r="X51" t="n">
        <v>2639.56231844779</v>
      </c>
      <c r="Y51" t="n">
        <v>2946.00624199741</v>
      </c>
      <c r="Z51" t="n">
        <v>3218.2486286801</v>
      </c>
      <c r="AA51" t="n">
        <v>3111.29233142779</v>
      </c>
      <c r="AB51" t="n">
        <v>3917.06560840844</v>
      </c>
      <c r="AC51" t="n">
        <v>4241.52542392645</v>
      </c>
      <c r="AD51" t="n">
        <v>5059.37715114342</v>
      </c>
      <c r="AE51" t="n">
        <v>5132.7</v>
      </c>
      <c r="AF51" t="n">
        <v>5500</v>
      </c>
    </row>
    <row r="52">
      <c r="A52" t="s">
        <v>57</v>
      </c>
      <c r="B52" t="s">
        <v>374</v>
      </c>
      <c r="C52" t="s">
        <v>246</v>
      </c>
      <c r="D52" t="s">
        <v>375</v>
      </c>
      <c r="E52" t="s">
        <v>247</v>
      </c>
      <c r="F52" t="n">
        <v>140.382656355403</v>
      </c>
      <c r="G52" t="n">
        <v>138.990608656989</v>
      </c>
      <c r="H52" t="n">
        <v>146.92990465796</v>
      </c>
      <c r="I52" t="n">
        <v>175.718782929113</v>
      </c>
      <c r="J52" t="n">
        <v>190.450977366669</v>
      </c>
      <c r="K52" t="n">
        <v>199.561388584664</v>
      </c>
      <c r="L52" t="n">
        <v>204.172425505213</v>
      </c>
      <c r="M52" t="n">
        <v>188.084188762449</v>
      </c>
      <c r="N52" t="n">
        <v>204.265733493966</v>
      </c>
      <c r="O52" t="n">
        <v>229.825464424416</v>
      </c>
      <c r="P52" t="n">
        <v>246.481051022703</v>
      </c>
      <c r="Q52" t="n">
        <v>241.255697212118</v>
      </c>
      <c r="R52" t="n">
        <v>273.321327854235</v>
      </c>
      <c r="S52" t="n">
        <v>218.67878893902</v>
      </c>
      <c r="T52" t="n">
        <v>176.23890545604</v>
      </c>
      <c r="U52" t="n">
        <v>213.435582885823</v>
      </c>
      <c r="V52" t="n">
        <v>221.402726451305</v>
      </c>
      <c r="W52" t="n">
        <v>213.614169001095</v>
      </c>
      <c r="X52" t="n">
        <v>179.140986876851</v>
      </c>
      <c r="Y52" t="n">
        <v>146.820159990134</v>
      </c>
      <c r="Z52" t="n">
        <v>125.745495876718</v>
      </c>
      <c r="AA52" t="n">
        <v>167.335989090783</v>
      </c>
      <c r="AB52" t="n">
        <v>133.767986459921</v>
      </c>
      <c r="AC52" t="n">
        <v>168.923047489478</v>
      </c>
      <c r="AD52" t="n">
        <v>220.790697674419</v>
      </c>
      <c r="AE52" t="n">
        <v>188</v>
      </c>
      <c r="AF52" t="n">
        <v>236</v>
      </c>
    </row>
    <row r="53">
      <c r="A53" t="s">
        <v>57</v>
      </c>
      <c r="B53" t="s">
        <v>376</v>
      </c>
      <c r="C53" t="s">
        <v>246</v>
      </c>
      <c r="D53" t="s">
        <v>377</v>
      </c>
      <c r="E53" t="s">
        <v>247</v>
      </c>
      <c r="F53" t="n">
        <v>717.939314445096</v>
      </c>
      <c r="G53" t="n">
        <v>883.065356767468</v>
      </c>
      <c r="H53" t="n">
        <v>974.235505323386</v>
      </c>
      <c r="I53" t="n">
        <v>1001.11860576999</v>
      </c>
      <c r="J53" t="n">
        <v>987.011247460197</v>
      </c>
      <c r="K53" t="n">
        <v>1047.40101941066</v>
      </c>
      <c r="L53" t="n">
        <v>1189.88539288414</v>
      </c>
      <c r="M53" t="n">
        <v>1259.26965782518</v>
      </c>
      <c r="N53" t="n">
        <v>1072.1978265339</v>
      </c>
      <c r="O53" t="n">
        <v>1192.60819484173</v>
      </c>
      <c r="P53" t="n">
        <v>1332.03041872617</v>
      </c>
      <c r="Q53" t="n">
        <v>1372.80083077353</v>
      </c>
      <c r="R53" t="n">
        <v>1376.77602916761</v>
      </c>
      <c r="S53" t="n">
        <v>985.996479501745</v>
      </c>
      <c r="T53" t="n">
        <v>1042.34994150626</v>
      </c>
      <c r="U53" t="n">
        <v>1097.95466125538</v>
      </c>
      <c r="V53" t="n">
        <v>1291.45466244407</v>
      </c>
      <c r="W53" t="n">
        <v>900.533993266179</v>
      </c>
      <c r="X53" t="n">
        <v>1031.63707594611</v>
      </c>
      <c r="Y53" t="n">
        <v>955.343003219301</v>
      </c>
      <c r="Z53" t="n">
        <v>979.452605824204</v>
      </c>
      <c r="AA53" t="n">
        <v>1237.48454718709</v>
      </c>
      <c r="AB53" t="n">
        <v>1203.5781605497</v>
      </c>
      <c r="AC53" t="n">
        <v>1306.08962000913</v>
      </c>
      <c r="AD53" t="n">
        <v>1382.59016949153</v>
      </c>
      <c r="AE53" t="n">
        <v>1052.1</v>
      </c>
      <c r="AF53" t="n">
        <v>1375.2</v>
      </c>
    </row>
    <row r="54">
      <c r="A54" t="s">
        <v>57</v>
      </c>
      <c r="B54" t="s">
        <v>378</v>
      </c>
      <c r="C54" t="s">
        <v>246</v>
      </c>
      <c r="D54" t="s">
        <v>379</v>
      </c>
      <c r="E54" t="s">
        <v>247</v>
      </c>
      <c r="F54" t="n">
        <v>1233.66455038392</v>
      </c>
      <c r="G54" t="n">
        <v>1524.46761572351</v>
      </c>
      <c r="H54" t="n">
        <v>1697.72860285307</v>
      </c>
      <c r="I54" t="n">
        <v>1711.19441849498</v>
      </c>
      <c r="J54" t="n">
        <v>1702.6939070564</v>
      </c>
      <c r="K54" t="n">
        <v>1789.12241092163</v>
      </c>
      <c r="L54" t="n">
        <v>1927.8715197654</v>
      </c>
      <c r="M54" t="n">
        <v>2126.33635036555</v>
      </c>
      <c r="N54" t="n">
        <v>1871.46520380714</v>
      </c>
      <c r="O54" t="n">
        <v>2003.18652138187</v>
      </c>
      <c r="P54" t="n">
        <v>2362.75346883795</v>
      </c>
      <c r="Q54" t="n">
        <v>2473.16825292879</v>
      </c>
      <c r="R54" t="n">
        <v>2356.16335703094</v>
      </c>
      <c r="S54" t="n">
        <v>2204.06845049332</v>
      </c>
      <c r="T54" t="n">
        <v>1744.44099404252</v>
      </c>
      <c r="U54" t="n">
        <v>2007.21216804313</v>
      </c>
      <c r="V54" t="n">
        <v>2180.65325837197</v>
      </c>
      <c r="W54" t="n">
        <v>1798.06985057042</v>
      </c>
      <c r="X54" t="n">
        <v>1733.23256796956</v>
      </c>
      <c r="Y54" t="n">
        <v>1599.20091673656</v>
      </c>
      <c r="Z54" t="n">
        <v>1647.54658921941</v>
      </c>
      <c r="AA54" t="n">
        <v>2153.4255701622</v>
      </c>
      <c r="AB54" t="n">
        <v>2216.24787571629</v>
      </c>
      <c r="AC54" t="n">
        <v>2100.75572445924</v>
      </c>
      <c r="AD54" t="n">
        <v>2239.85054419328</v>
      </c>
      <c r="AE54" t="n">
        <v>1659.2</v>
      </c>
      <c r="AF54" t="n">
        <v>2190.7</v>
      </c>
    </row>
    <row r="55">
      <c r="A55" t="s">
        <v>57</v>
      </c>
      <c r="B55" t="s">
        <v>380</v>
      </c>
      <c r="C55" t="s">
        <v>246</v>
      </c>
      <c r="D55" t="s">
        <v>381</v>
      </c>
      <c r="E55" t="s">
        <v>247</v>
      </c>
      <c r="F55" t="n">
        <v>522.494669941094</v>
      </c>
      <c r="G55" t="n">
        <v>650.12264102796</v>
      </c>
      <c r="H55" t="n">
        <v>733.99879508686</v>
      </c>
      <c r="I55" t="n">
        <v>719.021458934507</v>
      </c>
      <c r="J55" t="n">
        <v>725.367053063874</v>
      </c>
      <c r="K55" t="n">
        <v>751.016368154686</v>
      </c>
      <c r="L55" t="n">
        <v>743.692531494064</v>
      </c>
      <c r="M55" t="n">
        <v>876.706406293158</v>
      </c>
      <c r="N55" t="n">
        <v>810.146319253924</v>
      </c>
      <c r="O55" t="n">
        <v>818.392621342115</v>
      </c>
      <c r="P55" t="n">
        <v>1048.05458855629</v>
      </c>
      <c r="Q55" t="n">
        <v>1120.98565613136</v>
      </c>
      <c r="R55" t="n">
        <v>990.721864534008</v>
      </c>
      <c r="S55" t="n">
        <v>1267.5460021404</v>
      </c>
      <c r="T55" t="n">
        <v>705.196163444708</v>
      </c>
      <c r="U55" t="n">
        <v>936.102045758348</v>
      </c>
      <c r="V55" t="n">
        <v>903.220658109857</v>
      </c>
      <c r="W55" t="n">
        <v>910.520674974848</v>
      </c>
      <c r="X55" t="n">
        <v>706.169157752101</v>
      </c>
      <c r="Y55" t="n">
        <v>647.998711580219</v>
      </c>
      <c r="Z55" t="n">
        <v>672.397876737255</v>
      </c>
      <c r="AA55" t="n">
        <v>921.255191782164</v>
      </c>
      <c r="AB55" t="n">
        <v>1019.69840761626</v>
      </c>
      <c r="AC55" t="n">
        <v>794.940048989285</v>
      </c>
      <c r="AD55" t="n">
        <v>857.421796132415</v>
      </c>
      <c r="AE55" t="n">
        <v>607.1</v>
      </c>
      <c r="AF55" t="n">
        <v>815.5</v>
      </c>
    </row>
    <row r="56">
      <c r="A56" t="s">
        <v>57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57</v>
      </c>
      <c r="B57" t="s">
        <v>384</v>
      </c>
      <c r="C57" t="s">
        <v>246</v>
      </c>
      <c r="D57" t="s">
        <v>385</v>
      </c>
      <c r="E57" t="s">
        <v>247</v>
      </c>
      <c r="F57" t="n">
        <v>67013.0173343895</v>
      </c>
      <c r="G57" t="n">
        <v>67506.4149048219</v>
      </c>
      <c r="H57" t="n">
        <v>71347.8939839584</v>
      </c>
      <c r="I57" t="n">
        <v>77817.8553334803</v>
      </c>
      <c r="J57" t="n">
        <v>82834.7250417911</v>
      </c>
      <c r="K57" t="n">
        <v>90233.4209221338</v>
      </c>
      <c r="L57" t="n">
        <v>91087.8769137554</v>
      </c>
      <c r="M57" t="n">
        <v>93932.2673403703</v>
      </c>
      <c r="N57" t="n">
        <v>90291.0288524448</v>
      </c>
      <c r="O57" t="n">
        <v>91544.7672895506</v>
      </c>
      <c r="P57" t="n">
        <v>94052.6999323487</v>
      </c>
      <c r="Q57" t="n">
        <v>100899.946871325</v>
      </c>
      <c r="R57" t="n">
        <v>103341.779775383</v>
      </c>
      <c r="S57" t="n">
        <v>97485.2310812346</v>
      </c>
      <c r="T57" t="n">
        <v>84920.0111498377</v>
      </c>
      <c r="U57" t="n">
        <v>91376.7504168859</v>
      </c>
      <c r="V57" t="n">
        <v>89380.4672676513</v>
      </c>
      <c r="W57" t="n">
        <v>80016.0815334262</v>
      </c>
      <c r="X57" t="n">
        <v>75850.334048644</v>
      </c>
      <c r="Y57" t="n">
        <v>77121.2456486446</v>
      </c>
      <c r="Z57" t="n">
        <v>76939.010022712</v>
      </c>
      <c r="AA57" t="n">
        <v>83077.730562334</v>
      </c>
      <c r="AB57" t="n">
        <v>86017.1871071881</v>
      </c>
      <c r="AC57" t="n">
        <v>92479.7512262994</v>
      </c>
      <c r="AD57" t="n">
        <v>90895.0587253351</v>
      </c>
      <c r="AE57" t="n">
        <v>82666.7</v>
      </c>
      <c r="AF57" t="n">
        <v>96858.5</v>
      </c>
    </row>
    <row r="58">
      <c r="A58" t="s">
        <v>57</v>
      </c>
      <c r="B58" t="s">
        <v>386</v>
      </c>
      <c r="C58" t="s">
        <v>246</v>
      </c>
      <c r="D58" t="s">
        <v>387</v>
      </c>
      <c r="E58" t="s">
        <v>247</v>
      </c>
      <c r="F58" t="n">
        <v>67013.0173343895</v>
      </c>
      <c r="G58" t="n">
        <v>67506.4149048219</v>
      </c>
      <c r="H58" t="n">
        <v>71347.8939839584</v>
      </c>
      <c r="I58" t="n">
        <v>77817.8553334803</v>
      </c>
      <c r="J58" t="n">
        <v>82834.7250417911</v>
      </c>
      <c r="K58" t="n">
        <v>90233.4209221338</v>
      </c>
      <c r="L58" t="n">
        <v>91087.8769137554</v>
      </c>
      <c r="M58" t="n">
        <v>93932.2673403703</v>
      </c>
      <c r="N58" t="n">
        <v>90291.0288524448</v>
      </c>
      <c r="O58" t="n">
        <v>91544.7672895506</v>
      </c>
      <c r="P58" t="n">
        <v>94052.6999323487</v>
      </c>
      <c r="Q58" t="n">
        <v>100899.946871325</v>
      </c>
      <c r="R58" t="n">
        <v>103341.779775383</v>
      </c>
      <c r="S58" t="n">
        <v>97485.2310812346</v>
      </c>
      <c r="T58" t="n">
        <v>84920.0111498377</v>
      </c>
      <c r="U58" t="n">
        <v>91376.7504168859</v>
      </c>
      <c r="V58" t="n">
        <v>89380.4672676513</v>
      </c>
      <c r="W58" t="n">
        <v>80016.0815334262</v>
      </c>
      <c r="X58" t="n">
        <v>75850.334048644</v>
      </c>
      <c r="Y58" t="n">
        <v>77121.2456486446</v>
      </c>
      <c r="Z58" t="n">
        <v>76939.010022712</v>
      </c>
      <c r="AA58" t="n">
        <v>83077.730562334</v>
      </c>
      <c r="AB58" t="n">
        <v>86017.1871071881</v>
      </c>
      <c r="AC58" t="n">
        <v>92479.7512262994</v>
      </c>
      <c r="AD58" t="n">
        <v>90895.0587253351</v>
      </c>
      <c r="AE58" t="n">
        <v>82666.7</v>
      </c>
      <c r="AF58" t="n">
        <v>96858.5</v>
      </c>
    </row>
    <row r="59">
      <c r="A59" t="s">
        <v>57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59</v>
      </c>
      <c r="B2" t="s">
        <v>197</v>
      </c>
      <c r="C2" t="s">
        <v>246</v>
      </c>
      <c r="D2" t="s">
        <v>199</v>
      </c>
      <c r="E2" t="s">
        <v>247</v>
      </c>
      <c r="F2" t="n">
        <v>2209.14754758333</v>
      </c>
      <c r="G2" t="n">
        <v>2140.0901601043</v>
      </c>
      <c r="H2" t="n">
        <v>2285.03049744303</v>
      </c>
      <c r="I2" t="n">
        <v>2266.55316188419</v>
      </c>
      <c r="J2" t="n">
        <v>2624.44659491278</v>
      </c>
      <c r="K2" t="n">
        <v>3046.32462917084</v>
      </c>
      <c r="L2" t="n">
        <v>2896.89762083422</v>
      </c>
      <c r="M2" t="n">
        <v>3147.67339756354</v>
      </c>
      <c r="N2" t="n">
        <v>3286.64072818598</v>
      </c>
      <c r="O2" t="n">
        <v>2993.91402442224</v>
      </c>
      <c r="P2" t="n">
        <v>3283.32221976395</v>
      </c>
      <c r="Q2" t="n">
        <v>3549.45626016918</v>
      </c>
      <c r="R2" t="n">
        <v>3168.03953715421</v>
      </c>
      <c r="S2" t="n">
        <v>2938.54781623829</v>
      </c>
      <c r="T2" t="n">
        <v>2417.47665002221</v>
      </c>
      <c r="U2" t="n">
        <v>2137.12857299341</v>
      </c>
      <c r="V2" t="n">
        <v>2812.22032022107</v>
      </c>
      <c r="W2" t="n">
        <v>2570.00966409061</v>
      </c>
      <c r="X2" t="n">
        <v>1709.31288498016</v>
      </c>
      <c r="Y2" t="n">
        <v>1348.42148891909</v>
      </c>
      <c r="Z2" t="n">
        <v>1423.62448301311</v>
      </c>
      <c r="AA2" t="n">
        <v>1607.47036892274</v>
      </c>
      <c r="AB2" t="n">
        <v>2083.87605031997</v>
      </c>
      <c r="AC2" t="n">
        <v>2381.83592190169</v>
      </c>
      <c r="AD2" t="n">
        <v>2569.84646498694</v>
      </c>
      <c r="AE2" t="n">
        <v>2388.5</v>
      </c>
      <c r="AF2" t="n">
        <v>2395.3</v>
      </c>
    </row>
    <row r="3">
      <c r="A3" t="s">
        <v>59</v>
      </c>
      <c r="B3" t="s">
        <v>276</v>
      </c>
      <c r="C3" t="s">
        <v>246</v>
      </c>
      <c r="D3" t="s">
        <v>277</v>
      </c>
      <c r="E3" t="s">
        <v>247</v>
      </c>
      <c r="F3" t="n">
        <v>1563.04287943875</v>
      </c>
      <c r="G3" t="n">
        <v>1438.89919034348</v>
      </c>
      <c r="H3" t="n">
        <v>1282.63940424646</v>
      </c>
      <c r="I3" t="n">
        <v>1333.71724482139</v>
      </c>
      <c r="J3" t="n">
        <v>1226.20281893588</v>
      </c>
      <c r="K3" t="n">
        <v>1509.31740484718</v>
      </c>
      <c r="L3" t="n">
        <v>1722.82324353485</v>
      </c>
      <c r="M3" t="n">
        <v>1374.26085119027</v>
      </c>
      <c r="N3" t="n">
        <v>1570.44309661364</v>
      </c>
      <c r="O3" t="n">
        <v>1763.19420787977</v>
      </c>
      <c r="P3" t="n">
        <v>1721.54395100072</v>
      </c>
      <c r="Q3" t="n">
        <v>1507.62205991159</v>
      </c>
      <c r="R3" t="n">
        <v>1567.82498574012</v>
      </c>
      <c r="S3" t="n">
        <v>1256.74116877257</v>
      </c>
      <c r="T3" t="n">
        <v>1219.5194324869</v>
      </c>
      <c r="U3" t="n">
        <v>1435.83408211773</v>
      </c>
      <c r="V3" t="n">
        <v>1486.55968060649</v>
      </c>
      <c r="W3" t="n">
        <v>1292.73643125077</v>
      </c>
      <c r="X3" t="n">
        <v>1122.88412144829</v>
      </c>
      <c r="Y3" t="n">
        <v>1772.16667963803</v>
      </c>
      <c r="Z3" t="n">
        <v>1522.69138417085</v>
      </c>
      <c r="AA3" t="n">
        <v>504.621197558574</v>
      </c>
      <c r="AB3" t="n">
        <v>404.170394210181</v>
      </c>
      <c r="AC3" t="n">
        <v>1440.86182339282</v>
      </c>
      <c r="AD3" t="n">
        <v>1115.93103448276</v>
      </c>
      <c r="AE3" t="n">
        <v>735.5</v>
      </c>
      <c r="AF3" t="n">
        <v>867.7</v>
      </c>
    </row>
    <row r="4">
      <c r="A4" t="s">
        <v>59</v>
      </c>
      <c r="B4" t="s">
        <v>278</v>
      </c>
      <c r="C4" t="s">
        <v>246</v>
      </c>
      <c r="D4" t="s">
        <v>279</v>
      </c>
      <c r="E4" t="s">
        <v>247</v>
      </c>
      <c r="F4" t="n">
        <v>5507.58188616996</v>
      </c>
      <c r="G4" t="n">
        <v>5261.18961183635</v>
      </c>
      <c r="H4" t="n">
        <v>5671.7666837792</v>
      </c>
      <c r="I4" t="n">
        <v>5194.23648935747</v>
      </c>
      <c r="J4" t="n">
        <v>5801.80868499056</v>
      </c>
      <c r="K4" t="n">
        <v>6273.59827772844</v>
      </c>
      <c r="L4" t="n">
        <v>6545.29606414117</v>
      </c>
      <c r="M4" t="n">
        <v>7427.3980659199</v>
      </c>
      <c r="N4" t="n">
        <v>7136.4783753578</v>
      </c>
      <c r="O4" t="n">
        <v>6942.86042334974</v>
      </c>
      <c r="P4" t="n">
        <v>6582.44264780846</v>
      </c>
      <c r="Q4" t="n">
        <v>6681.15608296967</v>
      </c>
      <c r="R4" t="n">
        <v>6565.19119575868</v>
      </c>
      <c r="S4" t="n">
        <v>6476.13193098801</v>
      </c>
      <c r="T4" t="n">
        <v>5596.57212866026</v>
      </c>
      <c r="U4" t="n">
        <v>5662.00515657452</v>
      </c>
      <c r="V4" t="n">
        <v>5865.06378552948</v>
      </c>
      <c r="W4" t="n">
        <v>5641.12292342524</v>
      </c>
      <c r="X4" t="n">
        <v>4138.54398741059</v>
      </c>
      <c r="Y4" t="n">
        <v>3869.67552349943</v>
      </c>
      <c r="Z4" t="n">
        <v>4579.54016264795</v>
      </c>
      <c r="AA4" t="n">
        <v>5380.73371344317</v>
      </c>
      <c r="AB4" t="n">
        <v>4717.41761805209</v>
      </c>
      <c r="AC4" t="n">
        <v>4825.84634699937</v>
      </c>
      <c r="AD4" t="n">
        <v>4039.94149190768</v>
      </c>
      <c r="AE4" t="n">
        <v>4961.6</v>
      </c>
      <c r="AF4" t="n">
        <v>4554.2</v>
      </c>
    </row>
    <row r="5">
      <c r="A5" t="s">
        <v>59</v>
      </c>
      <c r="B5" t="s">
        <v>280</v>
      </c>
      <c r="C5" t="s">
        <v>246</v>
      </c>
      <c r="D5" t="s">
        <v>281</v>
      </c>
      <c r="E5" t="s">
        <v>247</v>
      </c>
      <c r="F5" t="n">
        <v>649.405528362026</v>
      </c>
      <c r="G5" t="n">
        <v>760.884800543037</v>
      </c>
      <c r="H5" t="n">
        <v>593.232217372537</v>
      </c>
      <c r="I5" t="n">
        <v>742.269257236747</v>
      </c>
      <c r="J5" t="n">
        <v>747.792093972139</v>
      </c>
      <c r="K5" t="n">
        <v>842.12366545945</v>
      </c>
      <c r="L5" t="n">
        <v>972.352075153715</v>
      </c>
      <c r="M5" t="n">
        <v>1066.22027128608</v>
      </c>
      <c r="N5" t="n">
        <v>957.669389315714</v>
      </c>
      <c r="O5" t="n">
        <v>949.183537931181</v>
      </c>
      <c r="P5" t="n">
        <v>920.880991797397</v>
      </c>
      <c r="Q5" t="n">
        <v>989.029442285464</v>
      </c>
      <c r="R5" t="n">
        <v>922.665469649283</v>
      </c>
      <c r="S5" t="n">
        <v>882.025089099867</v>
      </c>
      <c r="T5" t="n">
        <v>645.056381591669</v>
      </c>
      <c r="U5" t="n">
        <v>813.928578934075</v>
      </c>
      <c r="V5" t="n">
        <v>843.377467172282</v>
      </c>
      <c r="W5" t="n">
        <v>1216.18148650869</v>
      </c>
      <c r="X5" t="n">
        <v>775.106991359492</v>
      </c>
      <c r="Y5" t="n">
        <v>743.823726523625</v>
      </c>
      <c r="Z5" t="n">
        <v>883.701173992127</v>
      </c>
      <c r="AA5" t="n">
        <v>975.851831173124</v>
      </c>
      <c r="AB5" t="n">
        <v>904.523351160153</v>
      </c>
      <c r="AC5" t="n">
        <v>780.630068965928</v>
      </c>
      <c r="AD5" t="n">
        <v>792.912357902457</v>
      </c>
      <c r="AE5" t="n">
        <v>548.8</v>
      </c>
      <c r="AF5" t="n">
        <v>671</v>
      </c>
    </row>
    <row r="6">
      <c r="A6" t="s">
        <v>59</v>
      </c>
      <c r="B6" t="s">
        <v>282</v>
      </c>
      <c r="C6" t="s">
        <v>246</v>
      </c>
      <c r="D6" t="s">
        <v>283</v>
      </c>
      <c r="E6" t="s">
        <v>247</v>
      </c>
      <c r="F6" t="n">
        <v>371.394952792349</v>
      </c>
      <c r="G6" t="n">
        <v>385.507272592614</v>
      </c>
      <c r="H6" t="n">
        <v>370.770243927041</v>
      </c>
      <c r="I6" t="n">
        <v>391.3505852639</v>
      </c>
      <c r="J6" t="n">
        <v>400.5068313088</v>
      </c>
      <c r="K6" t="n">
        <v>445.128940289835</v>
      </c>
      <c r="L6" t="n">
        <v>441.368134778768</v>
      </c>
      <c r="M6" t="n">
        <v>537.133942093712</v>
      </c>
      <c r="N6" t="n">
        <v>581.343655807323</v>
      </c>
      <c r="O6" t="n">
        <v>533.445755729036</v>
      </c>
      <c r="P6" t="n">
        <v>484.700528234268</v>
      </c>
      <c r="Q6" t="n">
        <v>490.839149553337</v>
      </c>
      <c r="R6" t="n">
        <v>444.739575447982</v>
      </c>
      <c r="S6" t="n">
        <v>396.495050675847</v>
      </c>
      <c r="T6" t="n">
        <v>414.90253949959</v>
      </c>
      <c r="U6" t="n">
        <v>373.633566904031</v>
      </c>
      <c r="V6" t="n">
        <v>387.062030349403</v>
      </c>
      <c r="W6" t="n">
        <v>584.462633937355</v>
      </c>
      <c r="X6" t="n">
        <v>325.202054202004</v>
      </c>
      <c r="Y6" t="n">
        <v>354.421028176648</v>
      </c>
      <c r="Z6" t="n">
        <v>334.417525862771</v>
      </c>
      <c r="AA6" t="n">
        <v>336.163563313529</v>
      </c>
      <c r="AB6" t="n">
        <v>235.633474131613</v>
      </c>
      <c r="AC6" t="n">
        <v>443.629659811647</v>
      </c>
      <c r="AD6" t="n">
        <v>238.018181818182</v>
      </c>
      <c r="AE6" t="n">
        <v>201.4</v>
      </c>
      <c r="AF6" t="n">
        <v>258.7</v>
      </c>
    </row>
    <row r="7">
      <c r="A7" t="s">
        <v>59</v>
      </c>
      <c r="B7" t="s">
        <v>284</v>
      </c>
      <c r="C7" t="s">
        <v>246</v>
      </c>
      <c r="D7" t="s">
        <v>285</v>
      </c>
      <c r="E7" t="s">
        <v>247</v>
      </c>
      <c r="F7" t="n">
        <v>282.733512728975</v>
      </c>
      <c r="G7" t="n">
        <v>258.44013960601</v>
      </c>
      <c r="H7" t="n">
        <v>268.496176166555</v>
      </c>
      <c r="I7" t="n">
        <v>272.387425096505</v>
      </c>
      <c r="J7" t="n">
        <v>306.810879398556</v>
      </c>
      <c r="K7" t="n">
        <v>381.874985701052</v>
      </c>
      <c r="L7" t="n">
        <v>323.946747129379</v>
      </c>
      <c r="M7" t="n">
        <v>404.860538604089</v>
      </c>
      <c r="N7" t="n">
        <v>376.977969336747</v>
      </c>
      <c r="O7" t="n">
        <v>335.09152829933</v>
      </c>
      <c r="P7" t="n">
        <v>349.506885402548</v>
      </c>
      <c r="Q7" t="n">
        <v>323.826271958991</v>
      </c>
      <c r="R7" t="n">
        <v>321.399698171363</v>
      </c>
      <c r="S7" t="n">
        <v>356.303892797845</v>
      </c>
      <c r="T7" t="n">
        <v>255.53563903257</v>
      </c>
      <c r="U7" t="n">
        <v>297.590010116319</v>
      </c>
      <c r="V7" t="n">
        <v>308.229739622103</v>
      </c>
      <c r="W7" t="n">
        <v>251.352784989893</v>
      </c>
      <c r="X7" t="n">
        <v>239.676249745863</v>
      </c>
      <c r="Y7" t="n">
        <v>188.500191284937</v>
      </c>
      <c r="Z7" t="n">
        <v>319.229229769972</v>
      </c>
      <c r="AA7" t="n">
        <v>502.981189891748</v>
      </c>
      <c r="AB7" t="n">
        <v>367.357374777729</v>
      </c>
      <c r="AC7" t="n">
        <v>340.949405233941</v>
      </c>
      <c r="AD7" t="n">
        <v>162.3233148295</v>
      </c>
      <c r="AE7" t="n">
        <v>253.8</v>
      </c>
      <c r="AF7" t="n">
        <v>258.9</v>
      </c>
    </row>
    <row r="8">
      <c r="A8" t="s">
        <v>59</v>
      </c>
      <c r="B8" t="s">
        <v>286</v>
      </c>
      <c r="C8" t="s">
        <v>246</v>
      </c>
      <c r="D8" t="s">
        <v>287</v>
      </c>
      <c r="E8" t="s">
        <v>247</v>
      </c>
      <c r="F8" t="n">
        <v>358.002089449082</v>
      </c>
      <c r="G8" t="n">
        <v>189.823564703088</v>
      </c>
      <c r="H8" t="n">
        <v>289.350862553602</v>
      </c>
      <c r="I8" t="n">
        <v>297.316139107044</v>
      </c>
      <c r="J8" t="n">
        <v>386.716681201498</v>
      </c>
      <c r="K8" t="n">
        <v>387.969712165294</v>
      </c>
      <c r="L8" t="n">
        <v>461.222734741958</v>
      </c>
      <c r="M8" t="n">
        <v>366.994434095751</v>
      </c>
      <c r="N8" t="n">
        <v>427.222048280177</v>
      </c>
      <c r="O8" t="n">
        <v>493.253488062361</v>
      </c>
      <c r="P8" t="n">
        <v>474.654976297928</v>
      </c>
      <c r="Q8" t="n">
        <v>417.691360321385</v>
      </c>
      <c r="R8" t="n">
        <v>425.579198328617</v>
      </c>
      <c r="S8" t="n">
        <v>348.211802812881</v>
      </c>
      <c r="T8" t="n">
        <v>263.359153520824</v>
      </c>
      <c r="U8" t="n">
        <v>347.311105441154</v>
      </c>
      <c r="V8" t="n">
        <v>359.634702209353</v>
      </c>
      <c r="W8" t="n">
        <v>282.342534143782</v>
      </c>
      <c r="X8" t="n">
        <v>148.278404385543</v>
      </c>
      <c r="Y8" t="n">
        <v>121.532956186077</v>
      </c>
      <c r="Z8" t="n">
        <v>99.0534651347674</v>
      </c>
      <c r="AA8" t="n">
        <v>151.868279532351</v>
      </c>
      <c r="AB8" t="n">
        <v>274.907326339916</v>
      </c>
      <c r="AC8" t="n">
        <v>270.093375394322</v>
      </c>
      <c r="AD8" t="n">
        <v>264.860567823344</v>
      </c>
      <c r="AE8" t="n">
        <v>159.5</v>
      </c>
      <c r="AF8" t="n">
        <v>85.1</v>
      </c>
    </row>
    <row r="9">
      <c r="A9" t="s">
        <v>59</v>
      </c>
      <c r="B9" t="s">
        <v>288</v>
      </c>
      <c r="C9" t="s">
        <v>246</v>
      </c>
      <c r="D9" t="s">
        <v>289</v>
      </c>
      <c r="E9" t="s">
        <v>247</v>
      </c>
      <c r="F9" t="n">
        <v>389.973604034406</v>
      </c>
      <c r="G9" t="n">
        <v>353.801140762664</v>
      </c>
      <c r="H9" t="n">
        <v>314.042548841966</v>
      </c>
      <c r="I9" t="n">
        <v>289.698165210806</v>
      </c>
      <c r="J9" t="n">
        <v>339.48262895407</v>
      </c>
      <c r="K9" t="n">
        <v>433.262360709339</v>
      </c>
      <c r="L9" t="n">
        <v>437.029859498115</v>
      </c>
      <c r="M9" t="n">
        <v>478.060728365129</v>
      </c>
      <c r="N9" t="n">
        <v>545.186659545601</v>
      </c>
      <c r="O9" t="n">
        <v>430.309510765311</v>
      </c>
      <c r="P9" t="n">
        <v>399.601238267878</v>
      </c>
      <c r="Q9" t="n">
        <v>437.389479775459</v>
      </c>
      <c r="R9" t="n">
        <v>441.643059045295</v>
      </c>
      <c r="S9" t="n">
        <v>435.310418262384</v>
      </c>
      <c r="T9" t="n">
        <v>359.10282815619</v>
      </c>
      <c r="U9" t="n">
        <v>386.470430302002</v>
      </c>
      <c r="V9" t="n">
        <v>400.338214866386</v>
      </c>
      <c r="W9" t="n">
        <v>308.071557457118</v>
      </c>
      <c r="X9" t="n">
        <v>131.796414800351</v>
      </c>
      <c r="Y9" t="n">
        <v>131.283588283618</v>
      </c>
      <c r="Z9" t="n">
        <v>272.31088038516</v>
      </c>
      <c r="AA9" t="n">
        <v>226.720370999409</v>
      </c>
      <c r="AB9" t="n">
        <v>164.560087711328</v>
      </c>
      <c r="AC9" t="n">
        <v>144.39943019943</v>
      </c>
      <c r="AD9" t="n">
        <v>106.563760683761</v>
      </c>
      <c r="AE9" t="n">
        <v>176.6</v>
      </c>
      <c r="AF9" t="n">
        <v>165.9</v>
      </c>
    </row>
    <row r="10">
      <c r="A10" t="s">
        <v>59</v>
      </c>
      <c r="B10" t="s">
        <v>290</v>
      </c>
      <c r="C10" t="s">
        <v>246</v>
      </c>
      <c r="D10" t="s">
        <v>291</v>
      </c>
      <c r="E10" t="s">
        <v>247</v>
      </c>
      <c r="F10" t="n">
        <v>577.028706577207</v>
      </c>
      <c r="G10" t="n">
        <v>465.067912763719</v>
      </c>
      <c r="H10" t="n">
        <v>458.023970341766</v>
      </c>
      <c r="I10" t="n">
        <v>469.868019167465</v>
      </c>
      <c r="J10" t="n">
        <v>516.633632373104</v>
      </c>
      <c r="K10" t="n">
        <v>648.48690897513</v>
      </c>
      <c r="L10" t="n">
        <v>653.760385233059</v>
      </c>
      <c r="M10" t="n">
        <v>728.071246350439</v>
      </c>
      <c r="N10" t="n">
        <v>788.56757884789</v>
      </c>
      <c r="O10" t="n">
        <v>704.665743268108</v>
      </c>
      <c r="P10" t="n">
        <v>611.874035223676</v>
      </c>
      <c r="Q10" t="n">
        <v>653.301698667216</v>
      </c>
      <c r="R10" t="n">
        <v>684.29554669701</v>
      </c>
      <c r="S10" t="n">
        <v>655.675712381948</v>
      </c>
      <c r="T10" t="n">
        <v>594.259132802269</v>
      </c>
      <c r="U10" t="n">
        <v>598.692248302473</v>
      </c>
      <c r="V10" t="n">
        <v>620.204725783697</v>
      </c>
      <c r="W10" t="n">
        <v>508.144421458083</v>
      </c>
      <c r="X10" t="n">
        <v>315.322219165839</v>
      </c>
      <c r="Y10" t="n">
        <v>324.454558087336</v>
      </c>
      <c r="Z10" t="n">
        <v>440.13323159712</v>
      </c>
      <c r="AA10" t="n">
        <v>364.91083478902</v>
      </c>
      <c r="AB10" t="n">
        <v>321.76815990849</v>
      </c>
      <c r="AC10" t="n">
        <v>274.76256302816</v>
      </c>
      <c r="AD10" t="n">
        <v>211.131218274112</v>
      </c>
      <c r="AE10" t="n">
        <v>317.2</v>
      </c>
      <c r="AF10" t="n">
        <v>356.7</v>
      </c>
    </row>
    <row r="11">
      <c r="A11" t="s">
        <v>59</v>
      </c>
      <c r="B11" t="s">
        <v>292</v>
      </c>
      <c r="C11" t="s">
        <v>246</v>
      </c>
      <c r="D11" t="s">
        <v>293</v>
      </c>
      <c r="E11" t="s">
        <v>247</v>
      </c>
      <c r="F11" t="n">
        <v>187.095326834907</v>
      </c>
      <c r="G11" t="n">
        <v>111.292431984668</v>
      </c>
      <c r="H11" t="n">
        <v>143.976203425949</v>
      </c>
      <c r="I11" t="n">
        <v>180.132389646655</v>
      </c>
      <c r="J11" t="n">
        <v>177.132814358936</v>
      </c>
      <c r="K11" t="n">
        <v>215.212467842267</v>
      </c>
      <c r="L11" t="n">
        <v>216.718503306524</v>
      </c>
      <c r="M11" t="n">
        <v>249.992455329344</v>
      </c>
      <c r="N11" t="n">
        <v>243.365469767878</v>
      </c>
      <c r="O11" t="n">
        <v>274.351721129872</v>
      </c>
      <c r="P11" t="n">
        <v>212.261594768901</v>
      </c>
      <c r="Q11" t="n">
        <v>215.901799528391</v>
      </c>
      <c r="R11" t="n">
        <v>242.646391812314</v>
      </c>
      <c r="S11" t="n">
        <v>220.352961229945</v>
      </c>
      <c r="T11" t="n">
        <v>235.178969407203</v>
      </c>
      <c r="U11" t="n">
        <v>212.226566452328</v>
      </c>
      <c r="V11" t="n">
        <v>219.871460525446</v>
      </c>
      <c r="W11" t="n">
        <v>200.118191964599</v>
      </c>
      <c r="X11" t="n">
        <v>183.604081812728</v>
      </c>
      <c r="Y11" t="n">
        <v>193.256645397961</v>
      </c>
      <c r="Z11" t="n">
        <v>167.776768705407</v>
      </c>
      <c r="AA11" t="n">
        <v>138.150950564906</v>
      </c>
      <c r="AB11" t="n">
        <v>157.209806533964</v>
      </c>
      <c r="AC11" t="n">
        <v>130.359109459715</v>
      </c>
      <c r="AD11" t="n">
        <v>104.569362920544</v>
      </c>
      <c r="AE11" t="n">
        <v>140.6</v>
      </c>
      <c r="AF11" t="n">
        <v>190.8</v>
      </c>
    </row>
    <row r="12">
      <c r="A12" t="s">
        <v>59</v>
      </c>
      <c r="B12" t="s">
        <v>294</v>
      </c>
      <c r="C12" t="s">
        <v>246</v>
      </c>
      <c r="D12" t="s">
        <v>295</v>
      </c>
      <c r="E12" t="s">
        <v>247</v>
      </c>
      <c r="F12" t="n">
        <v>746.221682617266</v>
      </c>
      <c r="G12" t="n">
        <v>639.544726141496</v>
      </c>
      <c r="H12" t="n">
        <v>820.760261726231</v>
      </c>
      <c r="I12" t="n">
        <v>829.863564292417</v>
      </c>
      <c r="J12" t="n">
        <v>760.048640245687</v>
      </c>
      <c r="K12" t="n">
        <v>928.026434475063</v>
      </c>
      <c r="L12" t="n">
        <v>917.468682091957</v>
      </c>
      <c r="M12" t="n">
        <v>1142.59913417853</v>
      </c>
      <c r="N12" t="n">
        <v>1024.96826417423</v>
      </c>
      <c r="O12" t="n">
        <v>1022.63785619095</v>
      </c>
      <c r="P12" t="n">
        <v>1000.4551071605</v>
      </c>
      <c r="Q12" t="n">
        <v>1068.27405743248</v>
      </c>
      <c r="R12" t="n">
        <v>938.311047600309</v>
      </c>
      <c r="S12" t="n">
        <v>1075.92530851993</v>
      </c>
      <c r="T12" t="n">
        <v>807.820694789281</v>
      </c>
      <c r="U12" t="n">
        <v>849.719188564027</v>
      </c>
      <c r="V12" t="n">
        <v>880.150792001589</v>
      </c>
      <c r="W12" t="n">
        <v>625.788658352526</v>
      </c>
      <c r="X12" t="n">
        <v>618.718178996651</v>
      </c>
      <c r="Y12" t="n">
        <v>445.649439489546</v>
      </c>
      <c r="Z12" t="n">
        <v>355.000175479118</v>
      </c>
      <c r="AA12" t="n">
        <v>506.658716436333</v>
      </c>
      <c r="AB12" t="n">
        <v>505.629340742639</v>
      </c>
      <c r="AC12" t="n">
        <v>671.543768938522</v>
      </c>
      <c r="AD12" t="n">
        <v>369.746704138988</v>
      </c>
      <c r="AE12" t="n">
        <v>393.9</v>
      </c>
      <c r="AF12" t="n">
        <v>483</v>
      </c>
    </row>
    <row r="13">
      <c r="A13" t="s">
        <v>59</v>
      </c>
      <c r="B13" t="s">
        <v>296</v>
      </c>
      <c r="C13" t="s">
        <v>246</v>
      </c>
      <c r="D13" t="s">
        <v>297</v>
      </c>
      <c r="E13" t="s">
        <v>247</v>
      </c>
      <c r="F13" t="n">
        <v>821.21245825366</v>
      </c>
      <c r="G13" t="n">
        <v>636.426751116758</v>
      </c>
      <c r="H13" t="n">
        <v>940.629677500803</v>
      </c>
      <c r="I13" t="n">
        <v>770.108068147239</v>
      </c>
      <c r="J13" t="n">
        <v>646.289871564223</v>
      </c>
      <c r="K13" t="n">
        <v>877.621604391785</v>
      </c>
      <c r="L13" t="n">
        <v>950.116193385851</v>
      </c>
      <c r="M13" t="n">
        <v>1034.79157632436</v>
      </c>
      <c r="N13" t="n">
        <v>989.690336277531</v>
      </c>
      <c r="O13" t="n">
        <v>1017.63066683394</v>
      </c>
      <c r="P13" t="n">
        <v>815.127541483818</v>
      </c>
      <c r="Q13" t="n">
        <v>869.226705385808</v>
      </c>
      <c r="R13" t="n">
        <v>950.014372622924</v>
      </c>
      <c r="S13" t="n">
        <v>907.929579956138</v>
      </c>
      <c r="T13" t="n">
        <v>891.427934409818</v>
      </c>
      <c r="U13" t="n">
        <v>824.432418842372</v>
      </c>
      <c r="V13" t="n">
        <v>853.972342644541</v>
      </c>
      <c r="W13" t="n">
        <v>888.927259833203</v>
      </c>
      <c r="X13" t="n">
        <v>673.06979367396</v>
      </c>
      <c r="Y13" t="n">
        <v>581.091791704804</v>
      </c>
      <c r="Z13" t="n">
        <v>581.502239730023</v>
      </c>
      <c r="AA13" t="n">
        <v>419.203434082004</v>
      </c>
      <c r="AB13" t="n">
        <v>600.40550757695</v>
      </c>
      <c r="AC13" t="n">
        <v>662.544662410575</v>
      </c>
      <c r="AD13" t="n">
        <v>404.754191363251</v>
      </c>
      <c r="AE13" t="n">
        <v>475.4</v>
      </c>
      <c r="AF13" t="n">
        <v>617.6</v>
      </c>
    </row>
    <row r="14">
      <c r="A14" t="s">
        <v>59</v>
      </c>
      <c r="B14" t="s">
        <v>298</v>
      </c>
      <c r="C14" t="s">
        <v>246</v>
      </c>
      <c r="D14" t="s">
        <v>299</v>
      </c>
      <c r="E14" t="s">
        <v>247</v>
      </c>
      <c r="F14" t="n">
        <v>144.317243696233</v>
      </c>
      <c r="G14" t="n">
        <v>215.788640574367</v>
      </c>
      <c r="H14" t="n">
        <v>242.908702461914</v>
      </c>
      <c r="I14" t="n">
        <v>140.656940451595</v>
      </c>
      <c r="J14" t="n">
        <v>234.953857929234</v>
      </c>
      <c r="K14" t="n">
        <v>189.4286246742</v>
      </c>
      <c r="L14" t="n">
        <v>199.94409154747</v>
      </c>
      <c r="M14" t="n">
        <v>244.764164470775</v>
      </c>
      <c r="N14" t="n">
        <v>268.228926506722</v>
      </c>
      <c r="O14" t="n">
        <v>197.757375550781</v>
      </c>
      <c r="P14" t="n">
        <v>218.408839752382</v>
      </c>
      <c r="Q14" t="n">
        <v>226.039389136629</v>
      </c>
      <c r="R14" t="n">
        <v>238.630763785911</v>
      </c>
      <c r="S14" t="n">
        <v>242.718907071524</v>
      </c>
      <c r="T14" t="n">
        <v>222.220140905855</v>
      </c>
      <c r="U14" t="n">
        <v>198.816926861125</v>
      </c>
      <c r="V14" t="n">
        <v>205.883118122748</v>
      </c>
      <c r="W14" t="n">
        <v>285.8117937213</v>
      </c>
      <c r="X14" t="n">
        <v>105.965974289949</v>
      </c>
      <c r="Y14" t="n">
        <v>242.237193400986</v>
      </c>
      <c r="Z14" t="n">
        <v>297.696491593932</v>
      </c>
      <c r="AA14" t="n">
        <v>635.722083910517</v>
      </c>
      <c r="AB14" t="n">
        <v>401.49244231436</v>
      </c>
      <c r="AC14" t="n">
        <v>117.827078302863</v>
      </c>
      <c r="AD14" t="n">
        <v>122.455639875819</v>
      </c>
      <c r="AE14" t="n">
        <v>291.7</v>
      </c>
      <c r="AF14" t="n">
        <v>166.5</v>
      </c>
    </row>
    <row r="15">
      <c r="A15" t="s">
        <v>59</v>
      </c>
      <c r="B15" t="s">
        <v>300</v>
      </c>
      <c r="C15" t="s">
        <v>246</v>
      </c>
      <c r="D15" t="s">
        <v>301</v>
      </c>
      <c r="E15" t="s">
        <v>247</v>
      </c>
      <c r="F15" t="n">
        <v>330.919057271033</v>
      </c>
      <c r="G15" t="n">
        <v>340.373887478777</v>
      </c>
      <c r="H15" t="n">
        <v>400.341334190097</v>
      </c>
      <c r="I15" t="n">
        <v>301.593714699708</v>
      </c>
      <c r="J15" t="n">
        <v>389.341545873459</v>
      </c>
      <c r="K15" t="n">
        <v>378.262087053012</v>
      </c>
      <c r="L15" t="n">
        <v>419.155285653337</v>
      </c>
      <c r="M15" t="n">
        <v>469.984053788506</v>
      </c>
      <c r="N15" t="n">
        <v>491.50037941078</v>
      </c>
      <c r="O15" t="n">
        <v>424.098519313558</v>
      </c>
      <c r="P15" t="n">
        <v>444.119214609755</v>
      </c>
      <c r="Q15" t="n">
        <v>440.988969229083</v>
      </c>
      <c r="R15" t="n">
        <v>457.959407847024</v>
      </c>
      <c r="S15" t="n">
        <v>443.805362291599</v>
      </c>
      <c r="T15" t="n">
        <v>385.157639701604</v>
      </c>
      <c r="U15" t="n">
        <v>384.052452787108</v>
      </c>
      <c r="V15" t="n">
        <v>397.77627019547</v>
      </c>
      <c r="W15" t="n">
        <v>427.210685014591</v>
      </c>
      <c r="X15" t="n">
        <v>234.781734221381</v>
      </c>
      <c r="Y15" t="n">
        <v>372.864534278284</v>
      </c>
      <c r="Z15" t="n">
        <v>461.055815763246</v>
      </c>
      <c r="AA15" t="n">
        <v>776.434009044184</v>
      </c>
      <c r="AB15" t="n">
        <v>561.666908066687</v>
      </c>
      <c r="AC15" t="n">
        <v>267.265383783784</v>
      </c>
      <c r="AD15" t="n">
        <v>323.113383783784</v>
      </c>
      <c r="AE15" t="n">
        <v>465.4</v>
      </c>
      <c r="AF15" t="n">
        <v>380.3</v>
      </c>
    </row>
    <row r="16">
      <c r="A16" t="s">
        <v>59</v>
      </c>
      <c r="B16" t="s">
        <v>302</v>
      </c>
      <c r="C16" t="s">
        <v>246</v>
      </c>
      <c r="D16" t="s">
        <v>303</v>
      </c>
      <c r="E16" t="s">
        <v>247</v>
      </c>
      <c r="F16" t="n">
        <v>186.780854224393</v>
      </c>
      <c r="G16" t="n">
        <v>124.635334984756</v>
      </c>
      <c r="H16" t="n">
        <v>157.513566017074</v>
      </c>
      <c r="I16" t="n">
        <v>161.08603864839</v>
      </c>
      <c r="J16" t="n">
        <v>154.446574837563</v>
      </c>
      <c r="K16" t="n">
        <v>188.993834998597</v>
      </c>
      <c r="L16" t="n">
        <v>219.413559835024</v>
      </c>
      <c r="M16" t="n">
        <v>225.394913527335</v>
      </c>
      <c r="N16" t="n">
        <v>223.422708033971</v>
      </c>
      <c r="O16" t="n">
        <v>226.573365474058</v>
      </c>
      <c r="P16" t="n">
        <v>225.917771245256</v>
      </c>
      <c r="Q16" t="n">
        <v>215.129915427881</v>
      </c>
      <c r="R16" t="n">
        <v>219.502968480057</v>
      </c>
      <c r="S16" t="n">
        <v>201.211054440052</v>
      </c>
      <c r="T16" t="n">
        <v>163.003562080087</v>
      </c>
      <c r="U16" t="n">
        <v>185.372257419882</v>
      </c>
      <c r="V16" t="n">
        <v>192.034912469176</v>
      </c>
      <c r="W16" t="n">
        <v>141.265875964697</v>
      </c>
      <c r="X16" t="n">
        <v>128.870538044662</v>
      </c>
      <c r="Y16" t="n">
        <v>130.613417238584</v>
      </c>
      <c r="Z16" t="n">
        <v>163.34372367936</v>
      </c>
      <c r="AA16" t="n">
        <v>140.537241505261</v>
      </c>
      <c r="AB16" t="n">
        <v>160.099201861304</v>
      </c>
      <c r="AC16" t="n">
        <v>149.44640787949</v>
      </c>
      <c r="AD16" t="n">
        <v>200.670799536501</v>
      </c>
      <c r="AE16" t="n">
        <v>173.7</v>
      </c>
      <c r="AF16" t="n">
        <v>213.8</v>
      </c>
    </row>
    <row r="17">
      <c r="A17" t="s">
        <v>59</v>
      </c>
      <c r="B17" t="s">
        <v>304</v>
      </c>
      <c r="C17" t="s">
        <v>246</v>
      </c>
      <c r="D17" t="s">
        <v>305</v>
      </c>
      <c r="E17" t="s">
        <v>247</v>
      </c>
      <c r="F17" t="n">
        <v>593.514375023584</v>
      </c>
      <c r="G17" t="n">
        <v>774.583637186076</v>
      </c>
      <c r="H17" t="n">
        <v>684.058793204442</v>
      </c>
      <c r="I17" t="n">
        <v>358.610669631416</v>
      </c>
      <c r="J17" t="n">
        <v>680.980455173868</v>
      </c>
      <c r="K17" t="n">
        <v>483.241127046193</v>
      </c>
      <c r="L17" t="n">
        <v>463.495466521224</v>
      </c>
      <c r="M17" t="n">
        <v>576.486172375531</v>
      </c>
      <c r="N17" t="n">
        <v>543.503833907102</v>
      </c>
      <c r="O17" t="n">
        <v>543.366862174767</v>
      </c>
      <c r="P17" t="n">
        <v>557.662538732105</v>
      </c>
      <c r="Q17" t="n">
        <v>514.746114734269</v>
      </c>
      <c r="R17" t="n">
        <v>490.934399254468</v>
      </c>
      <c r="S17" t="n">
        <v>526.218843900026</v>
      </c>
      <c r="T17" t="n">
        <v>406.305142573151</v>
      </c>
      <c r="U17" t="n">
        <v>464.997354501135</v>
      </c>
      <c r="V17" t="n">
        <v>481.650448296808</v>
      </c>
      <c r="W17" t="n">
        <v>356.751370590719</v>
      </c>
      <c r="X17" t="n">
        <v>245.208952395688</v>
      </c>
      <c r="Y17" t="n">
        <v>301.409080339158</v>
      </c>
      <c r="Z17" t="n">
        <v>452.883306617878</v>
      </c>
      <c r="AA17" t="n">
        <v>580.048090830382</v>
      </c>
      <c r="AB17" t="n">
        <v>359.146014003053</v>
      </c>
      <c r="AC17" t="n">
        <v>492.648409174085</v>
      </c>
      <c r="AD17" t="n">
        <v>526.665806988353</v>
      </c>
      <c r="AE17" t="n">
        <v>483.8</v>
      </c>
      <c r="AF17" t="n">
        <v>451.4</v>
      </c>
    </row>
    <row r="18">
      <c r="A18" t="s">
        <v>59</v>
      </c>
      <c r="B18" t="s">
        <v>306</v>
      </c>
      <c r="C18" t="s">
        <v>246</v>
      </c>
      <c r="D18" t="s">
        <v>307</v>
      </c>
      <c r="E18" t="s">
        <v>247</v>
      </c>
      <c r="F18" t="n">
        <v>350.800006288414</v>
      </c>
      <c r="G18" t="n">
        <v>426.611402539348</v>
      </c>
      <c r="H18" t="n">
        <v>391.046472402367</v>
      </c>
      <c r="I18" t="n">
        <v>261.238514758428</v>
      </c>
      <c r="J18" t="n">
        <v>434.818398506621</v>
      </c>
      <c r="K18" t="n">
        <v>335.244048812715</v>
      </c>
      <c r="L18" t="n">
        <v>400.246485566347</v>
      </c>
      <c r="M18" t="n">
        <v>392.518593495303</v>
      </c>
      <c r="N18" t="n">
        <v>345.900848806768</v>
      </c>
      <c r="O18" t="n">
        <v>365.201212748895</v>
      </c>
      <c r="P18" t="n">
        <v>380.40155027271</v>
      </c>
      <c r="Q18" t="n">
        <v>345.19310639042</v>
      </c>
      <c r="R18" t="n">
        <v>373.706420978029</v>
      </c>
      <c r="S18" t="n">
        <v>433.668090530129</v>
      </c>
      <c r="T18" t="n">
        <v>348.041517823217</v>
      </c>
      <c r="U18" t="n">
        <v>288.927595902861</v>
      </c>
      <c r="V18" t="n">
        <v>299.357806845391</v>
      </c>
      <c r="W18" t="n">
        <v>221.18814151874</v>
      </c>
      <c r="X18" t="n">
        <v>360.82660232932</v>
      </c>
      <c r="Y18" t="n">
        <v>285.543280524397</v>
      </c>
      <c r="Z18" t="n">
        <v>477.307704275779</v>
      </c>
      <c r="AA18" t="n">
        <v>500.520861402167</v>
      </c>
      <c r="AB18" t="n">
        <v>317.55908270705</v>
      </c>
      <c r="AC18" t="n">
        <v>438.665592972182</v>
      </c>
      <c r="AD18" t="n">
        <v>538.796876525134</v>
      </c>
      <c r="AE18" t="n">
        <v>1031</v>
      </c>
      <c r="AF18" t="n">
        <v>639.3</v>
      </c>
    </row>
    <row r="19">
      <c r="A19" t="s">
        <v>59</v>
      </c>
      <c r="B19" t="s">
        <v>308</v>
      </c>
      <c r="C19" t="s">
        <v>246</v>
      </c>
      <c r="D19" t="s">
        <v>309</v>
      </c>
      <c r="E19" t="s">
        <v>247</v>
      </c>
      <c r="F19" t="n">
        <v>426.088532342999</v>
      </c>
      <c r="G19" t="n">
        <v>384.271281390112</v>
      </c>
      <c r="H19" t="n">
        <v>455.923612024862</v>
      </c>
      <c r="I19" t="n">
        <v>499.793667351559</v>
      </c>
      <c r="J19" t="n">
        <v>532.069041881385</v>
      </c>
      <c r="K19" t="n">
        <v>565.87107513032</v>
      </c>
      <c r="L19" t="n">
        <v>542.205183069728</v>
      </c>
      <c r="M19" t="n">
        <v>708.004668390647</v>
      </c>
      <c r="N19" t="n">
        <v>609.236255944509</v>
      </c>
      <c r="O19" t="n">
        <v>554.324199609659</v>
      </c>
      <c r="P19" t="n">
        <v>542.915113883129</v>
      </c>
      <c r="Q19" t="n">
        <v>568.021015103158</v>
      </c>
      <c r="R19" t="n">
        <v>555.506327497677</v>
      </c>
      <c r="S19" t="n">
        <v>450.008185537789</v>
      </c>
      <c r="T19" t="n">
        <v>584.829824248633</v>
      </c>
      <c r="U19" t="n">
        <v>418.747897635049</v>
      </c>
      <c r="V19" t="n">
        <v>433.676329994955</v>
      </c>
      <c r="W19" t="n">
        <v>279.049637579354</v>
      </c>
      <c r="X19" t="n">
        <v>202.833437007019</v>
      </c>
      <c r="Y19" t="n">
        <v>150.611778212597</v>
      </c>
      <c r="Z19" t="n">
        <v>175.457074959324</v>
      </c>
      <c r="AA19" t="n">
        <v>266.164684554806</v>
      </c>
      <c r="AB19" t="n">
        <v>268.943666180088</v>
      </c>
      <c r="AC19" t="n">
        <v>183.119297460014</v>
      </c>
      <c r="AD19" t="n">
        <v>207.582183266932</v>
      </c>
      <c r="AE19" t="n">
        <v>631.4</v>
      </c>
      <c r="AF19" t="n">
        <v>352.2</v>
      </c>
    </row>
    <row r="20">
      <c r="A20" t="s">
        <v>59</v>
      </c>
      <c r="B20" t="s">
        <v>310</v>
      </c>
      <c r="C20" t="s">
        <v>246</v>
      </c>
      <c r="D20" t="s">
        <v>311</v>
      </c>
      <c r="E20" t="s">
        <v>247</v>
      </c>
      <c r="F20" t="n">
        <v>9961.74624201834</v>
      </c>
      <c r="G20" t="n">
        <v>11241.2066286558</v>
      </c>
      <c r="H20" t="n">
        <v>10039.7781127171</v>
      </c>
      <c r="I20" t="n">
        <v>10339.4924099737</v>
      </c>
      <c r="J20" t="n">
        <v>9924.18304987825</v>
      </c>
      <c r="K20" t="n">
        <v>11403.5439225613</v>
      </c>
      <c r="L20" t="n">
        <v>12267.7915573558</v>
      </c>
      <c r="M20" t="n">
        <v>13357.5159091372</v>
      </c>
      <c r="N20" t="n">
        <v>15914.0800015307</v>
      </c>
      <c r="O20" t="n">
        <v>14127.2488878414</v>
      </c>
      <c r="P20" t="n">
        <v>11924.3047628991</v>
      </c>
      <c r="Q20" t="n">
        <v>12053.3967234314</v>
      </c>
      <c r="R20" t="n">
        <v>13667.5185452676</v>
      </c>
      <c r="S20" t="n">
        <v>13766.5780499949</v>
      </c>
      <c r="T20" t="n">
        <v>11025.6989236999</v>
      </c>
      <c r="U20" t="n">
        <v>5693.78355456538</v>
      </c>
      <c r="V20" t="n">
        <v>9513.5199725494</v>
      </c>
      <c r="W20" t="n">
        <v>6011.7493818461</v>
      </c>
      <c r="X20" t="n">
        <v>6228.155194259</v>
      </c>
      <c r="Y20" t="n">
        <v>5815.88718136729</v>
      </c>
      <c r="Z20" t="n">
        <v>4604.76100228291</v>
      </c>
      <c r="AA20" t="n">
        <v>4940.71835411349</v>
      </c>
      <c r="AB20" t="n">
        <v>5541.36761645828</v>
      </c>
      <c r="AC20" t="n">
        <v>5983.3787396868</v>
      </c>
      <c r="AD20" t="n">
        <v>7477.76475095226</v>
      </c>
      <c r="AE20" t="n">
        <v>6895.5</v>
      </c>
      <c r="AF20" t="n">
        <v>7743.8</v>
      </c>
    </row>
    <row r="21">
      <c r="A21" t="s">
        <v>59</v>
      </c>
      <c r="B21" t="s">
        <v>312</v>
      </c>
      <c r="C21" t="s">
        <v>246</v>
      </c>
      <c r="D21" t="s">
        <v>313</v>
      </c>
      <c r="E21" t="s">
        <v>247</v>
      </c>
      <c r="F21" t="n">
        <v>11314.1162278589</v>
      </c>
      <c r="G21" t="n">
        <v>12447.0574587995</v>
      </c>
      <c r="H21" t="n">
        <v>11266.1961210441</v>
      </c>
      <c r="I21" t="n">
        <v>11681.4565549928</v>
      </c>
      <c r="J21" t="n">
        <v>11418.761543</v>
      </c>
      <c r="K21" t="n">
        <v>13303.9957982155</v>
      </c>
      <c r="L21" t="n">
        <v>14280.6917924241</v>
      </c>
      <c r="M21" t="n">
        <v>15398.7629395944</v>
      </c>
      <c r="N21" t="n">
        <v>18368.8411382109</v>
      </c>
      <c r="O21" t="n">
        <v>16207.2860954842</v>
      </c>
      <c r="P21" t="n">
        <v>13781.3359596025</v>
      </c>
      <c r="Q21" t="n">
        <v>14013.1048696605</v>
      </c>
      <c r="R21" t="n">
        <v>15601.8881399101</v>
      </c>
      <c r="S21" t="n">
        <v>15475.0749364493</v>
      </c>
      <c r="T21" t="n">
        <v>12720.7377682872</v>
      </c>
      <c r="U21" t="n">
        <v>7485.49986867433</v>
      </c>
      <c r="V21" t="n">
        <v>11377.1113058886</v>
      </c>
      <c r="W21" t="n">
        <v>7501.51401392896</v>
      </c>
      <c r="X21" t="n">
        <v>7664.52375305998</v>
      </c>
      <c r="Y21" t="n">
        <v>7047.74846320607</v>
      </c>
      <c r="Z21" t="n">
        <v>6036.66391824596</v>
      </c>
      <c r="AA21" t="n">
        <v>6443.70038576255</v>
      </c>
      <c r="AB21" t="n">
        <v>7450.86302271569</v>
      </c>
      <c r="AC21" t="n">
        <v>7296.25531123705</v>
      </c>
      <c r="AD21" t="n">
        <v>8914.02351129623</v>
      </c>
      <c r="AE21" t="n">
        <v>7973.2</v>
      </c>
      <c r="AF21" t="n">
        <v>9642.2</v>
      </c>
    </row>
    <row r="22">
      <c r="A22" t="s">
        <v>59</v>
      </c>
      <c r="B22" t="s">
        <v>314</v>
      </c>
      <c r="C22" t="s">
        <v>246</v>
      </c>
      <c r="D22" t="s">
        <v>315</v>
      </c>
      <c r="E22" t="s">
        <v>247</v>
      </c>
      <c r="F22" t="n">
        <v>1353.92301502049</v>
      </c>
      <c r="G22" t="n">
        <v>1207.08304911935</v>
      </c>
      <c r="H22" t="n">
        <v>1227.3772062603</v>
      </c>
      <c r="I22" t="n">
        <v>1342.79384343145</v>
      </c>
      <c r="J22" t="n">
        <v>1495.01402839019</v>
      </c>
      <c r="K22" t="n">
        <v>1900.45745647635</v>
      </c>
      <c r="L22" t="n">
        <v>2012.94887644369</v>
      </c>
      <c r="M22" t="n">
        <v>2041.39065826432</v>
      </c>
      <c r="N22" t="n">
        <v>2454.93489631939</v>
      </c>
      <c r="O22" t="n">
        <v>2080.14716536689</v>
      </c>
      <c r="P22" t="n">
        <v>1857.12918266109</v>
      </c>
      <c r="Q22" t="n">
        <v>1959.71083377979</v>
      </c>
      <c r="R22" t="n">
        <v>1934.46339782896</v>
      </c>
      <c r="S22" t="n">
        <v>1708.53981034866</v>
      </c>
      <c r="T22" t="n">
        <v>1695.21654193595</v>
      </c>
      <c r="U22" t="n">
        <v>1792.13663661914</v>
      </c>
      <c r="V22" t="n">
        <v>1862.52590937822</v>
      </c>
      <c r="W22" t="n">
        <v>1489.81475283746</v>
      </c>
      <c r="X22" t="n">
        <v>1436.3074656699</v>
      </c>
      <c r="Y22" t="n">
        <v>1231.72103153894</v>
      </c>
      <c r="Z22" t="n">
        <v>1431.99753745847</v>
      </c>
      <c r="AA22" t="n">
        <v>1503.06849033241</v>
      </c>
      <c r="AB22" t="n">
        <v>1909.63704041205</v>
      </c>
      <c r="AC22" t="n">
        <v>1312.95866438754</v>
      </c>
      <c r="AD22" t="n">
        <v>1436.26243346718</v>
      </c>
      <c r="AE22" t="n">
        <v>1077.7</v>
      </c>
      <c r="AF22" t="n">
        <v>1898.4</v>
      </c>
    </row>
    <row r="23">
      <c r="A23" t="s">
        <v>59</v>
      </c>
      <c r="B23" t="s">
        <v>316</v>
      </c>
      <c r="C23" t="s">
        <v>246</v>
      </c>
      <c r="D23" t="s">
        <v>317</v>
      </c>
      <c r="E23" t="s">
        <v>247</v>
      </c>
      <c r="F23" t="n">
        <v>1276.2547754784</v>
      </c>
      <c r="G23" t="n">
        <v>899.578770893886</v>
      </c>
      <c r="H23" t="n">
        <v>1218.18308273501</v>
      </c>
      <c r="I23" t="n">
        <v>1198.36730458919</v>
      </c>
      <c r="J23" t="n">
        <v>1303.08208226053</v>
      </c>
      <c r="K23" t="n">
        <v>1484.96931961878</v>
      </c>
      <c r="L23" t="n">
        <v>1450.15475422429</v>
      </c>
      <c r="M23" t="n">
        <v>1797.58462286268</v>
      </c>
      <c r="N23" t="n">
        <v>2034.22760402831</v>
      </c>
      <c r="O23" t="n">
        <v>1565.46485244684</v>
      </c>
      <c r="P23" t="n">
        <v>1745.30835108138</v>
      </c>
      <c r="Q23" t="n">
        <v>1584.88659671702</v>
      </c>
      <c r="R23" t="n">
        <v>1738.94073275667</v>
      </c>
      <c r="S23" t="n">
        <v>1689.81943787195</v>
      </c>
      <c r="T23" t="n">
        <v>1375.23200756908</v>
      </c>
      <c r="U23" t="n">
        <v>1491.86532779864</v>
      </c>
      <c r="V23" t="n">
        <v>1515.18243930342</v>
      </c>
      <c r="W23" t="n">
        <v>1494.86172716898</v>
      </c>
      <c r="X23" t="n">
        <v>840.878923188632</v>
      </c>
      <c r="Y23" t="n">
        <v>1004.33758215969</v>
      </c>
      <c r="Z23" t="n">
        <v>1136.40894909946</v>
      </c>
      <c r="AA23" t="n">
        <v>885.151940196154</v>
      </c>
      <c r="AB23" t="n">
        <v>1171.76374736349</v>
      </c>
      <c r="AC23" t="n">
        <v>966.897058112786</v>
      </c>
      <c r="AD23" t="n">
        <v>1182.32232665639</v>
      </c>
      <c r="AE23" t="n">
        <v>1306.2</v>
      </c>
      <c r="AF23" t="n">
        <v>1124.1</v>
      </c>
    </row>
    <row r="24">
      <c r="A24" t="s">
        <v>59</v>
      </c>
      <c r="B24" t="s">
        <v>318</v>
      </c>
      <c r="C24" t="s">
        <v>246</v>
      </c>
      <c r="D24" t="s">
        <v>319</v>
      </c>
      <c r="E24" t="s">
        <v>247</v>
      </c>
      <c r="F24" t="n">
        <v>2983.20323386148</v>
      </c>
      <c r="G24" t="n">
        <v>3457.69019349501</v>
      </c>
      <c r="H24" t="n">
        <v>3229.04107676392</v>
      </c>
      <c r="I24" t="n">
        <v>3576.28111237904</v>
      </c>
      <c r="J24" t="n">
        <v>4581.59297869107</v>
      </c>
      <c r="K24" t="n">
        <v>3778.10523882613</v>
      </c>
      <c r="L24" t="n">
        <v>4112.03740637059</v>
      </c>
      <c r="M24" t="n">
        <v>5151.25875797352</v>
      </c>
      <c r="N24" t="n">
        <v>5186.99426145649</v>
      </c>
      <c r="O24" t="n">
        <v>4766.12032699887</v>
      </c>
      <c r="P24" t="n">
        <v>4809.58795188044</v>
      </c>
      <c r="Q24" t="n">
        <v>4725.75798497721</v>
      </c>
      <c r="R24" t="n">
        <v>4593.62828884729</v>
      </c>
      <c r="S24" t="n">
        <v>3868.71278257671</v>
      </c>
      <c r="T24" t="n">
        <v>3999.886201892</v>
      </c>
      <c r="U24" t="n">
        <v>4079.51453892195</v>
      </c>
      <c r="V24" t="n">
        <v>4239.82415997314</v>
      </c>
      <c r="W24" t="n">
        <v>3634.53320229508</v>
      </c>
      <c r="X24" t="n">
        <v>3860.80804147748</v>
      </c>
      <c r="Y24" t="n">
        <v>2956.81746602273</v>
      </c>
      <c r="Z24" t="n">
        <v>3236.90892580183</v>
      </c>
      <c r="AA24" t="n">
        <v>4045.77656919794</v>
      </c>
      <c r="AB24" t="n">
        <v>4145.30252870885</v>
      </c>
      <c r="AC24" t="n">
        <v>4357.04203444837</v>
      </c>
      <c r="AD24" t="n">
        <v>4403.85189873418</v>
      </c>
      <c r="AE24" t="n">
        <v>3998.9</v>
      </c>
      <c r="AF24" t="n">
        <v>4783.9</v>
      </c>
    </row>
    <row r="25">
      <c r="A25" t="s">
        <v>59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59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59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59</v>
      </c>
      <c r="B28" t="s">
        <v>326</v>
      </c>
      <c r="C28" t="s">
        <v>246</v>
      </c>
      <c r="D28" t="s">
        <v>327</v>
      </c>
      <c r="E28" t="s">
        <v>247</v>
      </c>
      <c r="F28" t="n">
        <v>12472.6622467284</v>
      </c>
      <c r="G28" t="n">
        <v>11721.9170629915</v>
      </c>
      <c r="H28" t="n">
        <v>11304.2915213847</v>
      </c>
      <c r="I28" t="n">
        <v>10834.0934295285</v>
      </c>
      <c r="J28" t="n">
        <v>11452.4010409132</v>
      </c>
      <c r="K28" t="n">
        <v>13675.9626335462</v>
      </c>
      <c r="L28" t="n">
        <v>13852.7178430192</v>
      </c>
      <c r="M28" t="n">
        <v>15465.3132822856</v>
      </c>
      <c r="N28" t="n">
        <v>14740.7422845254</v>
      </c>
      <c r="O28" t="n">
        <v>17211.4306295347</v>
      </c>
      <c r="P28" t="n">
        <v>18786.5162447422</v>
      </c>
      <c r="Q28" t="n">
        <v>17361.0938808456</v>
      </c>
      <c r="R28" t="n">
        <v>17167.4540430591</v>
      </c>
      <c r="S28" t="n">
        <v>16433.117811227</v>
      </c>
      <c r="T28" t="n">
        <v>14091.5504995801</v>
      </c>
      <c r="U28" t="n">
        <v>15221.2220239925</v>
      </c>
      <c r="V28" t="n">
        <v>15691.2273435506</v>
      </c>
      <c r="W28" t="n">
        <v>12866.238584775</v>
      </c>
      <c r="X28" t="n">
        <v>10811.2037126069</v>
      </c>
      <c r="Y28" t="n">
        <v>9756.14221269691</v>
      </c>
      <c r="Z28" t="n">
        <v>11755.6375180577</v>
      </c>
      <c r="AA28" t="n">
        <v>12854.3950198983</v>
      </c>
      <c r="AB28" t="n">
        <v>9499.29377387143</v>
      </c>
      <c r="AC28" t="n">
        <v>10813.636994074</v>
      </c>
      <c r="AD28" t="n">
        <v>9810.96219111253</v>
      </c>
      <c r="AE28" t="n">
        <v>10437.5</v>
      </c>
      <c r="AF28" t="n">
        <v>13514.3</v>
      </c>
    </row>
    <row r="29">
      <c r="A29" t="s">
        <v>59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59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59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59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59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59</v>
      </c>
      <c r="B34" t="s">
        <v>338</v>
      </c>
      <c r="C34" t="s">
        <v>246</v>
      </c>
      <c r="D34" t="s">
        <v>339</v>
      </c>
      <c r="E34" t="s">
        <v>247</v>
      </c>
      <c r="F34" t="n">
        <v>3514.50957360537</v>
      </c>
      <c r="G34" t="n">
        <v>3266.20183199195</v>
      </c>
      <c r="H34" t="n">
        <v>3772.89345219125</v>
      </c>
      <c r="I34" t="n">
        <v>3582.89628482679</v>
      </c>
      <c r="J34" t="n">
        <v>3331.43729055003</v>
      </c>
      <c r="K34" t="n">
        <v>4233.41890776396</v>
      </c>
      <c r="L34" t="n">
        <v>4671.13583752531</v>
      </c>
      <c r="M34" t="n">
        <v>4200.45205168202</v>
      </c>
      <c r="N34" t="n">
        <v>4870.22191410762</v>
      </c>
      <c r="O34" t="n">
        <v>4098.66910391783</v>
      </c>
      <c r="P34" t="n">
        <v>3886.49284174786</v>
      </c>
      <c r="Q34" t="n">
        <v>4564.32144087581</v>
      </c>
      <c r="R34" t="n">
        <v>4032.48045648288</v>
      </c>
      <c r="S34" t="n">
        <v>5258.12779508862</v>
      </c>
      <c r="T34" t="n">
        <v>3165.54069251865</v>
      </c>
      <c r="U34" t="n">
        <v>3504.20772696055</v>
      </c>
      <c r="V34" t="n">
        <v>3627.38867402035</v>
      </c>
      <c r="W34" t="n">
        <v>2227.64825657031</v>
      </c>
      <c r="X34" t="n">
        <v>1062.14104962617</v>
      </c>
      <c r="Y34" t="n">
        <v>1426.17181593455</v>
      </c>
      <c r="Z34" t="n">
        <v>2502.08642471758</v>
      </c>
      <c r="AA34" t="n">
        <v>1477.04871960048</v>
      </c>
      <c r="AB34" t="n">
        <v>2799.30116895644</v>
      </c>
      <c r="AC34" t="n">
        <v>1747.15710120968</v>
      </c>
      <c r="AD34" t="n">
        <v>1405.96109936575</v>
      </c>
      <c r="AE34" t="n">
        <v>1047.2</v>
      </c>
      <c r="AF34" t="n">
        <v>2175.4</v>
      </c>
    </row>
    <row r="35">
      <c r="A35" t="s">
        <v>59</v>
      </c>
      <c r="B35" t="s">
        <v>340</v>
      </c>
      <c r="C35" t="s">
        <v>246</v>
      </c>
      <c r="D35" t="s">
        <v>341</v>
      </c>
      <c r="E35" t="s">
        <v>247</v>
      </c>
      <c r="F35" t="n">
        <v>2798.83565019103</v>
      </c>
      <c r="G35" t="n">
        <v>2659.07414971526</v>
      </c>
      <c r="H35" t="n">
        <v>2597.03243982785</v>
      </c>
      <c r="I35" t="n">
        <v>2381.14102101686</v>
      </c>
      <c r="J35" t="n">
        <v>2497.22480883742</v>
      </c>
      <c r="K35" t="n">
        <v>2371.5339776041</v>
      </c>
      <c r="L35" t="n">
        <v>3399.35436312102</v>
      </c>
      <c r="M35" t="n">
        <v>2251.75146170705</v>
      </c>
      <c r="N35" t="n">
        <v>2440.59351030165</v>
      </c>
      <c r="O35" t="n">
        <v>2539.16330197359</v>
      </c>
      <c r="P35" t="n">
        <v>3036.88697330574</v>
      </c>
      <c r="Q35" t="n">
        <v>2879.73741612592</v>
      </c>
      <c r="R35" t="n">
        <v>2666.45947967442</v>
      </c>
      <c r="S35" t="n">
        <v>2154.18286031271</v>
      </c>
      <c r="T35" t="n">
        <v>1674.91157675062</v>
      </c>
      <c r="U35" t="n">
        <v>2129.78625589059</v>
      </c>
      <c r="V35" t="n">
        <v>2195.45163034291</v>
      </c>
      <c r="W35" t="n">
        <v>2008.32701443585</v>
      </c>
      <c r="X35" t="n">
        <v>1453.24121130103</v>
      </c>
      <c r="Y35" t="n">
        <v>2314.18600108159</v>
      </c>
      <c r="Z35" t="n">
        <v>2248.96010714461</v>
      </c>
      <c r="AA35" t="n">
        <v>3067.05309540569</v>
      </c>
      <c r="AB35" t="n">
        <v>3545.07415463327</v>
      </c>
      <c r="AC35" t="n">
        <v>3429.78219558532</v>
      </c>
      <c r="AD35" t="n">
        <v>4114.26986339873</v>
      </c>
      <c r="AE35" t="n">
        <v>3580.4</v>
      </c>
      <c r="AF35" t="n">
        <v>2504.4</v>
      </c>
    </row>
    <row r="36">
      <c r="A36" t="s">
        <v>59</v>
      </c>
      <c r="B36" t="s">
        <v>342</v>
      </c>
      <c r="C36" t="s">
        <v>246</v>
      </c>
      <c r="D36" t="s">
        <v>343</v>
      </c>
      <c r="E36" t="s">
        <v>247</v>
      </c>
      <c r="F36" t="n">
        <v>162.319734481513</v>
      </c>
      <c r="G36" t="n">
        <v>131.475538651162</v>
      </c>
      <c r="H36" t="n">
        <v>139.692759816859</v>
      </c>
      <c r="I36" t="n">
        <v>165.489680619276</v>
      </c>
      <c r="J36" t="n">
        <v>153.635118970331</v>
      </c>
      <c r="K36" t="n">
        <v>178.17297622195</v>
      </c>
      <c r="L36" t="n">
        <v>207.717733700378</v>
      </c>
      <c r="M36" t="n">
        <v>246.573512296933</v>
      </c>
      <c r="N36" t="n">
        <v>241.774714690696</v>
      </c>
      <c r="O36" t="n">
        <v>213.249961057307</v>
      </c>
      <c r="P36" t="n">
        <v>212.462576585711</v>
      </c>
      <c r="Q36" t="n">
        <v>193.022376248766</v>
      </c>
      <c r="R36" t="n">
        <v>218.774889631232</v>
      </c>
      <c r="S36" t="n">
        <v>247.851080750495</v>
      </c>
      <c r="T36" t="n">
        <v>139.868515916224</v>
      </c>
      <c r="U36" t="n">
        <v>183.390548184693</v>
      </c>
      <c r="V36" t="n">
        <v>189.732894223905</v>
      </c>
      <c r="W36" t="n">
        <v>98.272968063742</v>
      </c>
      <c r="X36" t="n">
        <v>120.817340299428</v>
      </c>
      <c r="Y36" t="n">
        <v>79.0748466645665</v>
      </c>
      <c r="Z36" t="n">
        <v>121.385024360412</v>
      </c>
      <c r="AA36" t="n">
        <v>96.923012677281</v>
      </c>
      <c r="AB36" t="n">
        <v>126.27801651684</v>
      </c>
      <c r="AC36" t="n">
        <v>122.078990825688</v>
      </c>
      <c r="AD36" t="n">
        <v>103.862752293578</v>
      </c>
      <c r="AE36" t="n">
        <v>109.7</v>
      </c>
      <c r="AF36" t="n">
        <v>95.1</v>
      </c>
    </row>
    <row r="37">
      <c r="A37" t="s">
        <v>59</v>
      </c>
      <c r="B37" t="s">
        <v>344</v>
      </c>
      <c r="C37" t="s">
        <v>246</v>
      </c>
      <c r="D37" t="s">
        <v>345</v>
      </c>
      <c r="E37" t="s">
        <v>247</v>
      </c>
      <c r="F37" t="n">
        <v>2467.4853496291</v>
      </c>
      <c r="G37" t="n">
        <v>2311.04585115933</v>
      </c>
      <c r="H37" t="n">
        <v>2184.5464993064</v>
      </c>
      <c r="I37" t="n">
        <v>2050.10536558662</v>
      </c>
      <c r="J37" t="n">
        <v>2077.16789588733</v>
      </c>
      <c r="K37" t="n">
        <v>1991.00435846082</v>
      </c>
      <c r="L37" t="n">
        <v>2998.33712145773</v>
      </c>
      <c r="M37" t="n">
        <v>1736.48586451422</v>
      </c>
      <c r="N37" t="n">
        <v>1981.03755664012</v>
      </c>
      <c r="O37" t="n">
        <v>2083.14443960501</v>
      </c>
      <c r="P37" t="n">
        <v>2584.1886733341</v>
      </c>
      <c r="Q37" t="n">
        <v>2497.34628007715</v>
      </c>
      <c r="R37" t="n">
        <v>2077.92608647492</v>
      </c>
      <c r="S37" t="n">
        <v>1753.27573649568</v>
      </c>
      <c r="T37" t="n">
        <v>1350.00990892236</v>
      </c>
      <c r="U37" t="n">
        <v>1759.25791767037</v>
      </c>
      <c r="V37" t="n">
        <v>1823.71764173839</v>
      </c>
      <c r="W37" t="n">
        <v>1809.85492317787</v>
      </c>
      <c r="X37" t="n">
        <v>1145.87359465428</v>
      </c>
      <c r="Y37" t="n">
        <v>2124.32061850788</v>
      </c>
      <c r="Z37" t="n">
        <v>2029.77419978494</v>
      </c>
      <c r="AA37" t="n">
        <v>2752.52327132767</v>
      </c>
      <c r="AB37" t="n">
        <v>3229.28565790091</v>
      </c>
      <c r="AC37" t="n">
        <v>3171.53756471291</v>
      </c>
      <c r="AD37" t="n">
        <v>3885.95839015668</v>
      </c>
      <c r="AE37" t="n">
        <v>3320.6</v>
      </c>
      <c r="AF37" t="n">
        <v>2132.3</v>
      </c>
    </row>
    <row r="38">
      <c r="A38" t="s">
        <v>59</v>
      </c>
      <c r="B38" t="s">
        <v>346</v>
      </c>
      <c r="C38" t="s">
        <v>246</v>
      </c>
      <c r="D38" t="s">
        <v>347</v>
      </c>
      <c r="E38" t="s">
        <v>247</v>
      </c>
      <c r="F38" t="n">
        <v>170.185295245094</v>
      </c>
      <c r="G38" t="n">
        <v>217.630892707363</v>
      </c>
      <c r="H38" t="n">
        <v>273.75587273582</v>
      </c>
      <c r="I38" t="n">
        <v>166.556446267587</v>
      </c>
      <c r="J38" t="n">
        <v>267.279681072062</v>
      </c>
      <c r="K38" t="n">
        <v>203.26994436672</v>
      </c>
      <c r="L38" t="n">
        <v>194.68743560457</v>
      </c>
      <c r="M38" t="n">
        <v>269.847877385944</v>
      </c>
      <c r="N38" t="n">
        <v>218.810818026638</v>
      </c>
      <c r="O38" t="n">
        <v>243.762928854237</v>
      </c>
      <c r="P38" t="n">
        <v>241.271537972994</v>
      </c>
      <c r="Q38" t="n">
        <v>190.464357258764</v>
      </c>
      <c r="R38" t="n">
        <v>370.738264829798</v>
      </c>
      <c r="S38" t="n">
        <v>153.93773863315</v>
      </c>
      <c r="T38" t="n">
        <v>185.673985556051</v>
      </c>
      <c r="U38" t="n">
        <v>187.888344358151</v>
      </c>
      <c r="V38" t="n">
        <v>182.723029049336</v>
      </c>
      <c r="W38" t="n">
        <v>99.996134176971</v>
      </c>
      <c r="X38" t="n">
        <v>186.967130876531</v>
      </c>
      <c r="Y38" t="n">
        <v>110.783928729147</v>
      </c>
      <c r="Z38" t="n">
        <v>97.8471585531765</v>
      </c>
      <c r="AA38" t="n">
        <v>217.689371655071</v>
      </c>
      <c r="AB38" t="n">
        <v>189.577168030741</v>
      </c>
      <c r="AC38" t="n">
        <v>136.216981891348</v>
      </c>
      <c r="AD38" t="n">
        <v>124.428973843058</v>
      </c>
      <c r="AE38" t="n">
        <v>150.1</v>
      </c>
      <c r="AF38" t="n">
        <v>277</v>
      </c>
    </row>
    <row r="39">
      <c r="A39" t="s">
        <v>59</v>
      </c>
      <c r="B39" t="s">
        <v>348</v>
      </c>
      <c r="C39" t="s">
        <v>246</v>
      </c>
      <c r="D39" t="s">
        <v>349</v>
      </c>
      <c r="E39" t="s">
        <v>247</v>
      </c>
      <c r="F39" t="n">
        <v>3852.95094709768</v>
      </c>
      <c r="G39" t="n">
        <v>4516.9986072129</v>
      </c>
      <c r="H39" t="n">
        <v>4255.27441218958</v>
      </c>
      <c r="I39" t="n">
        <v>4204.78207110023</v>
      </c>
      <c r="J39" t="n">
        <v>2327.88084821024</v>
      </c>
      <c r="K39" t="n">
        <v>3230.8627719766</v>
      </c>
      <c r="L39" t="n">
        <v>3641.67784927747</v>
      </c>
      <c r="M39" t="n">
        <v>3967.88962588182</v>
      </c>
      <c r="N39" t="n">
        <v>2252.1368061443</v>
      </c>
      <c r="O39" t="n">
        <v>2744.65480782846</v>
      </c>
      <c r="P39" t="n">
        <v>1710.79556476518</v>
      </c>
      <c r="Q39" t="n">
        <v>1883.47446269868</v>
      </c>
      <c r="R39" t="n">
        <v>2949.02575235291</v>
      </c>
      <c r="S39" t="n">
        <v>2211.27256980558</v>
      </c>
      <c r="T39" t="n">
        <v>1724.92560315534</v>
      </c>
      <c r="U39" t="n">
        <v>2484.46301882953</v>
      </c>
      <c r="V39" t="n">
        <v>2101.68549530549</v>
      </c>
      <c r="W39" t="n">
        <v>1485.35996787135</v>
      </c>
      <c r="X39" t="n">
        <v>1506.35119863198</v>
      </c>
      <c r="Y39" t="n">
        <v>1869.91076332496</v>
      </c>
      <c r="Z39" t="n">
        <v>1850.51377461648</v>
      </c>
      <c r="AA39" t="n">
        <v>1896.74836451029</v>
      </c>
      <c r="AB39" t="n">
        <v>3045.09181124637</v>
      </c>
      <c r="AC39" t="n">
        <v>3095.07179254222</v>
      </c>
      <c r="AD39" t="n">
        <v>3355.48584032922</v>
      </c>
      <c r="AE39" t="n">
        <v>3056.8</v>
      </c>
      <c r="AF39" t="n">
        <v>3947.1</v>
      </c>
    </row>
    <row r="40">
      <c r="A40" t="s">
        <v>59</v>
      </c>
      <c r="B40" t="s">
        <v>350</v>
      </c>
      <c r="C40" t="s">
        <v>246</v>
      </c>
      <c r="D40" t="s">
        <v>351</v>
      </c>
      <c r="E40" t="s">
        <v>247</v>
      </c>
      <c r="F40" t="n">
        <v>9169.55327912321</v>
      </c>
      <c r="G40" t="n">
        <v>10854.2707369432</v>
      </c>
      <c r="H40" t="n">
        <v>11134.3484892716</v>
      </c>
      <c r="I40" t="n">
        <v>10292.3339647344</v>
      </c>
      <c r="J40" t="n">
        <v>11978.6307197576</v>
      </c>
      <c r="K40" t="n">
        <v>12281.3713639829</v>
      </c>
      <c r="L40" t="n">
        <v>12834.7652650082</v>
      </c>
      <c r="M40" t="n">
        <v>14794.2591690416</v>
      </c>
      <c r="N40" t="n">
        <v>14302.7602209221</v>
      </c>
      <c r="O40" t="n">
        <v>13796.8748111789</v>
      </c>
      <c r="P40" t="n">
        <v>14064.7396678853</v>
      </c>
      <c r="Q40" t="n">
        <v>14312.4721594963</v>
      </c>
      <c r="R40" t="n">
        <v>14426.1864947469</v>
      </c>
      <c r="S40" t="n">
        <v>13148.033938088</v>
      </c>
      <c r="T40" t="n">
        <v>12226.6844829614</v>
      </c>
      <c r="U40" t="n">
        <v>11395.9392264258</v>
      </c>
      <c r="V40" t="n">
        <v>11348.458384289</v>
      </c>
      <c r="W40" t="n">
        <v>12087.3529101327</v>
      </c>
      <c r="X40" t="n">
        <v>11207.4385152107</v>
      </c>
      <c r="Y40" t="n">
        <v>10761.7539618136</v>
      </c>
      <c r="Z40" t="n">
        <v>8528.33727548345</v>
      </c>
      <c r="AA40" t="n">
        <v>9438.43746531523</v>
      </c>
      <c r="AB40" t="n">
        <v>11617.9872243602</v>
      </c>
      <c r="AC40" t="n">
        <v>12018.6392496795</v>
      </c>
      <c r="AD40" t="n">
        <v>13642.8694767124</v>
      </c>
      <c r="AE40" t="n">
        <v>11963.6</v>
      </c>
      <c r="AF40" t="n">
        <v>14077.3</v>
      </c>
    </row>
    <row r="41">
      <c r="A41" t="s">
        <v>59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59</v>
      </c>
      <c r="B42" t="s">
        <v>354</v>
      </c>
      <c r="C42" t="s">
        <v>246</v>
      </c>
      <c r="D42" t="s">
        <v>355</v>
      </c>
      <c r="E42" t="s">
        <v>247</v>
      </c>
      <c r="F42" t="n">
        <v>1027.49315128768</v>
      </c>
      <c r="G42" t="n">
        <v>1230.69014192181</v>
      </c>
      <c r="H42" t="n">
        <v>1374.60892913305</v>
      </c>
      <c r="I42" t="n">
        <v>1156.53052945264</v>
      </c>
      <c r="J42" t="n">
        <v>1504.2807488421</v>
      </c>
      <c r="K42" t="n">
        <v>1547.97160132252</v>
      </c>
      <c r="L42" t="n">
        <v>1462.07364447343</v>
      </c>
      <c r="M42" t="n">
        <v>1644.85108401501</v>
      </c>
      <c r="N42" t="n">
        <v>1634.15561153168</v>
      </c>
      <c r="O42" t="n">
        <v>1370.27338845135</v>
      </c>
      <c r="P42" t="n">
        <v>1500.18939737267</v>
      </c>
      <c r="Q42" t="n">
        <v>1363.18121622932</v>
      </c>
      <c r="R42" t="n">
        <v>1464.99809866646</v>
      </c>
      <c r="S42" t="n">
        <v>1257.48498618459</v>
      </c>
      <c r="T42" t="n">
        <v>1244.9631566819</v>
      </c>
      <c r="U42" t="n">
        <v>1149.8856045332</v>
      </c>
      <c r="V42" t="n">
        <v>1150.74244924597</v>
      </c>
      <c r="W42" t="n">
        <v>2127.55337750512</v>
      </c>
      <c r="X42" t="n">
        <v>1982.50685868702</v>
      </c>
      <c r="Y42" t="n">
        <v>1312.68980312939</v>
      </c>
      <c r="Z42" t="n">
        <v>903.846112296937</v>
      </c>
      <c r="AA42" t="n">
        <v>846.656258321088</v>
      </c>
      <c r="AB42" t="n">
        <v>664.193447332479</v>
      </c>
      <c r="AC42" t="n">
        <v>839.789525978263</v>
      </c>
      <c r="AD42" t="n">
        <v>772.179778589094</v>
      </c>
      <c r="AE42" t="n">
        <v>854.5</v>
      </c>
      <c r="AF42" t="n">
        <v>992.8</v>
      </c>
    </row>
    <row r="43">
      <c r="A43" t="s">
        <v>59</v>
      </c>
      <c r="B43" t="s">
        <v>356</v>
      </c>
      <c r="C43" t="s">
        <v>246</v>
      </c>
      <c r="D43" t="s">
        <v>357</v>
      </c>
      <c r="E43" t="s">
        <v>247</v>
      </c>
      <c r="F43" t="n">
        <v>1235.74832332628</v>
      </c>
      <c r="G43" t="n">
        <v>1488.83892060055</v>
      </c>
      <c r="H43" t="n">
        <v>1691.11588786359</v>
      </c>
      <c r="I43" t="n">
        <v>1364.5466234062</v>
      </c>
      <c r="J43" t="n">
        <v>1822.87245244002</v>
      </c>
      <c r="K43" t="n">
        <v>1837.10386915004</v>
      </c>
      <c r="L43" t="n">
        <v>1747.3788911927</v>
      </c>
      <c r="M43" t="n">
        <v>1975.78585836813</v>
      </c>
      <c r="N43" t="n">
        <v>1998.00940543313</v>
      </c>
      <c r="O43" t="n">
        <v>1670.40638574484</v>
      </c>
      <c r="P43" t="n">
        <v>1817.25242231976</v>
      </c>
      <c r="Q43" t="n">
        <v>1677.88796069082</v>
      </c>
      <c r="R43" t="n">
        <v>1788.10621161349</v>
      </c>
      <c r="S43" t="n">
        <v>1615.12026924194</v>
      </c>
      <c r="T43" t="n">
        <v>1489.18035016737</v>
      </c>
      <c r="U43" t="n">
        <v>1436.69384231476</v>
      </c>
      <c r="V43" t="n">
        <v>1471.07168229859</v>
      </c>
      <c r="W43" t="n">
        <v>2323.23691429791</v>
      </c>
      <c r="X43" t="n">
        <v>2284.59807438218</v>
      </c>
      <c r="Y43" t="n">
        <v>1901.74861232092</v>
      </c>
      <c r="Z43" t="n">
        <v>1114.11431028692</v>
      </c>
      <c r="AA43" t="n">
        <v>1058.77308705914</v>
      </c>
      <c r="AB43" t="n">
        <v>915.531553655863</v>
      </c>
      <c r="AC43" t="n">
        <v>1126.1386220824</v>
      </c>
      <c r="AD43" t="n">
        <v>977.610286259542</v>
      </c>
      <c r="AE43" t="n">
        <v>1054.7</v>
      </c>
      <c r="AF43" t="n">
        <v>1288.1</v>
      </c>
    </row>
    <row r="44">
      <c r="A44" t="s">
        <v>59</v>
      </c>
      <c r="B44" t="s">
        <v>358</v>
      </c>
      <c r="C44" t="s">
        <v>246</v>
      </c>
      <c r="D44" t="s">
        <v>359</v>
      </c>
      <c r="E44" t="s">
        <v>247</v>
      </c>
      <c r="F44" t="n">
        <v>50251.3479226464</v>
      </c>
      <c r="G44" t="n">
        <v>50590.8062083818</v>
      </c>
      <c r="H44" t="n">
        <v>49957.301553448</v>
      </c>
      <c r="I44" t="n">
        <v>49215.9169894053</v>
      </c>
      <c r="J44" t="n">
        <v>49990.3096169163</v>
      </c>
      <c r="K44" t="n">
        <v>56388.4535243016</v>
      </c>
      <c r="L44" t="n">
        <v>60219.3840837238</v>
      </c>
      <c r="M44" t="n">
        <v>64233.3289063686</v>
      </c>
      <c r="N44" t="n">
        <v>65946.5236970411</v>
      </c>
      <c r="O44" t="n">
        <v>64560.2066098511</v>
      </c>
      <c r="P44" t="n">
        <v>63167.5853733415</v>
      </c>
      <c r="Q44" t="n">
        <v>62218.9061298781</v>
      </c>
      <c r="R44" t="n">
        <v>63799.0853964171</v>
      </c>
      <c r="S44" t="n">
        <v>61027.004466886</v>
      </c>
      <c r="T44" t="n">
        <v>51089.4954242591</v>
      </c>
      <c r="U44" t="n">
        <v>48742.945205202</v>
      </c>
      <c r="V44" t="n">
        <v>53940.5207048854</v>
      </c>
      <c r="W44" t="n">
        <v>43904.3280822551</v>
      </c>
      <c r="X44" t="n">
        <v>37007.2848032771</v>
      </c>
      <c r="Y44" t="n">
        <v>36312.619302356</v>
      </c>
      <c r="Z44" t="n">
        <v>38306.3639344382</v>
      </c>
      <c r="AA44" t="n">
        <v>40199.3572560318</v>
      </c>
      <c r="AB44" t="n">
        <v>40652.1906382468</v>
      </c>
      <c r="AC44" t="n">
        <v>42486.8646660238</v>
      </c>
      <c r="AD44" t="n">
        <v>42530.1345136773</v>
      </c>
      <c r="AE44" t="n">
        <v>41111.4</v>
      </c>
      <c r="AF44" t="n">
        <v>48185.9</v>
      </c>
    </row>
    <row r="45">
      <c r="A45" t="s">
        <v>59</v>
      </c>
      <c r="B45" t="s">
        <v>360</v>
      </c>
      <c r="C45" t="s">
        <v>246</v>
      </c>
      <c r="D45" t="s">
        <v>361</v>
      </c>
      <c r="E45" t="s">
        <v>247</v>
      </c>
      <c r="F45" t="n">
        <v>48042.9653952829</v>
      </c>
      <c r="G45" t="n">
        <v>48451.360951381</v>
      </c>
      <c r="H45" t="n">
        <v>47672.7280865555</v>
      </c>
      <c r="I45" t="n">
        <v>46949.7815577837</v>
      </c>
      <c r="J45" t="n">
        <v>47365.7170088831</v>
      </c>
      <c r="K45" t="n">
        <v>53341.7573745624</v>
      </c>
      <c r="L45" t="n">
        <v>57322.5170182043</v>
      </c>
      <c r="M45" t="n">
        <v>61085.6539103534</v>
      </c>
      <c r="N45" t="n">
        <v>62659.8776427749</v>
      </c>
      <c r="O45" t="n">
        <v>61566.241745241</v>
      </c>
      <c r="P45" t="n">
        <v>59884.1569791063</v>
      </c>
      <c r="Q45" t="n">
        <v>58668.9342842127</v>
      </c>
      <c r="R45" t="n">
        <v>60630.8335663429</v>
      </c>
      <c r="S45" t="n">
        <v>58088.2747795332</v>
      </c>
      <c r="T45" t="n">
        <v>48671.8654146944</v>
      </c>
      <c r="U45" t="n">
        <v>46605.6774315171</v>
      </c>
      <c r="V45" t="n">
        <v>51128.471788093</v>
      </c>
      <c r="W45" t="n">
        <v>41334.8275666351</v>
      </c>
      <c r="X45" t="n">
        <v>35298.0469323333</v>
      </c>
      <c r="Y45" t="n">
        <v>34964.1453804149</v>
      </c>
      <c r="Z45" t="n">
        <v>36882.6842702624</v>
      </c>
      <c r="AA45" t="n">
        <v>38591.8485225301</v>
      </c>
      <c r="AB45" t="n">
        <v>38568.2806357738</v>
      </c>
      <c r="AC45" t="n">
        <v>40104.9911669595</v>
      </c>
      <c r="AD45" t="n">
        <v>39960.2906312778</v>
      </c>
      <c r="AE45" t="n">
        <v>38722.9</v>
      </c>
      <c r="AF45" t="n">
        <v>45790.6</v>
      </c>
    </row>
    <row r="46">
      <c r="A46" t="s">
        <v>59</v>
      </c>
      <c r="B46" t="s">
        <v>362</v>
      </c>
      <c r="C46" t="s">
        <v>246</v>
      </c>
      <c r="D46" t="s">
        <v>363</v>
      </c>
      <c r="E46" t="s">
        <v>247</v>
      </c>
      <c r="F46" t="n">
        <v>208.677333685466</v>
      </c>
      <c r="G46" t="n">
        <v>258.656843234825</v>
      </c>
      <c r="H46" t="n">
        <v>317.009292031821</v>
      </c>
      <c r="I46" t="n">
        <v>208.643870776046</v>
      </c>
      <c r="J46" t="n">
        <v>319.269246368783</v>
      </c>
      <c r="K46" t="n">
        <v>289.989920360329</v>
      </c>
      <c r="L46" t="n">
        <v>286.085343493747</v>
      </c>
      <c r="M46" t="n">
        <v>331.800762250509</v>
      </c>
      <c r="N46" t="n">
        <v>364.71359750554</v>
      </c>
      <c r="O46" t="n">
        <v>300.851111553127</v>
      </c>
      <c r="P46" t="n">
        <v>317.855739597434</v>
      </c>
      <c r="Q46" t="n">
        <v>315.355891075236</v>
      </c>
      <c r="R46" t="n">
        <v>323.829945729849</v>
      </c>
      <c r="S46" t="n">
        <v>358.187940693608</v>
      </c>
      <c r="T46" t="n">
        <v>244.803085961773</v>
      </c>
      <c r="U46" t="n">
        <v>287.334308026432</v>
      </c>
      <c r="V46" t="n">
        <v>320.904908404287</v>
      </c>
      <c r="W46" t="n">
        <v>195.73654124178</v>
      </c>
      <c r="X46" t="n">
        <v>302.195130287074</v>
      </c>
      <c r="Y46" t="n">
        <v>589.224143489548</v>
      </c>
      <c r="Z46" t="n">
        <v>210.327266960399</v>
      </c>
      <c r="AA46" t="n">
        <v>212.175846455168</v>
      </c>
      <c r="AB46" t="n">
        <v>251.380015950522</v>
      </c>
      <c r="AC46" t="n">
        <v>286.399146482122</v>
      </c>
      <c r="AD46" t="n">
        <v>205.433986928105</v>
      </c>
      <c r="AE46" t="n">
        <v>200.2</v>
      </c>
      <c r="AF46" t="n">
        <v>295.3</v>
      </c>
    </row>
    <row r="47">
      <c r="A47" t="s">
        <v>59</v>
      </c>
      <c r="B47" t="s">
        <v>364</v>
      </c>
      <c r="C47" t="s">
        <v>246</v>
      </c>
      <c r="D47" t="s">
        <v>365</v>
      </c>
      <c r="E47" t="s">
        <v>247</v>
      </c>
      <c r="F47" t="n">
        <v>19432.3087323796</v>
      </c>
      <c r="G47" t="n">
        <v>21440.0338070773</v>
      </c>
      <c r="H47" t="n">
        <v>21891.2882896287</v>
      </c>
      <c r="I47" t="n">
        <v>23483.2048479399</v>
      </c>
      <c r="J47" t="n">
        <v>24596.6653685975</v>
      </c>
      <c r="K47" t="n">
        <v>23437.2513609888</v>
      </c>
      <c r="L47" t="n">
        <v>24797.3951899716</v>
      </c>
      <c r="M47" t="n">
        <v>26469.6589552234</v>
      </c>
      <c r="N47" t="n">
        <v>26620.3793802382</v>
      </c>
      <c r="O47" t="n">
        <v>30246.1054063606</v>
      </c>
      <c r="P47" t="n">
        <v>27382.1179833771</v>
      </c>
      <c r="Q47" t="n">
        <v>26181.4624505742</v>
      </c>
      <c r="R47" t="n">
        <v>25011.7375787204</v>
      </c>
      <c r="S47" t="n">
        <v>24404.6054612631</v>
      </c>
      <c r="T47" t="n">
        <v>25624.27196133</v>
      </c>
      <c r="U47" t="n">
        <v>20246.8990827068</v>
      </c>
      <c r="V47" t="n">
        <v>17917.3711083146</v>
      </c>
      <c r="W47" t="n">
        <v>17211.9894725773</v>
      </c>
      <c r="X47" t="n">
        <v>16181.5792040807</v>
      </c>
      <c r="Y47" t="n">
        <v>14669.7213862853</v>
      </c>
      <c r="Z47" t="n">
        <v>15313.3227244211</v>
      </c>
      <c r="AA47" t="n">
        <v>12517.3606829762</v>
      </c>
      <c r="AB47" t="n">
        <v>11677.4841678585</v>
      </c>
      <c r="AC47" t="n">
        <v>11388.5166097938</v>
      </c>
      <c r="AD47" t="n">
        <v>13795.900125304</v>
      </c>
      <c r="AE47" t="n">
        <v>13653</v>
      </c>
      <c r="AF47" t="n">
        <v>14176.5</v>
      </c>
    </row>
    <row r="48">
      <c r="A48" t="s">
        <v>59</v>
      </c>
      <c r="B48" t="s">
        <v>366</v>
      </c>
      <c r="C48" t="s">
        <v>246</v>
      </c>
      <c r="D48" t="s">
        <v>367</v>
      </c>
      <c r="E48" t="s">
        <v>247</v>
      </c>
      <c r="F48" t="n">
        <v>23237.2081936874</v>
      </c>
      <c r="G48" t="n">
        <v>25309.3552636514</v>
      </c>
      <c r="H48" t="n">
        <v>26013.3376215002</v>
      </c>
      <c r="I48" t="n">
        <v>27945.5000493255</v>
      </c>
      <c r="J48" t="n">
        <v>29405.2122376313</v>
      </c>
      <c r="K48" t="n">
        <v>29055.1203908646</v>
      </c>
      <c r="L48" t="n">
        <v>30478.8712884618</v>
      </c>
      <c r="M48" t="n">
        <v>32496.972630102</v>
      </c>
      <c r="N48" t="n">
        <v>32686.9483934346</v>
      </c>
      <c r="O48" t="n">
        <v>35995.3091049223</v>
      </c>
      <c r="P48" t="n">
        <v>33287.642910333</v>
      </c>
      <c r="Q48" t="n">
        <v>32227.9173677375</v>
      </c>
      <c r="R48" t="n">
        <v>30917.9074581395</v>
      </c>
      <c r="S48" t="n">
        <v>29538.2150668295</v>
      </c>
      <c r="T48" t="n">
        <v>31231.3966115062</v>
      </c>
      <c r="U48" t="n">
        <v>25893.1799481815</v>
      </c>
      <c r="V48" t="n">
        <v>22719.3354145701</v>
      </c>
      <c r="W48" t="n">
        <v>21559.352530749</v>
      </c>
      <c r="X48" t="n">
        <v>19884.6224430802</v>
      </c>
      <c r="Y48" t="n">
        <v>17465.9483822018</v>
      </c>
      <c r="Z48" t="n">
        <v>17949.0767933353</v>
      </c>
      <c r="AA48" t="n">
        <v>14731.6093043172</v>
      </c>
      <c r="AB48" t="n">
        <v>13596.9836269963</v>
      </c>
      <c r="AC48" t="n">
        <v>13183.0920433932</v>
      </c>
      <c r="AD48" t="n">
        <v>15562.8597328993</v>
      </c>
      <c r="AE48" t="n">
        <v>15394.5</v>
      </c>
      <c r="AF48" t="n">
        <v>16749.1</v>
      </c>
    </row>
    <row r="49">
      <c r="A49" t="s">
        <v>59</v>
      </c>
      <c r="B49" t="s">
        <v>368</v>
      </c>
      <c r="C49" t="s">
        <v>246</v>
      </c>
      <c r="D49" t="s">
        <v>369</v>
      </c>
      <c r="E49" t="s">
        <v>247</v>
      </c>
      <c r="F49" t="n">
        <v>1364.77202755843</v>
      </c>
      <c r="G49" t="n">
        <v>1371.97127713862</v>
      </c>
      <c r="H49" t="n">
        <v>1407.80259924109</v>
      </c>
      <c r="I49" t="n">
        <v>1629.59194500145</v>
      </c>
      <c r="J49" t="n">
        <v>1745.52879560056</v>
      </c>
      <c r="K49" t="n">
        <v>1967.10133912524</v>
      </c>
      <c r="L49" t="n">
        <v>1916.05668557629</v>
      </c>
      <c r="M49" t="n">
        <v>2179.82249823952</v>
      </c>
      <c r="N49" t="n">
        <v>2108.75662595992</v>
      </c>
      <c r="O49" t="n">
        <v>2256.56922566571</v>
      </c>
      <c r="P49" t="n">
        <v>2025.67664364284</v>
      </c>
      <c r="Q49" t="n">
        <v>1896.45546930824</v>
      </c>
      <c r="R49" t="n">
        <v>1779.68522525813</v>
      </c>
      <c r="S49" t="n">
        <v>1544.10940904584</v>
      </c>
      <c r="T49" t="n">
        <v>1510.17169950785</v>
      </c>
      <c r="U49" t="n">
        <v>1405.07303238513</v>
      </c>
      <c r="V49" t="n">
        <v>1346.50601655684</v>
      </c>
      <c r="W49" t="n">
        <v>1206.31563364076</v>
      </c>
      <c r="X49" t="n">
        <v>1333.40923701553</v>
      </c>
      <c r="Y49" t="n">
        <v>1129.27834244629</v>
      </c>
      <c r="Z49" t="n">
        <v>1133.27960122301</v>
      </c>
      <c r="AA49" t="n">
        <v>956.843320760744</v>
      </c>
      <c r="AB49" t="n">
        <v>606.841460557782</v>
      </c>
      <c r="AC49" t="n">
        <v>621.18033051189</v>
      </c>
      <c r="AD49" t="n">
        <v>590.382990729545</v>
      </c>
      <c r="AE49" t="n">
        <v>499.4</v>
      </c>
      <c r="AF49" t="n">
        <v>733.6</v>
      </c>
    </row>
    <row r="50">
      <c r="A50" t="s">
        <v>59</v>
      </c>
      <c r="B50" t="s">
        <v>370</v>
      </c>
      <c r="C50" t="s">
        <v>246</v>
      </c>
      <c r="D50" t="s">
        <v>371</v>
      </c>
      <c r="E50" t="s">
        <v>247</v>
      </c>
      <c r="F50" t="n">
        <v>2442.74301447315</v>
      </c>
      <c r="G50" t="n">
        <v>2499.97063680462</v>
      </c>
      <c r="H50" t="n">
        <v>2717.05351421157</v>
      </c>
      <c r="I50" t="n">
        <v>2835.91244390345</v>
      </c>
      <c r="J50" t="n">
        <v>3066.44875615841</v>
      </c>
      <c r="K50" t="n">
        <v>3652.78037285574</v>
      </c>
      <c r="L50" t="n">
        <v>3767.6259070773</v>
      </c>
      <c r="M50" t="n">
        <v>3850.15207826174</v>
      </c>
      <c r="N50" t="n">
        <v>3960.52244753876</v>
      </c>
      <c r="O50" t="n">
        <v>3495.1983433456</v>
      </c>
      <c r="P50" t="n">
        <v>3882.56394063479</v>
      </c>
      <c r="Q50" t="n">
        <v>4152.6008385401</v>
      </c>
      <c r="R50" t="n">
        <v>4129.30297865465</v>
      </c>
      <c r="S50" t="n">
        <v>3591.80283759983</v>
      </c>
      <c r="T50" t="n">
        <v>4099.67755147884</v>
      </c>
      <c r="U50" t="n">
        <v>4244.00513530035</v>
      </c>
      <c r="V50" t="n">
        <v>3457.46267061219</v>
      </c>
      <c r="W50" t="n">
        <v>3142.41807100085</v>
      </c>
      <c r="X50" t="n">
        <v>2370.39152411694</v>
      </c>
      <c r="Y50" t="n">
        <v>1667.3283974108</v>
      </c>
      <c r="Z50" t="n">
        <v>1502.98580880242</v>
      </c>
      <c r="AA50" t="n">
        <v>1257.65695547986</v>
      </c>
      <c r="AB50" t="n">
        <v>1312.71804150127</v>
      </c>
      <c r="AC50" t="n">
        <v>1173.66413351697</v>
      </c>
      <c r="AD50" t="n">
        <v>1176.78397472251</v>
      </c>
      <c r="AE50" t="n">
        <v>1242.2</v>
      </c>
      <c r="AF50" t="n">
        <v>1839</v>
      </c>
    </row>
    <row r="51">
      <c r="A51" t="s">
        <v>59</v>
      </c>
      <c r="B51" t="s">
        <v>372</v>
      </c>
      <c r="C51" t="s">
        <v>246</v>
      </c>
      <c r="D51" t="s">
        <v>373</v>
      </c>
      <c r="E51" t="s">
        <v>247</v>
      </c>
      <c r="F51" t="n">
        <v>2339.51220499317</v>
      </c>
      <c r="G51" t="n">
        <v>2405.15257681156</v>
      </c>
      <c r="H51" t="n">
        <v>2598.77070903956</v>
      </c>
      <c r="I51" t="n">
        <v>2739.34559079258</v>
      </c>
      <c r="J51" t="n">
        <v>2968.12436664609</v>
      </c>
      <c r="K51" t="n">
        <v>3539.88460375692</v>
      </c>
      <c r="L51" t="n">
        <v>3633.49491894492</v>
      </c>
      <c r="M51" t="n">
        <v>3740.64540704572</v>
      </c>
      <c r="N51" t="n">
        <v>3840.15760988969</v>
      </c>
      <c r="O51" t="n">
        <v>3365.76347349182</v>
      </c>
      <c r="P51" t="n">
        <v>3770.6033402738</v>
      </c>
      <c r="Q51" t="n">
        <v>4034.82885191854</v>
      </c>
      <c r="R51" t="n">
        <v>4001.46611410275</v>
      </c>
      <c r="S51" t="n">
        <v>3503.06786002653</v>
      </c>
      <c r="T51" t="n">
        <v>4004.39268454814</v>
      </c>
      <c r="U51" t="n">
        <v>4135.31083831053</v>
      </c>
      <c r="V51" t="n">
        <v>3342.96152514744</v>
      </c>
      <c r="W51" t="n">
        <v>3047.75525177344</v>
      </c>
      <c r="X51" t="n">
        <v>2208.17297424903</v>
      </c>
      <c r="Y51" t="n">
        <v>1537.27854981591</v>
      </c>
      <c r="Z51" t="n">
        <v>1413.77929219408</v>
      </c>
      <c r="AA51" t="n">
        <v>1111.80203180169</v>
      </c>
      <c r="AB51" t="n">
        <v>1141.3389366547</v>
      </c>
      <c r="AC51" t="n">
        <v>1075.08680207588</v>
      </c>
      <c r="AD51" t="n">
        <v>1038.05301539012</v>
      </c>
      <c r="AE51" t="n">
        <v>1124.7</v>
      </c>
      <c r="AF51" t="n">
        <v>1628.1</v>
      </c>
    </row>
    <row r="52">
      <c r="A52" t="s">
        <v>59</v>
      </c>
      <c r="B52" t="s">
        <v>374</v>
      </c>
      <c r="C52" t="s">
        <v>246</v>
      </c>
      <c r="D52" t="s">
        <v>375</v>
      </c>
      <c r="E52" t="s">
        <v>247</v>
      </c>
      <c r="F52" t="n">
        <v>102.887120708561</v>
      </c>
      <c r="G52" t="n">
        <v>94.4706450579444</v>
      </c>
      <c r="H52" t="n">
        <v>117.879300470532</v>
      </c>
      <c r="I52" t="n">
        <v>96.181736922385</v>
      </c>
      <c r="J52" t="n">
        <v>97.9161616865591</v>
      </c>
      <c r="K52" t="n">
        <v>112.416484993645</v>
      </c>
      <c r="L52" t="n">
        <v>133.63566087598</v>
      </c>
      <c r="M52" t="n">
        <v>108.98017322528</v>
      </c>
      <c r="N52" t="n">
        <v>119.835895525858</v>
      </c>
      <c r="O52" t="n">
        <v>129.022400102783</v>
      </c>
      <c r="P52" t="n">
        <v>111.434402530278</v>
      </c>
      <c r="Q52" t="n">
        <v>117.206905364053</v>
      </c>
      <c r="R52" t="n">
        <v>127.298371282328</v>
      </c>
      <c r="S52" t="n">
        <v>88.1928753072214</v>
      </c>
      <c r="T52" t="n">
        <v>94.6460125248229</v>
      </c>
      <c r="U52" t="n">
        <v>108.056044744382</v>
      </c>
      <c r="V52" t="n">
        <v>114.083075128531</v>
      </c>
      <c r="W52" t="n">
        <v>94.242540323569</v>
      </c>
      <c r="X52" t="n">
        <v>162.056194339007</v>
      </c>
      <c r="Y52" t="n">
        <v>129.952657106026</v>
      </c>
      <c r="Z52" t="n">
        <v>89.0986622180339</v>
      </c>
      <c r="AA52" t="n">
        <v>145.82583816308</v>
      </c>
      <c r="AB52" t="n">
        <v>171.3479326334</v>
      </c>
      <c r="AC52" t="n">
        <v>98.5711225364182</v>
      </c>
      <c r="AD52" t="n">
        <v>138.744644387318</v>
      </c>
      <c r="AE52" t="n">
        <v>117.5</v>
      </c>
      <c r="AF52" t="n">
        <v>210.9</v>
      </c>
    </row>
    <row r="53">
      <c r="A53" t="s">
        <v>59</v>
      </c>
      <c r="B53" t="s">
        <v>376</v>
      </c>
      <c r="C53" t="s">
        <v>246</v>
      </c>
      <c r="D53" t="s">
        <v>377</v>
      </c>
      <c r="E53" t="s">
        <v>247</v>
      </c>
      <c r="F53" t="n">
        <v>968.895176553573</v>
      </c>
      <c r="G53" t="n">
        <v>839.984163174971</v>
      </c>
      <c r="H53" t="n">
        <v>908.602116333317</v>
      </c>
      <c r="I53" t="n">
        <v>1033.15024957045</v>
      </c>
      <c r="J53" t="n">
        <v>1069.9020065399</v>
      </c>
      <c r="K53" t="n">
        <v>1032.31507015855</v>
      </c>
      <c r="L53" t="n">
        <v>1186.62090669448</v>
      </c>
      <c r="M53" t="n">
        <v>1388.22983961321</v>
      </c>
      <c r="N53" t="n">
        <v>1234.18546954152</v>
      </c>
      <c r="O53" t="n">
        <v>1355.31823437952</v>
      </c>
      <c r="P53" t="n">
        <v>1282.86164276971</v>
      </c>
      <c r="Q53" t="n">
        <v>1145.15262290216</v>
      </c>
      <c r="R53" t="n">
        <v>1216.13315737957</v>
      </c>
      <c r="S53" t="n">
        <v>1050.76528197318</v>
      </c>
      <c r="T53" t="n">
        <v>1113.10647239119</v>
      </c>
      <c r="U53" t="n">
        <v>1086.21128766503</v>
      </c>
      <c r="V53" t="n">
        <v>948.729783837157</v>
      </c>
      <c r="W53" t="n">
        <v>521.971589237362</v>
      </c>
      <c r="X53" t="n">
        <v>391.197070999945</v>
      </c>
      <c r="Y53" t="n">
        <v>576.538735209935</v>
      </c>
      <c r="Z53" t="n">
        <v>590.192519359316</v>
      </c>
      <c r="AA53" t="n">
        <v>764.280300622537</v>
      </c>
      <c r="AB53" t="n">
        <v>594.47455881082</v>
      </c>
      <c r="AC53" t="n">
        <v>810.321171841046</v>
      </c>
      <c r="AD53" t="n">
        <v>469.599645311461</v>
      </c>
      <c r="AE53" t="n">
        <v>454</v>
      </c>
      <c r="AF53" t="n">
        <v>1149.2</v>
      </c>
    </row>
    <row r="54">
      <c r="A54" t="s">
        <v>59</v>
      </c>
      <c r="B54" t="s">
        <v>378</v>
      </c>
      <c r="C54" t="s">
        <v>246</v>
      </c>
      <c r="D54" t="s">
        <v>379</v>
      </c>
      <c r="E54" t="s">
        <v>247</v>
      </c>
      <c r="F54" t="n">
        <v>1527.49162600741</v>
      </c>
      <c r="G54" t="n">
        <v>1293.94809660884</v>
      </c>
      <c r="H54" t="n">
        <v>1382.84529408578</v>
      </c>
      <c r="I54" t="n">
        <v>1595.71534052776</v>
      </c>
      <c r="J54" t="n">
        <v>1603.60398666444</v>
      </c>
      <c r="K54" t="n">
        <v>1651.02573879927</v>
      </c>
      <c r="L54" t="n">
        <v>1905.68923877988</v>
      </c>
      <c r="M54" t="n">
        <v>2083.10844040129</v>
      </c>
      <c r="N54" t="n">
        <v>2067.33798309934</v>
      </c>
      <c r="O54" t="n">
        <v>2065.8323741339</v>
      </c>
      <c r="P54" t="n">
        <v>2017.35403466352</v>
      </c>
      <c r="Q54" t="n">
        <v>1797.46357252859</v>
      </c>
      <c r="R54" t="n">
        <v>1964.77388413959</v>
      </c>
      <c r="S54" t="n">
        <v>1656.88865189288</v>
      </c>
      <c r="T54" t="n">
        <v>1619.28342281161</v>
      </c>
      <c r="U54" t="n">
        <v>1681.58909305785</v>
      </c>
      <c r="V54" t="n">
        <v>1560.75441436022</v>
      </c>
      <c r="W54" t="n">
        <v>861.767506778936</v>
      </c>
      <c r="X54" t="n">
        <v>552.391435717835</v>
      </c>
      <c r="Y54" t="n">
        <v>1044.46603500074</v>
      </c>
      <c r="Z54" t="n">
        <v>899.201690640013</v>
      </c>
      <c r="AA54" t="n">
        <v>977.920375786328</v>
      </c>
      <c r="AB54" t="n">
        <v>874.938027872856</v>
      </c>
      <c r="AC54" t="n">
        <v>1006.99834613142</v>
      </c>
      <c r="AD54" t="n">
        <v>640.048148801128</v>
      </c>
      <c r="AE54" t="n">
        <v>570.9</v>
      </c>
      <c r="AF54" t="n">
        <v>1389.2</v>
      </c>
    </row>
    <row r="55">
      <c r="A55" t="s">
        <v>59</v>
      </c>
      <c r="B55" t="s">
        <v>380</v>
      </c>
      <c r="C55" t="s">
        <v>246</v>
      </c>
      <c r="D55" t="s">
        <v>381</v>
      </c>
      <c r="E55" t="s">
        <v>247</v>
      </c>
      <c r="F55" t="n">
        <v>558.553902116103</v>
      </c>
      <c r="G55" t="n">
        <v>453.900351272777</v>
      </c>
      <c r="H55" t="n">
        <v>474.16675072075</v>
      </c>
      <c r="I55" t="n">
        <v>562.485574761355</v>
      </c>
      <c r="J55" t="n">
        <v>533.603739693642</v>
      </c>
      <c r="K55" t="n">
        <v>618.637084176986</v>
      </c>
      <c r="L55" t="n">
        <v>718.985074241686</v>
      </c>
      <c r="M55" t="n">
        <v>694.78565771206</v>
      </c>
      <c r="N55" t="n">
        <v>833.038852417884</v>
      </c>
      <c r="O55" t="n">
        <v>710.416409216566</v>
      </c>
      <c r="P55" t="n">
        <v>734.389524261122</v>
      </c>
      <c r="Q55" t="n">
        <v>652.220067001137</v>
      </c>
      <c r="R55" t="n">
        <v>748.53078546848</v>
      </c>
      <c r="S55" t="n">
        <v>606.037125854036</v>
      </c>
      <c r="T55" t="n">
        <v>506.122286736893</v>
      </c>
      <c r="U55" t="n">
        <v>595.288311460377</v>
      </c>
      <c r="V55" t="n">
        <v>611.93447568126</v>
      </c>
      <c r="W55" t="n">
        <v>339.745855872926</v>
      </c>
      <c r="X55" t="n">
        <v>161.169372255571</v>
      </c>
      <c r="Y55" t="n">
        <v>467.914390106723</v>
      </c>
      <c r="Z55" t="n">
        <v>309.000068938402</v>
      </c>
      <c r="AA55" t="n">
        <v>213.638557806098</v>
      </c>
      <c r="AB55" t="n">
        <v>280.490739106078</v>
      </c>
      <c r="AC55" t="n">
        <v>196.66120874847</v>
      </c>
      <c r="AD55" t="n">
        <v>170.466580534022</v>
      </c>
      <c r="AE55" t="n">
        <v>116.9</v>
      </c>
      <c r="AF55" t="n">
        <v>240</v>
      </c>
    </row>
    <row r="56">
      <c r="A56" t="s">
        <v>59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59</v>
      </c>
      <c r="B57" t="s">
        <v>384</v>
      </c>
      <c r="C57" t="s">
        <v>246</v>
      </c>
      <c r="D57" t="s">
        <v>385</v>
      </c>
      <c r="E57" t="s">
        <v>247</v>
      </c>
      <c r="F57" t="n">
        <v>82665.2660160274</v>
      </c>
      <c r="G57" t="n">
        <v>86760.8722256511</v>
      </c>
      <c r="H57" t="n">
        <v>87112.3324426625</v>
      </c>
      <c r="I57" t="n">
        <v>87461.1045652542</v>
      </c>
      <c r="J57" t="n">
        <v>91383.4533077259</v>
      </c>
      <c r="K57" t="n">
        <v>97733.8211886605</v>
      </c>
      <c r="L57" t="n">
        <v>103542.138215798</v>
      </c>
      <c r="M57" t="n">
        <v>111535.036643438</v>
      </c>
      <c r="N57" t="n">
        <v>112946.824429269</v>
      </c>
      <c r="O57" t="n">
        <v>114365.483499814</v>
      </c>
      <c r="P57" t="n">
        <v>110530.950402283</v>
      </c>
      <c r="Q57" t="n">
        <v>108770.287499377</v>
      </c>
      <c r="R57" t="n">
        <v>109153.076770671</v>
      </c>
      <c r="S57" t="n">
        <v>103722.810200627</v>
      </c>
      <c r="T57" t="n">
        <v>94561.8369945967</v>
      </c>
      <c r="U57" t="n">
        <v>86041.9842390907</v>
      </c>
      <c r="V57" t="n">
        <v>88011.4273803949</v>
      </c>
      <c r="W57" t="n">
        <v>77552.6576242845</v>
      </c>
      <c r="X57" t="n">
        <v>68101.1288583298</v>
      </c>
      <c r="Y57" t="n">
        <v>64540.963362861</v>
      </c>
      <c r="Z57" t="n">
        <v>64785.4180575232</v>
      </c>
      <c r="AA57" t="n">
        <v>64369.6332224877</v>
      </c>
      <c r="AB57" t="n">
        <v>65867.1782507559</v>
      </c>
      <c r="AC57" t="n">
        <v>67688.8609964855</v>
      </c>
      <c r="AD57" t="n">
        <v>71736.0760089538</v>
      </c>
      <c r="AE57" t="n">
        <v>68469.6</v>
      </c>
      <c r="AF57" t="n">
        <v>79012.3</v>
      </c>
    </row>
    <row r="58">
      <c r="A58" t="s">
        <v>59</v>
      </c>
      <c r="B58" t="s">
        <v>386</v>
      </c>
      <c r="C58" t="s">
        <v>246</v>
      </c>
      <c r="D58" t="s">
        <v>387</v>
      </c>
      <c r="E58" t="s">
        <v>247</v>
      </c>
      <c r="F58" t="n">
        <v>82665.2660160274</v>
      </c>
      <c r="G58" t="n">
        <v>86760.8722256511</v>
      </c>
      <c r="H58" t="n">
        <v>87112.3324426625</v>
      </c>
      <c r="I58" t="n">
        <v>87461.1045652542</v>
      </c>
      <c r="J58" t="n">
        <v>91383.4533077259</v>
      </c>
      <c r="K58" t="n">
        <v>97733.8211886605</v>
      </c>
      <c r="L58" t="n">
        <v>103542.138215798</v>
      </c>
      <c r="M58" t="n">
        <v>111535.036643438</v>
      </c>
      <c r="N58" t="n">
        <v>112946.824429269</v>
      </c>
      <c r="O58" t="n">
        <v>114365.483499814</v>
      </c>
      <c r="P58" t="n">
        <v>110530.950402283</v>
      </c>
      <c r="Q58" t="n">
        <v>108770.287499377</v>
      </c>
      <c r="R58" t="n">
        <v>109153.076770671</v>
      </c>
      <c r="S58" t="n">
        <v>103722.810200627</v>
      </c>
      <c r="T58" t="n">
        <v>94561.8369945967</v>
      </c>
      <c r="U58" t="n">
        <v>86041.9842390907</v>
      </c>
      <c r="V58" t="n">
        <v>88011.4273803949</v>
      </c>
      <c r="W58" t="n">
        <v>77552.6576242845</v>
      </c>
      <c r="X58" t="n">
        <v>68101.1288583298</v>
      </c>
      <c r="Y58" t="n">
        <v>64540.963362861</v>
      </c>
      <c r="Z58" t="n">
        <v>64785.4180575232</v>
      </c>
      <c r="AA58" t="n">
        <v>64369.6332224877</v>
      </c>
      <c r="AB58" t="n">
        <v>65867.1782507559</v>
      </c>
      <c r="AC58" t="n">
        <v>67688.8609964855</v>
      </c>
      <c r="AD58" t="n">
        <v>71736.0760089538</v>
      </c>
      <c r="AE58" t="n">
        <v>68469.6</v>
      </c>
      <c r="AF58" t="n">
        <v>79012.3</v>
      </c>
    </row>
    <row r="59">
      <c r="A59" t="s">
        <v>59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61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61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61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61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61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61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61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61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61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61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61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61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61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61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61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61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61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61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61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61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61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61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61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61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61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61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61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61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61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61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61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61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61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61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61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61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61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61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61</v>
      </c>
      <c r="B40" t="s">
        <v>350</v>
      </c>
      <c r="C40" t="s">
        <v>246</v>
      </c>
      <c r="D40" t="s">
        <v>351</v>
      </c>
      <c r="E40" t="s">
        <v>247</v>
      </c>
      <c r="F40" t="n">
        <v>88802.547055797</v>
      </c>
      <c r="G40" t="n">
        <v>87193.7403053384</v>
      </c>
      <c r="H40" t="n">
        <v>85838.1132886359</v>
      </c>
      <c r="I40" t="n">
        <v>85420.1761989104</v>
      </c>
      <c r="J40" t="n">
        <v>87112.6743188697</v>
      </c>
      <c r="K40" t="n">
        <v>90939.1704312922</v>
      </c>
      <c r="L40" t="n">
        <v>92188.8982636993</v>
      </c>
      <c r="M40" t="n">
        <v>93684.9861245247</v>
      </c>
      <c r="N40" t="n">
        <v>96977.5950382788</v>
      </c>
      <c r="O40" t="n">
        <v>99374.5610691765</v>
      </c>
      <c r="P40" t="n">
        <v>105619.799991633</v>
      </c>
      <c r="Q40" t="n">
        <v>110697.751750713</v>
      </c>
      <c r="R40" t="n">
        <v>112018.020767626</v>
      </c>
      <c r="S40" t="n">
        <v>109611.993687688</v>
      </c>
      <c r="T40" t="n">
        <v>97956.843205725</v>
      </c>
      <c r="U40" t="n">
        <v>98123.1008657014</v>
      </c>
      <c r="V40" t="n">
        <v>91982.3303843792</v>
      </c>
      <c r="W40" t="n">
        <v>83319.3985182068</v>
      </c>
      <c r="X40" t="n">
        <v>78577.59008713</v>
      </c>
      <c r="Y40" t="n">
        <v>72241.3945817327</v>
      </c>
      <c r="Z40" t="n">
        <v>70346.4619677451</v>
      </c>
      <c r="AA40" t="n">
        <v>70199.3622180916</v>
      </c>
      <c r="AB40" t="n">
        <v>70945.2733116012</v>
      </c>
      <c r="AC40" t="n">
        <v>71553.5562320704</v>
      </c>
      <c r="AD40" t="n">
        <v>71157.6012400349</v>
      </c>
      <c r="AE40" t="n">
        <v>65546.2</v>
      </c>
      <c r="AF40" t="n">
        <v>98615.6</v>
      </c>
    </row>
    <row r="41">
      <c r="A41" t="s">
        <v>61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61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61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61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61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61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61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61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61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61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61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61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61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61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61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61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61</v>
      </c>
      <c r="B57" t="s">
        <v>384</v>
      </c>
      <c r="C57" t="s">
        <v>246</v>
      </c>
      <c r="D57" t="s">
        <v>385</v>
      </c>
      <c r="E57" t="s">
        <v>247</v>
      </c>
      <c r="F57" t="n">
        <v>88802.547055797</v>
      </c>
      <c r="G57" t="n">
        <v>87193.7403053384</v>
      </c>
      <c r="H57" t="n">
        <v>85838.1132886359</v>
      </c>
      <c r="I57" t="n">
        <v>85420.1761989104</v>
      </c>
      <c r="J57" t="n">
        <v>87112.6743188697</v>
      </c>
      <c r="K57" t="n">
        <v>90939.1704312922</v>
      </c>
      <c r="L57" t="n">
        <v>92188.8982636993</v>
      </c>
      <c r="M57" t="n">
        <v>93684.9861245247</v>
      </c>
      <c r="N57" t="n">
        <v>96977.5950382788</v>
      </c>
      <c r="O57" t="n">
        <v>99374.5610691765</v>
      </c>
      <c r="P57" t="n">
        <v>105619.799991633</v>
      </c>
      <c r="Q57" t="n">
        <v>110697.751750713</v>
      </c>
      <c r="R57" t="n">
        <v>112018.020767626</v>
      </c>
      <c r="S57" t="n">
        <v>109611.993687688</v>
      </c>
      <c r="T57" t="n">
        <v>97956.843205725</v>
      </c>
      <c r="U57" t="n">
        <v>98123.1008657014</v>
      </c>
      <c r="V57" t="n">
        <v>91982.3303843792</v>
      </c>
      <c r="W57" t="n">
        <v>83319.3985182068</v>
      </c>
      <c r="X57" t="n">
        <v>78577.59008713</v>
      </c>
      <c r="Y57" t="n">
        <v>72241.3945817327</v>
      </c>
      <c r="Z57" t="n">
        <v>70346.4619677451</v>
      </c>
      <c r="AA57" t="n">
        <v>70199.3622180916</v>
      </c>
      <c r="AB57" t="n">
        <v>70945.2733116012</v>
      </c>
      <c r="AC57" t="n">
        <v>71553.5562320704</v>
      </c>
      <c r="AD57" t="n">
        <v>71157.6012400349</v>
      </c>
      <c r="AE57" t="n">
        <v>65546.2</v>
      </c>
      <c r="AF57" t="n">
        <v>98615.6</v>
      </c>
    </row>
    <row r="58">
      <c r="A58" t="s">
        <v>61</v>
      </c>
      <c r="B58" t="s">
        <v>386</v>
      </c>
      <c r="C58" t="s">
        <v>246</v>
      </c>
      <c r="D58" t="s">
        <v>387</v>
      </c>
      <c r="E58" t="s">
        <v>247</v>
      </c>
      <c r="F58" t="n">
        <v>88802.547055797</v>
      </c>
      <c r="G58" t="n">
        <v>87193.7403053384</v>
      </c>
      <c r="H58" t="n">
        <v>85838.1132886359</v>
      </c>
      <c r="I58" t="n">
        <v>85420.1761989104</v>
      </c>
      <c r="J58" t="n">
        <v>87112.6743188697</v>
      </c>
      <c r="K58" t="n">
        <v>90939.1704312922</v>
      </c>
      <c r="L58" t="n">
        <v>92188.8982636993</v>
      </c>
      <c r="M58" t="n">
        <v>93684.9861245247</v>
      </c>
      <c r="N58" t="n">
        <v>96977.5950382788</v>
      </c>
      <c r="O58" t="n">
        <v>99374.5610691765</v>
      </c>
      <c r="P58" t="n">
        <v>105619.799991633</v>
      </c>
      <c r="Q58" t="n">
        <v>110697.751750713</v>
      </c>
      <c r="R58" t="n">
        <v>112018.020767626</v>
      </c>
      <c r="S58" t="n">
        <v>109611.993687688</v>
      </c>
      <c r="T58" t="n">
        <v>97956.843205725</v>
      </c>
      <c r="U58" t="n">
        <v>98123.1008657014</v>
      </c>
      <c r="V58" t="n">
        <v>91982.3303843792</v>
      </c>
      <c r="W58" t="n">
        <v>83319.3985182068</v>
      </c>
      <c r="X58" t="n">
        <v>78577.59008713</v>
      </c>
      <c r="Y58" t="n">
        <v>72241.3945817327</v>
      </c>
      <c r="Z58" t="n">
        <v>70346.4619677451</v>
      </c>
      <c r="AA58" t="n">
        <v>70199.3622180916</v>
      </c>
      <c r="AB58" t="n">
        <v>70945.2733116012</v>
      </c>
      <c r="AC58" t="n">
        <v>71553.5562320704</v>
      </c>
      <c r="AD58" t="n">
        <v>71157.6012400349</v>
      </c>
      <c r="AE58" t="n">
        <v>65546.2</v>
      </c>
      <c r="AF58" t="n">
        <v>98615.6</v>
      </c>
    </row>
    <row r="59">
      <c r="A59" t="s">
        <v>61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63</v>
      </c>
      <c r="B2" t="s">
        <v>197</v>
      </c>
      <c r="C2" t="s">
        <v>246</v>
      </c>
      <c r="D2" t="s">
        <v>199</v>
      </c>
      <c r="E2" t="s">
        <v>247</v>
      </c>
      <c r="F2" t="n">
        <v>677.932330309895</v>
      </c>
      <c r="G2" t="n">
        <v>694.122079143802</v>
      </c>
      <c r="H2" t="n">
        <v>746.923581786938</v>
      </c>
      <c r="I2" t="n">
        <v>732.86412176912</v>
      </c>
      <c r="J2" t="n">
        <v>822.232043953964</v>
      </c>
      <c r="K2" t="n">
        <v>737.190755816778</v>
      </c>
      <c r="L2" t="n">
        <v>781.64011445605</v>
      </c>
      <c r="M2" t="n">
        <v>838.924612705344</v>
      </c>
      <c r="N2" t="n">
        <v>815.136101817168</v>
      </c>
      <c r="O2" t="n">
        <v>881.643022258318</v>
      </c>
      <c r="P2" t="n">
        <v>872.729928910697</v>
      </c>
      <c r="Q2" t="n">
        <v>827.694201035514</v>
      </c>
      <c r="R2" t="n">
        <v>755.747712286018</v>
      </c>
      <c r="S2" t="n">
        <v>635.389258839393</v>
      </c>
      <c r="T2" t="n">
        <v>656.553395938362</v>
      </c>
      <c r="U2" t="n">
        <v>618.937760328269</v>
      </c>
      <c r="V2" t="n">
        <v>639.590092814538</v>
      </c>
      <c r="W2" t="n">
        <v>669.282349419937</v>
      </c>
      <c r="X2" t="n">
        <v>681.296393089405</v>
      </c>
      <c r="Y2" t="n">
        <v>641.91394313676</v>
      </c>
      <c r="Z2" t="n">
        <v>630.698894934831</v>
      </c>
      <c r="AA2" t="n">
        <v>614.794666456712</v>
      </c>
      <c r="AB2" t="n">
        <v>618.741983737333</v>
      </c>
      <c r="AC2" t="n">
        <v>608.940511095431</v>
      </c>
      <c r="AD2" t="n">
        <v>581.591738141082</v>
      </c>
      <c r="AE2" t="n">
        <v>551.2</v>
      </c>
      <c r="AF2" t="n">
        <v>562.8</v>
      </c>
    </row>
    <row r="3">
      <c r="A3" t="s">
        <v>63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63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63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63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63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63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63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63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63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63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63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63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63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63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63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63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63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63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63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63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63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63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63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63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63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63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63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63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63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63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63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63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63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63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63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63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63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63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63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63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63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63</v>
      </c>
      <c r="B44" t="s">
        <v>358</v>
      </c>
      <c r="C44" t="s">
        <v>246</v>
      </c>
      <c r="D44" t="s">
        <v>359</v>
      </c>
      <c r="E44" t="s">
        <v>247</v>
      </c>
      <c r="F44" t="n">
        <v>687.581017982405</v>
      </c>
      <c r="G44" t="n">
        <v>706.42755651041</v>
      </c>
      <c r="H44" t="n">
        <v>759.969885766161</v>
      </c>
      <c r="I44" t="n">
        <v>746.999920003547</v>
      </c>
      <c r="J44" t="n">
        <v>833.640716220005</v>
      </c>
      <c r="K44" t="n">
        <v>841.779811970082</v>
      </c>
      <c r="L44" t="n">
        <v>895.468804771893</v>
      </c>
      <c r="M44" t="n">
        <v>1003.05862111653</v>
      </c>
      <c r="N44" t="n">
        <v>933.873489236162</v>
      </c>
      <c r="O44" t="n">
        <v>1002.84727108655</v>
      </c>
      <c r="P44" t="n">
        <v>1000.84458058013</v>
      </c>
      <c r="Q44" t="n">
        <v>947.526742262774</v>
      </c>
      <c r="R44" t="n">
        <v>866.264362883393</v>
      </c>
      <c r="S44" t="n">
        <v>721.989641088989</v>
      </c>
      <c r="T44" t="n">
        <v>747.497545543715</v>
      </c>
      <c r="U44" t="n">
        <v>726.475254036953</v>
      </c>
      <c r="V44" t="n">
        <v>732.761854211224</v>
      </c>
      <c r="W44" t="n">
        <v>730.132074372683</v>
      </c>
      <c r="X44" t="n">
        <v>733.630311553113</v>
      </c>
      <c r="Y44" t="n">
        <v>674.83624963837</v>
      </c>
      <c r="Z44" t="n">
        <v>675.032622764993</v>
      </c>
      <c r="AA44" t="n">
        <v>659.635720204927</v>
      </c>
      <c r="AB44" t="n">
        <v>648.49055926247</v>
      </c>
      <c r="AC44" t="n">
        <v>645.131499091656</v>
      </c>
      <c r="AD44" t="n">
        <v>613.5195781147</v>
      </c>
      <c r="AE44" t="n">
        <v>584.8</v>
      </c>
      <c r="AF44" t="n">
        <v>598.2</v>
      </c>
    </row>
    <row r="45">
      <c r="A45" t="s">
        <v>63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63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63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63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63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63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63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63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63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63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63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63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63</v>
      </c>
      <c r="B57" t="s">
        <v>384</v>
      </c>
      <c r="C57" t="s">
        <v>246</v>
      </c>
      <c r="D57" t="s">
        <v>385</v>
      </c>
      <c r="E57" t="s">
        <v>247</v>
      </c>
      <c r="F57" t="n">
        <v>687.581017982405</v>
      </c>
      <c r="G57" t="n">
        <v>706.42755651041</v>
      </c>
      <c r="H57" t="n">
        <v>759.969885766161</v>
      </c>
      <c r="I57" t="n">
        <v>746.999920003547</v>
      </c>
      <c r="J57" t="n">
        <v>833.640716220005</v>
      </c>
      <c r="K57" t="n">
        <v>841.779811970082</v>
      </c>
      <c r="L57" t="n">
        <v>895.468804771893</v>
      </c>
      <c r="M57" t="n">
        <v>1003.05862111653</v>
      </c>
      <c r="N57" t="n">
        <v>933.873489236162</v>
      </c>
      <c r="O57" t="n">
        <v>1002.84727108655</v>
      </c>
      <c r="P57" t="n">
        <v>1000.84458058013</v>
      </c>
      <c r="Q57" t="n">
        <v>947.526742262774</v>
      </c>
      <c r="R57" t="n">
        <v>866.264362883393</v>
      </c>
      <c r="S57" t="n">
        <v>721.989641088989</v>
      </c>
      <c r="T57" t="n">
        <v>747.497545543715</v>
      </c>
      <c r="U57" t="n">
        <v>726.475254036953</v>
      </c>
      <c r="V57" t="n">
        <v>732.761854211224</v>
      </c>
      <c r="W57" t="n">
        <v>730.132074372683</v>
      </c>
      <c r="X57" t="n">
        <v>733.630311553113</v>
      </c>
      <c r="Y57" t="n">
        <v>674.83624963837</v>
      </c>
      <c r="Z57" t="n">
        <v>675.032622764993</v>
      </c>
      <c r="AA57" t="n">
        <v>659.635720204927</v>
      </c>
      <c r="AB57" t="n">
        <v>648.49055926247</v>
      </c>
      <c r="AC57" t="n">
        <v>645.131499091656</v>
      </c>
      <c r="AD57" t="n">
        <v>613.5195781147</v>
      </c>
      <c r="AE57" t="n">
        <v>584.8</v>
      </c>
      <c r="AF57" t="n">
        <v>598.2</v>
      </c>
    </row>
    <row r="58">
      <c r="A58" t="s">
        <v>63</v>
      </c>
      <c r="B58" t="s">
        <v>386</v>
      </c>
      <c r="C58" t="s">
        <v>246</v>
      </c>
      <c r="D58" t="s">
        <v>387</v>
      </c>
      <c r="E58" t="s">
        <v>247</v>
      </c>
      <c r="F58" t="n">
        <v>687.581017982405</v>
      </c>
      <c r="G58" t="n">
        <v>706.42755651041</v>
      </c>
      <c r="H58" t="n">
        <v>759.969885766161</v>
      </c>
      <c r="I58" t="n">
        <v>746.999920003547</v>
      </c>
      <c r="J58" t="n">
        <v>833.640716220005</v>
      </c>
      <c r="K58" t="n">
        <v>841.779811970082</v>
      </c>
      <c r="L58" t="n">
        <v>895.468804771893</v>
      </c>
      <c r="M58" t="n">
        <v>1003.05862111653</v>
      </c>
      <c r="N58" t="n">
        <v>933.873489236162</v>
      </c>
      <c r="O58" t="n">
        <v>1002.84727108655</v>
      </c>
      <c r="P58" t="n">
        <v>1000.84458058013</v>
      </c>
      <c r="Q58" t="n">
        <v>947.526742262774</v>
      </c>
      <c r="R58" t="n">
        <v>866.264362883393</v>
      </c>
      <c r="S58" t="n">
        <v>721.989641088989</v>
      </c>
      <c r="T58" t="n">
        <v>747.497545543715</v>
      </c>
      <c r="U58" t="n">
        <v>726.475254036953</v>
      </c>
      <c r="V58" t="n">
        <v>732.761854211224</v>
      </c>
      <c r="W58" t="n">
        <v>730.132074372683</v>
      </c>
      <c r="X58" t="n">
        <v>733.630311553113</v>
      </c>
      <c r="Y58" t="n">
        <v>674.83624963837</v>
      </c>
      <c r="Z58" t="n">
        <v>675.032622764993</v>
      </c>
      <c r="AA58" t="n">
        <v>659.635720204927</v>
      </c>
      <c r="AB58" t="n">
        <v>648.49055926247</v>
      </c>
      <c r="AC58" t="n">
        <v>645.131499091656</v>
      </c>
      <c r="AD58" t="n">
        <v>613.5195781147</v>
      </c>
      <c r="AE58" t="n">
        <v>584.8</v>
      </c>
      <c r="AF58" t="n">
        <v>598.2</v>
      </c>
    </row>
    <row r="59">
      <c r="A59" t="s">
        <v>63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65</v>
      </c>
      <c r="B2" t="s">
        <v>197</v>
      </c>
      <c r="C2" t="s">
        <v>246</v>
      </c>
      <c r="D2" t="s">
        <v>199</v>
      </c>
      <c r="E2" t="s">
        <v>247</v>
      </c>
      <c r="F2" t="n">
        <v>1.7213184336563</v>
      </c>
      <c r="G2" t="n">
        <v>1.83607299590005</v>
      </c>
      <c r="H2" t="n">
        <v>1.83607299590005</v>
      </c>
      <c r="I2" t="n">
        <v>1.83607299590005</v>
      </c>
      <c r="J2" t="n">
        <v>1.9508275581438</v>
      </c>
      <c r="K2" t="n">
        <v>1.9508275581438</v>
      </c>
      <c r="L2" t="n">
        <v>2.06558212038755</v>
      </c>
      <c r="M2" t="n">
        <v>2.18033668263131</v>
      </c>
      <c r="N2" t="n">
        <v>2.29509124487506</v>
      </c>
      <c r="O2" t="n">
        <v>2.29509124487506</v>
      </c>
      <c r="P2" t="n">
        <v>2.40984580711881</v>
      </c>
      <c r="Q2" t="n">
        <v>2.40984580711881</v>
      </c>
      <c r="R2" t="n">
        <v>2.40984580711881</v>
      </c>
      <c r="S2" t="n">
        <v>2.62892269867507</v>
      </c>
      <c r="T2" t="n">
        <v>3.8908055940391</v>
      </c>
      <c r="U2" t="n">
        <v>8.10584498758146</v>
      </c>
      <c r="V2" t="n">
        <v>8.42581255288073</v>
      </c>
      <c r="W2" t="n">
        <v>7.99371960145095</v>
      </c>
      <c r="X2" t="n">
        <v>8.65073765088527</v>
      </c>
      <c r="Y2" t="n">
        <v>12.3273011525115</v>
      </c>
      <c r="Z2" t="n">
        <v>13.2755550873201</v>
      </c>
      <c r="AA2" t="n">
        <v>20.1706108303468</v>
      </c>
      <c r="AB2" t="n">
        <v>11.0679761992159</v>
      </c>
      <c r="AC2" t="n">
        <v>12.7076763768776</v>
      </c>
      <c r="AD2" t="n">
        <v>26.2221893491124</v>
      </c>
      <c r="AE2" t="n">
        <v>33.7</v>
      </c>
      <c r="AF2" t="n">
        <v>38.3</v>
      </c>
    </row>
    <row r="3">
      <c r="A3" t="s">
        <v>65</v>
      </c>
      <c r="B3" t="s">
        <v>276</v>
      </c>
      <c r="C3" t="s">
        <v>246</v>
      </c>
      <c r="D3" t="s">
        <v>277</v>
      </c>
      <c r="E3" t="s">
        <v>247</v>
      </c>
      <c r="F3" t="n">
        <v>212.872194563728</v>
      </c>
      <c r="G3" t="n">
        <v>228.528601131641</v>
      </c>
      <c r="H3" t="n">
        <v>230.089976667323</v>
      </c>
      <c r="I3" t="n">
        <v>235.181088628001</v>
      </c>
      <c r="J3" t="n">
        <v>241.0223693627</v>
      </c>
      <c r="K3" t="n">
        <v>247.698118773785</v>
      </c>
      <c r="L3" t="n">
        <v>262.156268878422</v>
      </c>
      <c r="M3" t="n">
        <v>264.051048312752</v>
      </c>
      <c r="N3" t="n">
        <v>270.596686595171</v>
      </c>
      <c r="O3" t="n">
        <v>262.280476368842</v>
      </c>
      <c r="P3" t="n">
        <v>264.613495587478</v>
      </c>
      <c r="Q3" t="n">
        <v>256.505888484665</v>
      </c>
      <c r="R3" t="n">
        <v>256.732383750435</v>
      </c>
      <c r="S3" t="n">
        <v>279.491956956576</v>
      </c>
      <c r="T3" t="n">
        <v>275.178809472678</v>
      </c>
      <c r="U3" t="n">
        <v>262.790281396817</v>
      </c>
      <c r="V3" t="n">
        <v>231.854756064214</v>
      </c>
      <c r="W3" t="n">
        <v>218.497315785104</v>
      </c>
      <c r="X3" t="n">
        <v>186.274479315786</v>
      </c>
      <c r="Y3" t="n">
        <v>134.290903692776</v>
      </c>
      <c r="Z3" t="n">
        <v>102.984468530488</v>
      </c>
      <c r="AA3" t="n">
        <v>137.484265488202</v>
      </c>
      <c r="AB3" t="n">
        <v>173.800863919048</v>
      </c>
      <c r="AC3" t="n">
        <v>194.513415253353</v>
      </c>
      <c r="AD3" t="n">
        <v>190.072008781559</v>
      </c>
      <c r="AE3" t="n">
        <v>181.6</v>
      </c>
      <c r="AF3" t="n">
        <v>223.5</v>
      </c>
    </row>
    <row r="4">
      <c r="A4" t="s">
        <v>65</v>
      </c>
      <c r="B4" t="s">
        <v>278</v>
      </c>
      <c r="C4" t="s">
        <v>246</v>
      </c>
      <c r="D4" t="s">
        <v>279</v>
      </c>
      <c r="E4" t="s">
        <v>247</v>
      </c>
      <c r="F4" t="n">
        <v>6700.50795957034</v>
      </c>
      <c r="G4" t="n">
        <v>7193.53570244506</v>
      </c>
      <c r="H4" t="n">
        <v>7243.94640113763</v>
      </c>
      <c r="I4" t="n">
        <v>7405.81913642235</v>
      </c>
      <c r="J4" t="n">
        <v>7589.69101326357</v>
      </c>
      <c r="K4" t="n">
        <v>7798.25099179487</v>
      </c>
      <c r="L4" t="n">
        <v>8255.79969208514</v>
      </c>
      <c r="M4" t="n">
        <v>8311.58486705011</v>
      </c>
      <c r="N4" t="n">
        <v>8516.1998796064</v>
      </c>
      <c r="O4" t="n">
        <v>8251.64772700203</v>
      </c>
      <c r="P4" t="n">
        <v>8328.01094913789</v>
      </c>
      <c r="Q4" t="n">
        <v>8075.23032723746</v>
      </c>
      <c r="R4" t="n">
        <v>8081.91287028766</v>
      </c>
      <c r="S4" t="n">
        <v>8797.21884496991</v>
      </c>
      <c r="T4" t="n">
        <v>9475.67813249275</v>
      </c>
      <c r="U4" t="n">
        <v>10013.9343689242</v>
      </c>
      <c r="V4" t="n">
        <v>10671.1813450514</v>
      </c>
      <c r="W4" t="n">
        <v>10116.8906773961</v>
      </c>
      <c r="X4" t="n">
        <v>9681.20870392814</v>
      </c>
      <c r="Y4" t="n">
        <v>9937.7950543599</v>
      </c>
      <c r="Z4" t="n">
        <v>11349.9409528235</v>
      </c>
      <c r="AA4" t="n">
        <v>12795.544093241</v>
      </c>
      <c r="AB4" t="n">
        <v>13051.413471557</v>
      </c>
      <c r="AC4" t="n">
        <v>13413.6080641378</v>
      </c>
      <c r="AD4" t="n">
        <v>13755.9263704068</v>
      </c>
      <c r="AE4" t="n">
        <v>13369.8</v>
      </c>
      <c r="AF4" t="n">
        <v>13098.1</v>
      </c>
    </row>
    <row r="5">
      <c r="A5" t="s">
        <v>65</v>
      </c>
      <c r="B5" t="s">
        <v>280</v>
      </c>
      <c r="C5" t="s">
        <v>246</v>
      </c>
      <c r="D5" t="s">
        <v>281</v>
      </c>
      <c r="E5" t="s">
        <v>247</v>
      </c>
      <c r="F5" t="n">
        <v>222.27632745977</v>
      </c>
      <c r="G5" t="n">
        <v>238.624215573313</v>
      </c>
      <c r="H5" t="n">
        <v>240.32867425598</v>
      </c>
      <c r="I5" t="n">
        <v>245.70705448079</v>
      </c>
      <c r="J5" t="n">
        <v>251.835801871467</v>
      </c>
      <c r="K5" t="n">
        <v>258.796437633531</v>
      </c>
      <c r="L5" t="n">
        <v>273.95549018093</v>
      </c>
      <c r="M5" t="n">
        <v>275.852313555081</v>
      </c>
      <c r="N5" t="n">
        <v>282.532497786472</v>
      </c>
      <c r="O5" t="n">
        <v>273.703357230645</v>
      </c>
      <c r="P5" t="n">
        <v>276.281989129184</v>
      </c>
      <c r="Q5" t="n">
        <v>267.934746053366</v>
      </c>
      <c r="R5" t="n">
        <v>268.161425195543</v>
      </c>
      <c r="S5" t="n">
        <v>291.929528536633</v>
      </c>
      <c r="T5" t="n">
        <v>314.261166528903</v>
      </c>
      <c r="U5" t="n">
        <v>310.751094162787</v>
      </c>
      <c r="V5" t="n">
        <v>325.954391968808</v>
      </c>
      <c r="W5" t="n">
        <v>319.652607057411</v>
      </c>
      <c r="X5" t="n">
        <v>317.776193272889</v>
      </c>
      <c r="Y5" t="n">
        <v>317.018036029225</v>
      </c>
      <c r="Z5" t="n">
        <v>356.948190783321</v>
      </c>
      <c r="AA5" t="n">
        <v>416.353759309994</v>
      </c>
      <c r="AB5" t="n">
        <v>360.639338988672</v>
      </c>
      <c r="AC5" t="n">
        <v>401.029304753748</v>
      </c>
      <c r="AD5" t="n">
        <v>413.343821537024</v>
      </c>
      <c r="AE5" t="n">
        <v>426.7</v>
      </c>
      <c r="AF5" t="n">
        <v>545.1</v>
      </c>
    </row>
    <row r="6">
      <c r="A6" t="s">
        <v>65</v>
      </c>
      <c r="B6" t="s">
        <v>282</v>
      </c>
      <c r="C6" t="s">
        <v>246</v>
      </c>
      <c r="D6" t="s">
        <v>283</v>
      </c>
      <c r="E6" t="s">
        <v>247</v>
      </c>
      <c r="F6" t="n">
        <v>356.654490104936</v>
      </c>
      <c r="G6" t="n">
        <v>382.885143786123</v>
      </c>
      <c r="H6" t="n">
        <v>385.583518315773</v>
      </c>
      <c r="I6" t="n">
        <v>394.214929184493</v>
      </c>
      <c r="J6" t="n">
        <v>403.958942264618</v>
      </c>
      <c r="K6" t="n">
        <v>415.091121176492</v>
      </c>
      <c r="L6" t="n">
        <v>439.379819259798</v>
      </c>
      <c r="M6" t="n">
        <v>442.358665492067</v>
      </c>
      <c r="N6" t="n">
        <v>453.224533866096</v>
      </c>
      <c r="O6" t="n">
        <v>439.153210488938</v>
      </c>
      <c r="P6" t="n">
        <v>443.20466588344</v>
      </c>
      <c r="Q6" t="n">
        <v>429.692328508945</v>
      </c>
      <c r="R6" t="n">
        <v>430.032006238992</v>
      </c>
      <c r="S6" t="n">
        <v>468.066534398166</v>
      </c>
      <c r="T6" t="n">
        <v>589.341258303725</v>
      </c>
      <c r="U6" t="n">
        <v>646.784491069937</v>
      </c>
      <c r="V6" t="n">
        <v>675.130486929192</v>
      </c>
      <c r="W6" t="n">
        <v>670.787415286032</v>
      </c>
      <c r="X6" t="n">
        <v>621.148484702458</v>
      </c>
      <c r="Y6" t="n">
        <v>661.742887240524</v>
      </c>
      <c r="Z6" t="n">
        <v>743.789315564632</v>
      </c>
      <c r="AA6" t="n">
        <v>843.647535093724</v>
      </c>
      <c r="AB6" t="n">
        <v>1013.78796273191</v>
      </c>
      <c r="AC6" t="n">
        <v>1077.56626887323</v>
      </c>
      <c r="AD6" t="n">
        <v>1124.80758164444</v>
      </c>
      <c r="AE6" t="n">
        <v>949.1</v>
      </c>
      <c r="AF6" t="n">
        <v>863.1</v>
      </c>
    </row>
    <row r="7">
      <c r="A7" t="s">
        <v>65</v>
      </c>
      <c r="B7" t="s">
        <v>284</v>
      </c>
      <c r="C7" t="s">
        <v>246</v>
      </c>
      <c r="D7" t="s">
        <v>285</v>
      </c>
      <c r="E7" t="s">
        <v>247</v>
      </c>
      <c r="F7" t="n">
        <v>74.053834268648</v>
      </c>
      <c r="G7" t="n">
        <v>79.5393034737331</v>
      </c>
      <c r="H7" t="n">
        <v>80.106428632191</v>
      </c>
      <c r="I7" t="n">
        <v>81.8018027831369</v>
      </c>
      <c r="J7" t="n">
        <v>83.8850405450164</v>
      </c>
      <c r="K7" t="n">
        <v>86.2460433418132</v>
      </c>
      <c r="L7" t="n">
        <v>91.2872812622668</v>
      </c>
      <c r="M7" t="n">
        <v>91.963483345691</v>
      </c>
      <c r="N7" t="n">
        <v>94.1873513640078</v>
      </c>
      <c r="O7" t="n">
        <v>91.2479903309384</v>
      </c>
      <c r="P7" t="n">
        <v>92.1065063689983</v>
      </c>
      <c r="Q7" t="n">
        <v>89.2905112698187</v>
      </c>
      <c r="R7" t="n">
        <v>89.4036804856233</v>
      </c>
      <c r="S7" t="n">
        <v>97.3116227398799</v>
      </c>
      <c r="T7" t="n">
        <v>127.054710088946</v>
      </c>
      <c r="U7" t="n">
        <v>107.339324040661</v>
      </c>
      <c r="V7" t="n">
        <v>106.262700930926</v>
      </c>
      <c r="W7" t="n">
        <v>96.1682870529112</v>
      </c>
      <c r="X7" t="n">
        <v>102.895655757301</v>
      </c>
      <c r="Y7" t="n">
        <v>108.954705938593</v>
      </c>
      <c r="Z7" t="n">
        <v>125.166324020277</v>
      </c>
      <c r="AA7" t="n">
        <v>160.678151147741</v>
      </c>
      <c r="AB7" t="n">
        <v>171.984747968337</v>
      </c>
      <c r="AC7" t="n">
        <v>181.727473702977</v>
      </c>
      <c r="AD7" t="n">
        <v>199.395422535211</v>
      </c>
      <c r="AE7" t="n">
        <v>198.1</v>
      </c>
      <c r="AF7" t="n">
        <v>155.7</v>
      </c>
    </row>
    <row r="8">
      <c r="A8" t="s">
        <v>65</v>
      </c>
      <c r="B8" t="s">
        <v>286</v>
      </c>
      <c r="C8" t="s">
        <v>246</v>
      </c>
      <c r="D8" t="s">
        <v>287</v>
      </c>
      <c r="E8" t="s">
        <v>247</v>
      </c>
      <c r="F8" t="n">
        <v>4.54888228484057</v>
      </c>
      <c r="G8" t="n">
        <v>4.81646359571354</v>
      </c>
      <c r="H8" t="n">
        <v>4.81646359571354</v>
      </c>
      <c r="I8" t="n">
        <v>4.95407684130536</v>
      </c>
      <c r="J8" t="n">
        <v>5.08797080998929</v>
      </c>
      <c r="K8" t="n">
        <v>5.22186477867321</v>
      </c>
      <c r="L8" t="n">
        <v>5.623546684725</v>
      </c>
      <c r="M8" t="n">
        <v>5.623546684725</v>
      </c>
      <c r="N8" t="n">
        <v>5.7513545639233</v>
      </c>
      <c r="O8" t="n">
        <v>5.62632511688149</v>
      </c>
      <c r="P8" t="n">
        <v>5.74863653246587</v>
      </c>
      <c r="Q8" t="n">
        <v>5.51399830665093</v>
      </c>
      <c r="R8" t="n">
        <v>5.51399830665093</v>
      </c>
      <c r="S8" t="n">
        <v>5.94646876207454</v>
      </c>
      <c r="T8" t="n">
        <v>5.52172099335493</v>
      </c>
      <c r="U8" t="n">
        <v>4.98037579792797</v>
      </c>
      <c r="V8" t="n">
        <v>17.8021943415298</v>
      </c>
      <c r="W8" t="n">
        <v>13.0051958662673</v>
      </c>
      <c r="X8" t="n">
        <v>13.221949130705</v>
      </c>
      <c r="Y8" t="n">
        <v>15.8876646812504</v>
      </c>
      <c r="Z8" t="n">
        <v>16.7183922462831</v>
      </c>
      <c r="AA8" t="n">
        <v>17.5339235753701</v>
      </c>
      <c r="AB8" t="n">
        <v>16.8119384869725</v>
      </c>
      <c r="AC8" t="n">
        <v>18.5440776038121</v>
      </c>
      <c r="AD8" t="n">
        <v>22.6538461538462</v>
      </c>
      <c r="AE8" t="n">
        <v>15.5</v>
      </c>
      <c r="AF8" t="n">
        <v>29.1</v>
      </c>
    </row>
    <row r="9">
      <c r="A9" t="s">
        <v>65</v>
      </c>
      <c r="B9" t="s">
        <v>288</v>
      </c>
      <c r="C9" t="s">
        <v>246</v>
      </c>
      <c r="D9" t="s">
        <v>289</v>
      </c>
      <c r="E9" t="s">
        <v>247</v>
      </c>
      <c r="F9" t="n">
        <v>372.82720817013</v>
      </c>
      <c r="G9" t="n">
        <v>400.301578705881</v>
      </c>
      <c r="H9" t="n">
        <v>403.142611911742</v>
      </c>
      <c r="I9" t="n">
        <v>412.201996449085</v>
      </c>
      <c r="J9" t="n">
        <v>422.507046360312</v>
      </c>
      <c r="K9" t="n">
        <v>434.061604794547</v>
      </c>
      <c r="L9" t="n">
        <v>459.594640370697</v>
      </c>
      <c r="M9" t="n">
        <v>462.710995538305</v>
      </c>
      <c r="N9" t="n">
        <v>474.1084634352</v>
      </c>
      <c r="O9" t="n">
        <v>459.388573236753</v>
      </c>
      <c r="P9" t="n">
        <v>463.68881395975</v>
      </c>
      <c r="Q9" t="n">
        <v>449.577057004343</v>
      </c>
      <c r="R9" t="n">
        <v>449.917044695549</v>
      </c>
      <c r="S9" t="n">
        <v>489.748291988234</v>
      </c>
      <c r="T9" t="n">
        <v>488.561415757375</v>
      </c>
      <c r="U9" t="n">
        <v>518.95250315122</v>
      </c>
      <c r="V9" t="n">
        <v>481.522339236551</v>
      </c>
      <c r="W9" t="n">
        <v>475.764062165355</v>
      </c>
      <c r="X9" t="n">
        <v>441.875531519238</v>
      </c>
      <c r="Y9" t="n">
        <v>425.301136735604</v>
      </c>
      <c r="Z9" t="n">
        <v>427.30329768654</v>
      </c>
      <c r="AA9" t="n">
        <v>582.096466262792</v>
      </c>
      <c r="AB9" t="n">
        <v>593.92727338598</v>
      </c>
      <c r="AC9" t="n">
        <v>623.977470433483</v>
      </c>
      <c r="AD9" t="n">
        <v>574.006778334377</v>
      </c>
      <c r="AE9" t="n">
        <v>636.7</v>
      </c>
      <c r="AF9" t="n">
        <v>659.8</v>
      </c>
    </row>
    <row r="10">
      <c r="A10" t="s">
        <v>65</v>
      </c>
      <c r="B10" t="s">
        <v>290</v>
      </c>
      <c r="C10" t="s">
        <v>246</v>
      </c>
      <c r="D10" t="s">
        <v>291</v>
      </c>
      <c r="E10" t="s">
        <v>247</v>
      </c>
      <c r="F10" t="n">
        <v>906.814525774182</v>
      </c>
      <c r="G10" t="n">
        <v>973.589049944826</v>
      </c>
      <c r="H10" t="n">
        <v>980.408293253939</v>
      </c>
      <c r="I10" t="n">
        <v>1002.34928162448</v>
      </c>
      <c r="J10" t="n">
        <v>1027.27572249844</v>
      </c>
      <c r="K10" t="n">
        <v>1055.3935674774</v>
      </c>
      <c r="L10" t="n">
        <v>1117.37114859688</v>
      </c>
      <c r="M10" t="n">
        <v>1124.95756764652</v>
      </c>
      <c r="N10" t="n">
        <v>1152.59361919774</v>
      </c>
      <c r="O10" t="n">
        <v>1116.75904076388</v>
      </c>
      <c r="P10" t="n">
        <v>1127.19948494172</v>
      </c>
      <c r="Q10" t="n">
        <v>1092.9849183288</v>
      </c>
      <c r="R10" t="n">
        <v>1093.77808590378</v>
      </c>
      <c r="S10" t="n">
        <v>1190.58234172148</v>
      </c>
      <c r="T10" t="n">
        <v>1307.73124297268</v>
      </c>
      <c r="U10" t="n">
        <v>1410.40163748891</v>
      </c>
      <c r="V10" t="n">
        <v>1301.04644094404</v>
      </c>
      <c r="W10" t="n">
        <v>1260.74181255474</v>
      </c>
      <c r="X10" t="n">
        <v>1156.77448458253</v>
      </c>
      <c r="Y10" t="n">
        <v>1003.52704560825</v>
      </c>
      <c r="Z10" t="n">
        <v>1172.51994651698</v>
      </c>
      <c r="AA10" t="n">
        <v>1478.77976743227</v>
      </c>
      <c r="AB10" t="n">
        <v>1285.55254448779</v>
      </c>
      <c r="AC10" t="n">
        <v>1295.91080591525</v>
      </c>
      <c r="AD10" t="n">
        <v>1260.07312295974</v>
      </c>
      <c r="AE10" t="n">
        <v>1557.2</v>
      </c>
      <c r="AF10" t="n">
        <v>1530</v>
      </c>
    </row>
    <row r="11">
      <c r="A11" t="s">
        <v>65</v>
      </c>
      <c r="B11" t="s">
        <v>292</v>
      </c>
      <c r="C11" t="s">
        <v>246</v>
      </c>
      <c r="D11" t="s">
        <v>293</v>
      </c>
      <c r="E11" t="s">
        <v>247</v>
      </c>
      <c r="F11" t="n">
        <v>533.98749574391</v>
      </c>
      <c r="G11" t="n">
        <v>573.287656264435</v>
      </c>
      <c r="H11" t="n">
        <v>577.265860570607</v>
      </c>
      <c r="I11" t="n">
        <v>590.147467562251</v>
      </c>
      <c r="J11" t="n">
        <v>604.768865413604</v>
      </c>
      <c r="K11" t="n">
        <v>621.332155398465</v>
      </c>
      <c r="L11" t="n">
        <v>657.776726024869</v>
      </c>
      <c r="M11" t="n">
        <v>662.2467902668</v>
      </c>
      <c r="N11" t="n">
        <v>678.485390621375</v>
      </c>
      <c r="O11" t="n">
        <v>657.370700041872</v>
      </c>
      <c r="P11" t="n">
        <v>663.510908336677</v>
      </c>
      <c r="Q11" t="n">
        <v>643.408079611381</v>
      </c>
      <c r="R11" t="n">
        <v>643.861263678725</v>
      </c>
      <c r="S11" t="n">
        <v>700.834296576842</v>
      </c>
      <c r="T11" t="n">
        <v>819.149966528334</v>
      </c>
      <c r="U11" t="n">
        <v>891.424679065779</v>
      </c>
      <c r="V11" t="n">
        <v>819.502547586781</v>
      </c>
      <c r="W11" t="n">
        <v>784.958299159873</v>
      </c>
      <c r="X11" t="n">
        <v>714.882589899853</v>
      </c>
      <c r="Y11" t="n">
        <v>578.229783408848</v>
      </c>
      <c r="Z11" t="n">
        <v>745.199032216103</v>
      </c>
      <c r="AA11" t="n">
        <v>896.668947428192</v>
      </c>
      <c r="AB11" t="n">
        <v>691.621170536848</v>
      </c>
      <c r="AC11" t="n">
        <v>671.930888101635</v>
      </c>
      <c r="AD11" t="n">
        <v>686.064049810503</v>
      </c>
      <c r="AE11" t="n">
        <v>920.5</v>
      </c>
      <c r="AF11" t="n">
        <v>870.2</v>
      </c>
    </row>
    <row r="12">
      <c r="A12" t="s">
        <v>65</v>
      </c>
      <c r="B12" t="s">
        <v>294</v>
      </c>
      <c r="C12" t="s">
        <v>246</v>
      </c>
      <c r="D12" t="s">
        <v>295</v>
      </c>
      <c r="E12" t="s">
        <v>247</v>
      </c>
      <c r="F12" t="n">
        <v>259.017518367623</v>
      </c>
      <c r="G12" t="n">
        <v>278.097240176367</v>
      </c>
      <c r="H12" t="n">
        <v>280.084663026019</v>
      </c>
      <c r="I12" t="n">
        <v>286.30876664882</v>
      </c>
      <c r="J12" t="n">
        <v>293.403881857318</v>
      </c>
      <c r="K12" t="n">
        <v>301.469012259083</v>
      </c>
      <c r="L12" t="n">
        <v>319.202483568441</v>
      </c>
      <c r="M12" t="n">
        <v>321.368403728363</v>
      </c>
      <c r="N12" t="n">
        <v>329.353524961532</v>
      </c>
      <c r="O12" t="n">
        <v>319.121182438455</v>
      </c>
      <c r="P12" t="n">
        <v>322.068049840734</v>
      </c>
      <c r="Q12" t="n">
        <v>312.198032990453</v>
      </c>
      <c r="R12" t="n">
        <v>312.537747933859</v>
      </c>
      <c r="S12" t="n">
        <v>340.250454647206</v>
      </c>
      <c r="T12" t="n">
        <v>354.917352216785</v>
      </c>
      <c r="U12" t="n">
        <v>370.59643203359</v>
      </c>
      <c r="V12" t="n">
        <v>330.065815848416</v>
      </c>
      <c r="W12" t="n">
        <v>370.794569038003</v>
      </c>
      <c r="X12" t="n">
        <v>346.413254025388</v>
      </c>
      <c r="Y12" t="n">
        <v>360.48629247017</v>
      </c>
      <c r="Z12" t="n">
        <v>544.837844726978</v>
      </c>
      <c r="AA12" t="n">
        <v>660.272209485802</v>
      </c>
      <c r="AB12" t="n">
        <v>737.578950970467</v>
      </c>
      <c r="AC12" t="n">
        <v>698.505316332015</v>
      </c>
      <c r="AD12" t="n">
        <v>667.815098646666</v>
      </c>
      <c r="AE12" t="n">
        <v>611.3</v>
      </c>
      <c r="AF12" t="n">
        <v>598.5</v>
      </c>
    </row>
    <row r="13">
      <c r="A13" t="s">
        <v>65</v>
      </c>
      <c r="B13" t="s">
        <v>296</v>
      </c>
      <c r="C13" t="s">
        <v>246</v>
      </c>
      <c r="D13" t="s">
        <v>297</v>
      </c>
      <c r="E13" t="s">
        <v>247</v>
      </c>
      <c r="F13" t="n">
        <v>313.503846636135</v>
      </c>
      <c r="G13" t="n">
        <v>336.56367423459</v>
      </c>
      <c r="H13" t="n">
        <v>338.976825842346</v>
      </c>
      <c r="I13" t="n">
        <v>346.616537276188</v>
      </c>
      <c r="J13" t="n">
        <v>355.247149850937</v>
      </c>
      <c r="K13" t="n">
        <v>364.987573074425</v>
      </c>
      <c r="L13" t="n">
        <v>386.409273624961</v>
      </c>
      <c r="M13" t="n">
        <v>388.98172499107</v>
      </c>
      <c r="N13" t="n">
        <v>398.536121331698</v>
      </c>
      <c r="O13" t="n">
        <v>386.129830006546</v>
      </c>
      <c r="P13" t="n">
        <v>389.689195890268</v>
      </c>
      <c r="Q13" t="n">
        <v>377.82347120383</v>
      </c>
      <c r="R13" t="n">
        <v>378.163138693674</v>
      </c>
      <c r="S13" t="n">
        <v>411.692137909247</v>
      </c>
      <c r="T13" t="n">
        <v>443.709044156706</v>
      </c>
      <c r="U13" t="n">
        <v>450.177745319356</v>
      </c>
      <c r="V13" t="n">
        <v>474.433011769753</v>
      </c>
      <c r="W13" t="n">
        <v>460.099032013834</v>
      </c>
      <c r="X13" t="n">
        <v>464.290775772292</v>
      </c>
      <c r="Y13" t="n">
        <v>421.098418688323</v>
      </c>
      <c r="Z13" t="n">
        <v>465.967834986778</v>
      </c>
      <c r="AA13" t="n">
        <v>639.65049906603</v>
      </c>
      <c r="AB13" t="n">
        <v>722.550863827386</v>
      </c>
      <c r="AC13" t="n">
        <v>775.26036482189</v>
      </c>
      <c r="AD13" t="n">
        <v>756.179207255626</v>
      </c>
      <c r="AE13" t="n">
        <v>593.5</v>
      </c>
      <c r="AF13" t="n">
        <v>543.8</v>
      </c>
    </row>
    <row r="14">
      <c r="A14" t="s">
        <v>65</v>
      </c>
      <c r="B14" t="s">
        <v>298</v>
      </c>
      <c r="C14" t="s">
        <v>246</v>
      </c>
      <c r="D14" t="s">
        <v>299</v>
      </c>
      <c r="E14" t="s">
        <v>247</v>
      </c>
      <c r="F14" t="n">
        <v>880.33584988654</v>
      </c>
      <c r="G14" t="n">
        <v>945.169446570336</v>
      </c>
      <c r="H14" t="n">
        <v>951.702548680364</v>
      </c>
      <c r="I14" t="n">
        <v>972.930114821933</v>
      </c>
      <c r="J14" t="n">
        <v>997.152441332023</v>
      </c>
      <c r="K14" t="n">
        <v>1024.56508868653</v>
      </c>
      <c r="L14" t="n">
        <v>1084.61685890394</v>
      </c>
      <c r="M14" t="n">
        <v>1091.92888267183</v>
      </c>
      <c r="N14" t="n">
        <v>1118.89978792727</v>
      </c>
      <c r="O14" t="n">
        <v>1084.09810212782</v>
      </c>
      <c r="P14" t="n">
        <v>1094.04282990498</v>
      </c>
      <c r="Q14" t="n">
        <v>1060.90070099391</v>
      </c>
      <c r="R14" t="n">
        <v>1061.69360136834</v>
      </c>
      <c r="S14" t="n">
        <v>1155.60207734644</v>
      </c>
      <c r="T14" t="n">
        <v>1281.0070615728</v>
      </c>
      <c r="U14" t="n">
        <v>1411.37746268639</v>
      </c>
      <c r="V14" t="n">
        <v>1422.58828191189</v>
      </c>
      <c r="W14" t="n">
        <v>1290.52725810817</v>
      </c>
      <c r="X14" t="n">
        <v>1147.31922348182</v>
      </c>
      <c r="Y14" t="n">
        <v>1479.91945510739</v>
      </c>
      <c r="Z14" t="n">
        <v>1607.16998552021</v>
      </c>
      <c r="AA14" t="n">
        <v>1184.50147436893</v>
      </c>
      <c r="AB14" t="n">
        <v>1334.74307693429</v>
      </c>
      <c r="AC14" t="n">
        <v>1308.49121555636</v>
      </c>
      <c r="AD14" t="n">
        <v>1339.68422478386</v>
      </c>
      <c r="AE14" t="n">
        <v>1729.3</v>
      </c>
      <c r="AF14" t="n">
        <v>1497.9</v>
      </c>
    </row>
    <row r="15">
      <c r="A15" t="s">
        <v>65</v>
      </c>
      <c r="B15" t="s">
        <v>300</v>
      </c>
      <c r="C15" t="s">
        <v>246</v>
      </c>
      <c r="D15" t="s">
        <v>301</v>
      </c>
      <c r="E15" t="s">
        <v>247</v>
      </c>
      <c r="F15" t="n">
        <v>1276.60150102508</v>
      </c>
      <c r="G15" t="n">
        <v>1370.55409696882</v>
      </c>
      <c r="H15" t="n">
        <v>1380.06986116539</v>
      </c>
      <c r="I15" t="n">
        <v>1410.77896287508</v>
      </c>
      <c r="J15" t="n">
        <v>1445.85703871568</v>
      </c>
      <c r="K15" t="n">
        <v>1485.65254569987</v>
      </c>
      <c r="L15" t="n">
        <v>1572.72275736224</v>
      </c>
      <c r="M15" t="n">
        <v>1583.28430493643</v>
      </c>
      <c r="N15" t="n">
        <v>1622.29693292312</v>
      </c>
      <c r="O15" t="n">
        <v>1571.89199706856</v>
      </c>
      <c r="P15" t="n">
        <v>1586.37834943142</v>
      </c>
      <c r="Q15" t="n">
        <v>1538.31340055243</v>
      </c>
      <c r="R15" t="n">
        <v>1539.55936531247</v>
      </c>
      <c r="S15" t="n">
        <v>1675.81036914262</v>
      </c>
      <c r="T15" t="n">
        <v>1950.13387336364</v>
      </c>
      <c r="U15" t="n">
        <v>2034.12614477194</v>
      </c>
      <c r="V15" t="n">
        <v>2124.89107396632</v>
      </c>
      <c r="W15" t="n">
        <v>1936.68519482988</v>
      </c>
      <c r="X15" t="n">
        <v>1673.33396091972</v>
      </c>
      <c r="Y15" t="n">
        <v>1969.8700452209</v>
      </c>
      <c r="Z15" t="n">
        <v>2198.77526491422</v>
      </c>
      <c r="AA15" t="n">
        <v>1942.79721356193</v>
      </c>
      <c r="AB15" t="n">
        <v>2112.54813437946</v>
      </c>
      <c r="AC15" t="n">
        <v>2140.85217734493</v>
      </c>
      <c r="AD15" t="n">
        <v>2225.2465952381</v>
      </c>
      <c r="AE15" t="n">
        <v>2511.7</v>
      </c>
      <c r="AF15" t="n">
        <v>2164.4</v>
      </c>
    </row>
    <row r="16">
      <c r="A16" t="s">
        <v>65</v>
      </c>
      <c r="B16" t="s">
        <v>302</v>
      </c>
      <c r="C16" t="s">
        <v>246</v>
      </c>
      <c r="D16" t="s">
        <v>303</v>
      </c>
      <c r="E16" t="s">
        <v>247</v>
      </c>
      <c r="F16" t="n">
        <v>396.232014204141</v>
      </c>
      <c r="G16" t="n">
        <v>425.348543497479</v>
      </c>
      <c r="H16" t="n">
        <v>428.330953986109</v>
      </c>
      <c r="I16" t="n">
        <v>437.811685375957</v>
      </c>
      <c r="J16" t="n">
        <v>448.666520550567</v>
      </c>
      <c r="K16" t="n">
        <v>461.048325303746</v>
      </c>
      <c r="L16" t="n">
        <v>488.06447458168</v>
      </c>
      <c r="M16" t="n">
        <v>491.313724897897</v>
      </c>
      <c r="N16" t="n">
        <v>503.354444847446</v>
      </c>
      <c r="O16" t="n">
        <v>487.752503213455</v>
      </c>
      <c r="P16" t="n">
        <v>492.293731854345</v>
      </c>
      <c r="Q16" t="n">
        <v>477.372179600049</v>
      </c>
      <c r="R16" t="n">
        <v>477.825201834545</v>
      </c>
      <c r="S16" t="n">
        <v>520.164143769251</v>
      </c>
      <c r="T16" t="n">
        <v>669.075147613641</v>
      </c>
      <c r="U16" t="n">
        <v>622.693832071102</v>
      </c>
      <c r="V16" t="n">
        <v>702.241702603986</v>
      </c>
      <c r="W16" t="n">
        <v>646.101458248604</v>
      </c>
      <c r="X16" t="n">
        <v>525.970932718003</v>
      </c>
      <c r="Y16" t="n">
        <v>489.924766717777</v>
      </c>
      <c r="Z16" t="n">
        <v>591.575465467005</v>
      </c>
      <c r="AA16" t="n">
        <v>758.287506997219</v>
      </c>
      <c r="AB16" t="n">
        <v>777.794629508915</v>
      </c>
      <c r="AC16" t="n">
        <v>832.355117760332</v>
      </c>
      <c r="AD16" t="n">
        <v>885.557197452229</v>
      </c>
      <c r="AE16" t="n">
        <v>782.4</v>
      </c>
      <c r="AF16" t="n">
        <v>666.5</v>
      </c>
    </row>
    <row r="17">
      <c r="A17" t="s">
        <v>65</v>
      </c>
      <c r="B17" t="s">
        <v>304</v>
      </c>
      <c r="C17" t="s">
        <v>246</v>
      </c>
      <c r="D17" t="s">
        <v>305</v>
      </c>
      <c r="E17" t="s">
        <v>247</v>
      </c>
      <c r="F17" t="n">
        <v>1061.09109548778</v>
      </c>
      <c r="G17" t="n">
        <v>1139.10038130671</v>
      </c>
      <c r="H17" t="n">
        <v>1147.05221642927</v>
      </c>
      <c r="I17" t="n">
        <v>1172.80641127137</v>
      </c>
      <c r="J17" t="n">
        <v>1201.90036260143</v>
      </c>
      <c r="K17" t="n">
        <v>1234.87679070244</v>
      </c>
      <c r="L17" t="n">
        <v>1307.33999943965</v>
      </c>
      <c r="M17" t="n">
        <v>1316.14135624582</v>
      </c>
      <c r="N17" t="n">
        <v>1348.60958029327</v>
      </c>
      <c r="O17" t="n">
        <v>1306.77338517365</v>
      </c>
      <c r="P17" t="n">
        <v>1318.8060631542</v>
      </c>
      <c r="Q17" t="n">
        <v>1278.84580457899</v>
      </c>
      <c r="R17" t="n">
        <v>1279.8652565047</v>
      </c>
      <c r="S17" t="n">
        <v>1393.13740070472</v>
      </c>
      <c r="T17" t="n">
        <v>1480.48481881531</v>
      </c>
      <c r="U17" t="n">
        <v>1551.32351172359</v>
      </c>
      <c r="V17" t="n">
        <v>1708.40728103218</v>
      </c>
      <c r="W17" t="n">
        <v>1642.69930868479</v>
      </c>
      <c r="X17" t="n">
        <v>1668.62853608544</v>
      </c>
      <c r="Y17" t="n">
        <v>1694.0731993766</v>
      </c>
      <c r="Z17" t="n">
        <v>1726.62519356897</v>
      </c>
      <c r="AA17" t="n">
        <v>2008.97289638183</v>
      </c>
      <c r="AB17" t="n">
        <v>2207.16194819162</v>
      </c>
      <c r="AC17" t="n">
        <v>2406.20954106621</v>
      </c>
      <c r="AD17" t="n">
        <v>2367.14081472291</v>
      </c>
      <c r="AE17" t="n">
        <v>2410.1</v>
      </c>
      <c r="AF17" t="n">
        <v>2119.1</v>
      </c>
    </row>
    <row r="18">
      <c r="A18" t="s">
        <v>65</v>
      </c>
      <c r="B18" t="s">
        <v>306</v>
      </c>
      <c r="C18" t="s">
        <v>246</v>
      </c>
      <c r="D18" t="s">
        <v>307</v>
      </c>
      <c r="E18" t="s">
        <v>247</v>
      </c>
      <c r="F18" t="n">
        <v>1995.68966431507</v>
      </c>
      <c r="G18" t="n">
        <v>2142.61328759959</v>
      </c>
      <c r="H18" t="n">
        <v>2157.66311918699</v>
      </c>
      <c r="I18" t="n">
        <v>2205.90671787841</v>
      </c>
      <c r="J18" t="n">
        <v>2260.60207056776</v>
      </c>
      <c r="K18" t="n">
        <v>2322.78601675507</v>
      </c>
      <c r="L18" t="n">
        <v>2459.091422696</v>
      </c>
      <c r="M18" t="n">
        <v>2475.74349520159</v>
      </c>
      <c r="N18" t="n">
        <v>2536.74045347398</v>
      </c>
      <c r="O18" t="n">
        <v>2457.94300910203</v>
      </c>
      <c r="P18" t="n">
        <v>2480.65286560125</v>
      </c>
      <c r="Q18" t="n">
        <v>2405.33201453544</v>
      </c>
      <c r="R18" t="n">
        <v>2407.3705274721</v>
      </c>
      <c r="S18" t="n">
        <v>2620.45497973247</v>
      </c>
      <c r="T18" t="n">
        <v>2588.21682803152</v>
      </c>
      <c r="U18" t="n">
        <v>2802.11995132077</v>
      </c>
      <c r="V18" t="n">
        <v>3312.93878688429</v>
      </c>
      <c r="W18" t="n">
        <v>3062.19879544218</v>
      </c>
      <c r="X18" t="n">
        <v>3043.99571869585</v>
      </c>
      <c r="Y18" t="n">
        <v>3091.73745395244</v>
      </c>
      <c r="Z18" t="n">
        <v>3693.29484695879</v>
      </c>
      <c r="AA18" t="n">
        <v>4104.31302401155</v>
      </c>
      <c r="AB18" t="n">
        <v>3933.11408350496</v>
      </c>
      <c r="AC18" t="n">
        <v>3878.35504503301</v>
      </c>
      <c r="AD18" t="n">
        <v>4181.80738021532</v>
      </c>
      <c r="AE18" t="n">
        <v>3638.3</v>
      </c>
      <c r="AF18" t="n">
        <v>4108.2</v>
      </c>
    </row>
    <row r="19">
      <c r="A19" t="s">
        <v>65</v>
      </c>
      <c r="B19" t="s">
        <v>308</v>
      </c>
      <c r="C19" t="s">
        <v>246</v>
      </c>
      <c r="D19" t="s">
        <v>309</v>
      </c>
      <c r="E19" t="s">
        <v>247</v>
      </c>
      <c r="F19" t="n">
        <v>230.469641844509</v>
      </c>
      <c r="G19" t="n">
        <v>247.383583340258</v>
      </c>
      <c r="H19" t="n">
        <v>249.089677018467</v>
      </c>
      <c r="I19" t="n">
        <v>254.612415735761</v>
      </c>
      <c r="J19" t="n">
        <v>260.88022684523</v>
      </c>
      <c r="K19" t="n">
        <v>267.979955537389</v>
      </c>
      <c r="L19" t="n">
        <v>283.67923973851</v>
      </c>
      <c r="M19" t="n">
        <v>285.574948261822</v>
      </c>
      <c r="N19" t="n">
        <v>292.645579718098</v>
      </c>
      <c r="O19" t="n">
        <v>283.56038681911</v>
      </c>
      <c r="P19" t="n">
        <v>286.139324940895</v>
      </c>
      <c r="Q19" t="n">
        <v>277.557496378576</v>
      </c>
      <c r="R19" t="n">
        <v>277.784166445034</v>
      </c>
      <c r="S19" t="n">
        <v>302.31718391721</v>
      </c>
      <c r="T19" t="n">
        <v>314.612638418302</v>
      </c>
      <c r="U19" t="n">
        <v>325.688231475203</v>
      </c>
      <c r="V19" t="n">
        <v>294.316078095764</v>
      </c>
      <c r="W19" t="n">
        <v>284.215932242293</v>
      </c>
      <c r="X19" t="n">
        <v>272.851708243475</v>
      </c>
      <c r="Y19" t="n">
        <v>293.423860849134</v>
      </c>
      <c r="Z19" t="n">
        <v>305.329389134933</v>
      </c>
      <c r="AA19" t="n">
        <v>522.612698097736</v>
      </c>
      <c r="AB19" t="n">
        <v>489.715909913268</v>
      </c>
      <c r="AC19" t="n">
        <v>539.661804809134</v>
      </c>
      <c r="AD19" t="n">
        <v>537.440974336668</v>
      </c>
      <c r="AE19" t="n">
        <v>458.3</v>
      </c>
      <c r="AF19" t="n">
        <v>441.1</v>
      </c>
    </row>
    <row r="20">
      <c r="A20" t="s">
        <v>65</v>
      </c>
      <c r="B20" t="s">
        <v>310</v>
      </c>
      <c r="C20" t="s">
        <v>246</v>
      </c>
      <c r="D20" t="s">
        <v>311</v>
      </c>
      <c r="E20" t="s">
        <v>247</v>
      </c>
      <c r="F20" t="n">
        <v>44.9599225957342</v>
      </c>
      <c r="G20" t="n">
        <v>48.28003995665</v>
      </c>
      <c r="H20" t="n">
        <v>48.5665683836924</v>
      </c>
      <c r="I20" t="n">
        <v>49.563536063123</v>
      </c>
      <c r="J20" t="n">
        <v>50.8236259630329</v>
      </c>
      <c r="K20" t="n">
        <v>52.2237258518217</v>
      </c>
      <c r="L20" t="n">
        <v>55.384635574432</v>
      </c>
      <c r="M20" t="n">
        <v>55.6574662915474</v>
      </c>
      <c r="N20" t="n">
        <v>57.108253327583</v>
      </c>
      <c r="O20" t="n">
        <v>55.3034778273885</v>
      </c>
      <c r="P20" t="n">
        <v>55.7983635350161</v>
      </c>
      <c r="Q20" t="n">
        <v>54.0251104565728</v>
      </c>
      <c r="R20" t="n">
        <v>54.1390874828525</v>
      </c>
      <c r="S20" t="n">
        <v>58.8997843371729</v>
      </c>
      <c r="T20" t="n">
        <v>9.87086625171773</v>
      </c>
      <c r="U20" t="n">
        <v>21.4965531704075</v>
      </c>
      <c r="V20" t="n">
        <v>25.7094455002864</v>
      </c>
      <c r="W20" t="n">
        <v>35.3640473970184</v>
      </c>
      <c r="X20" t="n">
        <v>38.6690985556182</v>
      </c>
      <c r="Y20" t="n">
        <v>15.3380223321167</v>
      </c>
      <c r="Z20" t="n">
        <v>25.0030775002999</v>
      </c>
      <c r="AA20" t="n">
        <v>39.7168226959496</v>
      </c>
      <c r="AB20" t="n">
        <v>63.1528590648389</v>
      </c>
      <c r="AC20" t="n">
        <v>62.4352129391021</v>
      </c>
      <c r="AD20" t="n">
        <v>58.9049504950495</v>
      </c>
      <c r="AE20" t="n">
        <v>60.4</v>
      </c>
      <c r="AF20" t="n">
        <v>34.2</v>
      </c>
    </row>
    <row r="21">
      <c r="A21" t="s">
        <v>65</v>
      </c>
      <c r="B21" t="s">
        <v>312</v>
      </c>
      <c r="C21" t="s">
        <v>246</v>
      </c>
      <c r="D21" t="s">
        <v>313</v>
      </c>
      <c r="E21" t="s">
        <v>247</v>
      </c>
      <c r="F21" t="n">
        <v>55.0783680350741</v>
      </c>
      <c r="G21" t="n">
        <v>59.0815576917587</v>
      </c>
      <c r="H21" t="n">
        <v>59.366975844859</v>
      </c>
      <c r="I21" t="n">
        <v>60.5004741903455</v>
      </c>
      <c r="J21" t="n">
        <v>62.030371238837</v>
      </c>
      <c r="K21" t="n">
        <v>63.6993498371914</v>
      </c>
      <c r="L21" t="n">
        <v>67.5185828038752</v>
      </c>
      <c r="M21" t="n">
        <v>67.925321254501</v>
      </c>
      <c r="N21" t="n">
        <v>69.7611407478658</v>
      </c>
      <c r="O21" t="n">
        <v>67.581105099495</v>
      </c>
      <c r="P21" t="n">
        <v>68.196597859964</v>
      </c>
      <c r="Q21" t="n">
        <v>66.0764963720895</v>
      </c>
      <c r="R21" t="n">
        <v>66.1900298710106</v>
      </c>
      <c r="S21" t="n">
        <v>72.0368158429499</v>
      </c>
      <c r="T21" t="n">
        <v>31.8603608300903</v>
      </c>
      <c r="U21" t="n">
        <v>32.1899507697119</v>
      </c>
      <c r="V21" t="n">
        <v>36.2947095926953</v>
      </c>
      <c r="W21" t="n">
        <v>47.8133898825926</v>
      </c>
      <c r="X21" t="n">
        <v>49.9114370136994</v>
      </c>
      <c r="Y21" t="n">
        <v>29.7736337934216</v>
      </c>
      <c r="Z21" t="n">
        <v>45.7651261488989</v>
      </c>
      <c r="AA21" t="n">
        <v>75.0753754802162</v>
      </c>
      <c r="AB21" t="n">
        <v>106.183956480306</v>
      </c>
      <c r="AC21" t="n">
        <v>122.788011451164</v>
      </c>
      <c r="AD21" t="n">
        <v>121.173707274321</v>
      </c>
      <c r="AE21" t="n">
        <v>113.7</v>
      </c>
      <c r="AF21" t="n">
        <v>96.3</v>
      </c>
    </row>
    <row r="22">
      <c r="A22" t="s">
        <v>65</v>
      </c>
      <c r="B22" t="s">
        <v>314</v>
      </c>
      <c r="C22" t="s">
        <v>246</v>
      </c>
      <c r="D22" t="s">
        <v>315</v>
      </c>
      <c r="E22" t="s">
        <v>247</v>
      </c>
      <c r="F22" t="n">
        <v>10.2877852755978</v>
      </c>
      <c r="G22" t="n">
        <v>10.9829059023274</v>
      </c>
      <c r="H22" t="n">
        <v>10.9829059023274</v>
      </c>
      <c r="I22" t="n">
        <v>11.1237123882547</v>
      </c>
      <c r="J22" t="n">
        <v>11.3983719533968</v>
      </c>
      <c r="K22" t="n">
        <v>11.6730315185389</v>
      </c>
      <c r="L22" t="n">
        <v>12.3438953989147</v>
      </c>
      <c r="M22" t="n">
        <v>12.4780681749898</v>
      </c>
      <c r="N22" t="n">
        <v>12.8680078054583</v>
      </c>
      <c r="O22" t="n">
        <v>12.4857897518308</v>
      </c>
      <c r="P22" t="n">
        <v>12.6081994552801</v>
      </c>
      <c r="Q22" t="n">
        <v>12.2546985359732</v>
      </c>
      <c r="R22" t="n">
        <v>12.2546985359732</v>
      </c>
      <c r="S22" t="n">
        <v>13.3587254311059</v>
      </c>
      <c r="T22" t="n">
        <v>21.9772579673033</v>
      </c>
      <c r="U22" t="n">
        <v>10.6589701141421</v>
      </c>
      <c r="V22" t="n">
        <v>10.5513037493528</v>
      </c>
      <c r="W22" t="n">
        <v>12.4005013136723</v>
      </c>
      <c r="X22" t="n">
        <v>11.1825949346509</v>
      </c>
      <c r="Y22" t="n">
        <v>14.4396614204716</v>
      </c>
      <c r="Z22" t="n">
        <v>20.7636007287074</v>
      </c>
      <c r="AA22" t="n">
        <v>35.3597953003729</v>
      </c>
      <c r="AB22" t="n">
        <v>43.033181963797</v>
      </c>
      <c r="AC22" t="n">
        <v>60.3489147063724</v>
      </c>
      <c r="AD22" t="n">
        <v>62.2663551401869</v>
      </c>
      <c r="AE22" t="n">
        <v>53.3</v>
      </c>
      <c r="AF22" t="n">
        <v>62.1</v>
      </c>
    </row>
    <row r="23">
      <c r="A23" t="s">
        <v>65</v>
      </c>
      <c r="B23" t="s">
        <v>316</v>
      </c>
      <c r="C23" t="s">
        <v>246</v>
      </c>
      <c r="D23" t="s">
        <v>317</v>
      </c>
      <c r="E23" t="s">
        <v>247</v>
      </c>
      <c r="F23" t="n">
        <v>51.2238302136553</v>
      </c>
      <c r="G23" t="n">
        <v>54.9416888581948</v>
      </c>
      <c r="H23" t="n">
        <v>55.3686968026886</v>
      </c>
      <c r="I23" t="n">
        <v>56.6464359596737</v>
      </c>
      <c r="J23" t="n">
        <v>58.0416683724735</v>
      </c>
      <c r="K23" t="n">
        <v>59.5764240265534</v>
      </c>
      <c r="L23" t="n">
        <v>62.9925033858741</v>
      </c>
      <c r="M23" t="n">
        <v>63.3989066335249</v>
      </c>
      <c r="N23" t="n">
        <v>64.9707803517114</v>
      </c>
      <c r="O23" t="n">
        <v>62.9244565611064</v>
      </c>
      <c r="P23" t="n">
        <v>63.5389532072109</v>
      </c>
      <c r="Q23" t="n">
        <v>61.6563175566269</v>
      </c>
      <c r="R23" t="n">
        <v>61.6563175566269</v>
      </c>
      <c r="S23" t="n">
        <v>67.1613459098971</v>
      </c>
      <c r="T23" t="n">
        <v>110.243945617371</v>
      </c>
      <c r="U23" t="n">
        <v>68.7377589207913</v>
      </c>
      <c r="V23" t="n">
        <v>55.8966391224017</v>
      </c>
      <c r="W23" t="n">
        <v>58.6100682060134</v>
      </c>
      <c r="X23" t="n">
        <v>308.503089709619</v>
      </c>
      <c r="Y23" t="n">
        <v>46.2537989136261</v>
      </c>
      <c r="Z23" t="n">
        <v>104.940281817703</v>
      </c>
      <c r="AA23" t="n">
        <v>128.832475519084</v>
      </c>
      <c r="AB23" t="n">
        <v>190.49765719381</v>
      </c>
      <c r="AC23" t="n">
        <v>163.620766410408</v>
      </c>
      <c r="AD23" t="n">
        <v>202.000946185689</v>
      </c>
      <c r="AE23" t="n">
        <v>168.6</v>
      </c>
      <c r="AF23" t="n">
        <v>193.5</v>
      </c>
    </row>
    <row r="24">
      <c r="A24" t="s">
        <v>65</v>
      </c>
      <c r="B24" t="s">
        <v>318</v>
      </c>
      <c r="C24" t="s">
        <v>246</v>
      </c>
      <c r="D24" t="s">
        <v>319</v>
      </c>
      <c r="E24" t="s">
        <v>247</v>
      </c>
      <c r="F24" t="n">
        <v>313.331033969516</v>
      </c>
      <c r="G24" t="n">
        <v>336.398349353775</v>
      </c>
      <c r="H24" t="n">
        <v>338.812351860746</v>
      </c>
      <c r="I24" t="n">
        <v>346.454735737304</v>
      </c>
      <c r="J24" t="n">
        <v>355.088254071594</v>
      </c>
      <c r="K24" t="n">
        <v>364.831953712916</v>
      </c>
      <c r="L24" t="n">
        <v>386.124054266307</v>
      </c>
      <c r="M24" t="n">
        <v>388.696409466538</v>
      </c>
      <c r="N24" t="n">
        <v>398.253444795288</v>
      </c>
      <c r="O24" t="n">
        <v>385.971937985025</v>
      </c>
      <c r="P24" t="n">
        <v>389.533244444321</v>
      </c>
      <c r="Q24" t="n">
        <v>377.779072916128</v>
      </c>
      <c r="R24" t="n">
        <v>378.119006095116</v>
      </c>
      <c r="S24" t="n">
        <v>411.563340646445</v>
      </c>
      <c r="T24" t="n">
        <v>247.304701284669</v>
      </c>
      <c r="U24" t="n">
        <v>274.612404442045</v>
      </c>
      <c r="V24" t="n">
        <v>538.6586464831</v>
      </c>
      <c r="W24" t="n">
        <v>281.549346982092</v>
      </c>
      <c r="X24" t="n">
        <v>278.017563719283</v>
      </c>
      <c r="Y24" t="n">
        <v>308.992640939273</v>
      </c>
      <c r="Z24" t="n">
        <v>399.067208959416</v>
      </c>
      <c r="AA24" t="n">
        <v>701.225451820558</v>
      </c>
      <c r="AB24" t="n">
        <v>719.386537223636</v>
      </c>
      <c r="AC24" t="n">
        <v>617.452079917821</v>
      </c>
      <c r="AD24" t="n">
        <v>855.508326557164</v>
      </c>
      <c r="AE24" t="n">
        <v>612.9</v>
      </c>
      <c r="AF24" t="n">
        <v>792</v>
      </c>
    </row>
    <row r="25">
      <c r="A25" t="s">
        <v>65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65</v>
      </c>
      <c r="B28" t="s">
        <v>326</v>
      </c>
      <c r="C28" t="s">
        <v>246</v>
      </c>
      <c r="D28" t="s">
        <v>327</v>
      </c>
      <c r="E28" t="s">
        <v>247</v>
      </c>
      <c r="F28" t="n">
        <v>71.7131735705382</v>
      </c>
      <c r="G28" t="n">
        <v>76.9537516391544</v>
      </c>
      <c r="H28" t="n">
        <v>77.524836994547</v>
      </c>
      <c r="I28" t="n">
        <v>79.2318058825004</v>
      </c>
      <c r="J28" t="n">
        <v>81.188146768488</v>
      </c>
      <c r="K28" t="n">
        <v>83.4239649239025</v>
      </c>
      <c r="L28" t="n">
        <v>85.8896978773183</v>
      </c>
      <c r="M28" t="n">
        <v>86.2974021393942</v>
      </c>
      <c r="N28" t="n">
        <v>86.8236058109759</v>
      </c>
      <c r="O28" t="n">
        <v>86.1814193774627</v>
      </c>
      <c r="P28" t="n">
        <v>85.8115420410788</v>
      </c>
      <c r="Q28" t="n">
        <v>85.4574366406342</v>
      </c>
      <c r="R28" t="n">
        <v>85.0022705333605</v>
      </c>
      <c r="S28" t="n">
        <v>91.0738612857434</v>
      </c>
      <c r="T28" t="n">
        <v>76.7792718806089</v>
      </c>
      <c r="U28" t="n">
        <v>60.6963827922747</v>
      </c>
      <c r="V28" t="n">
        <v>33.3830105357511</v>
      </c>
      <c r="W28" t="n">
        <v>17.4551689075823</v>
      </c>
      <c r="X28" t="n">
        <v>39.6607951760888</v>
      </c>
      <c r="Y28" t="n">
        <v>22.5394682967937</v>
      </c>
      <c r="Z28" t="n">
        <v>95.950727188687</v>
      </c>
      <c r="AA28" t="n">
        <v>117.570526233348</v>
      </c>
      <c r="AB28" t="n">
        <v>144.758061867185</v>
      </c>
      <c r="AC28" t="n">
        <v>188.534047998409</v>
      </c>
      <c r="AD28" t="n">
        <v>190.956326987682</v>
      </c>
      <c r="AE28" t="n">
        <v>178</v>
      </c>
      <c r="AF28" t="n">
        <v>83.1</v>
      </c>
    </row>
    <row r="29">
      <c r="A29" t="s">
        <v>65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65</v>
      </c>
      <c r="B34" t="s">
        <v>338</v>
      </c>
      <c r="C34" t="s">
        <v>246</v>
      </c>
      <c r="D34" t="s">
        <v>339</v>
      </c>
      <c r="E34" t="s">
        <v>247</v>
      </c>
      <c r="F34" t="n">
        <v>2.32842479176204</v>
      </c>
      <c r="G34" t="n">
        <v>2.46539095598334</v>
      </c>
      <c r="H34" t="n">
        <v>2.46539095598334</v>
      </c>
      <c r="I34" t="n">
        <v>2.46539095598334</v>
      </c>
      <c r="J34" t="n">
        <v>2.46539095598334</v>
      </c>
      <c r="K34" t="n">
        <v>2.5951483747193</v>
      </c>
      <c r="L34" t="n">
        <v>2.72490579345527</v>
      </c>
      <c r="M34" t="n">
        <v>2.72490579345527</v>
      </c>
      <c r="N34" t="n">
        <v>2.84876514770323</v>
      </c>
      <c r="O34" t="n">
        <v>2.72490579345527</v>
      </c>
      <c r="P34" t="n">
        <v>2.8433799583881</v>
      </c>
      <c r="Q34" t="n">
        <v>2.72964476005258</v>
      </c>
      <c r="R34" t="n">
        <v>2.72964476005258</v>
      </c>
      <c r="S34" t="n">
        <v>2.93961743390278</v>
      </c>
      <c r="T34" t="n">
        <v>4.40942615085417</v>
      </c>
      <c r="U34" t="n">
        <v>5.26980198516717</v>
      </c>
      <c r="V34" t="n">
        <v>3.79425742932037</v>
      </c>
      <c r="W34" t="n">
        <v>5.20355304592507</v>
      </c>
      <c r="X34" t="n">
        <v>3.87498631079527</v>
      </c>
      <c r="Y34" t="n">
        <v>4.30554034532807</v>
      </c>
      <c r="Z34" t="n">
        <v>4.20052716617373</v>
      </c>
      <c r="AA34" t="n">
        <v>6.96672798292229</v>
      </c>
      <c r="AB34" t="n">
        <v>12.7896648044693</v>
      </c>
      <c r="AC34" t="n">
        <v>18.4625</v>
      </c>
      <c r="AD34" t="n">
        <v>21.1</v>
      </c>
      <c r="AE34" t="n">
        <v>11.6</v>
      </c>
      <c r="AF34" t="n">
        <v>7.1</v>
      </c>
    </row>
    <row r="35">
      <c r="A35" t="s">
        <v>65</v>
      </c>
      <c r="B35" t="s">
        <v>340</v>
      </c>
      <c r="C35" t="s">
        <v>246</v>
      </c>
      <c r="D35" t="s">
        <v>341</v>
      </c>
      <c r="E35" t="s">
        <v>247</v>
      </c>
      <c r="F35" t="n">
        <v>952.564960753494</v>
      </c>
      <c r="G35" t="n">
        <v>1022.60650198537</v>
      </c>
      <c r="H35" t="n">
        <v>1029.84895881098</v>
      </c>
      <c r="I35" t="n">
        <v>1052.91372664366</v>
      </c>
      <c r="J35" t="n">
        <v>1078.94424844196</v>
      </c>
      <c r="K35" t="n">
        <v>1108.43956509827</v>
      </c>
      <c r="L35" t="n">
        <v>1173.38506398881</v>
      </c>
      <c r="M35" t="n">
        <v>1181.5081866194</v>
      </c>
      <c r="N35" t="n">
        <v>1210.83315435378</v>
      </c>
      <c r="O35" t="n">
        <v>1173.09057399301</v>
      </c>
      <c r="P35" t="n">
        <v>1184.99949975725</v>
      </c>
      <c r="Q35" t="n">
        <v>1149.04057007402</v>
      </c>
      <c r="R35" t="n">
        <v>1149.94666416574</v>
      </c>
      <c r="S35" t="n">
        <v>1251.76829459388</v>
      </c>
      <c r="T35" t="n">
        <v>1653.56780059464</v>
      </c>
      <c r="U35" t="n">
        <v>1442.92431618202</v>
      </c>
      <c r="V35" t="n">
        <v>1357.00002747931</v>
      </c>
      <c r="W35" t="n">
        <v>1351.78664495018</v>
      </c>
      <c r="X35" t="n">
        <v>1519.8495886448</v>
      </c>
      <c r="Y35" t="n">
        <v>1184.93260533913</v>
      </c>
      <c r="Z35" t="n">
        <v>1374.67774824086</v>
      </c>
      <c r="AA35" t="n">
        <v>1490.73601644578</v>
      </c>
      <c r="AB35" t="n">
        <v>1647.00026373243</v>
      </c>
      <c r="AC35" t="n">
        <v>1701.55503244582</v>
      </c>
      <c r="AD35" t="n">
        <v>1902.96729598738</v>
      </c>
      <c r="AE35" t="n">
        <v>1768.7</v>
      </c>
      <c r="AF35" t="n">
        <v>1581.1</v>
      </c>
    </row>
    <row r="36">
      <c r="A36" t="s">
        <v>65</v>
      </c>
      <c r="B36" t="s">
        <v>342</v>
      </c>
      <c r="C36" t="s">
        <v>246</v>
      </c>
      <c r="D36" t="s">
        <v>343</v>
      </c>
      <c r="E36" t="s">
        <v>247</v>
      </c>
      <c r="F36" t="n">
        <v>13.6220984441721</v>
      </c>
      <c r="G36" t="n">
        <v>14.5951054758987</v>
      </c>
      <c r="H36" t="n">
        <v>14.5951054758987</v>
      </c>
      <c r="I36" t="n">
        <v>14.8785055822268</v>
      </c>
      <c r="J36" t="n">
        <v>15.1566084903058</v>
      </c>
      <c r="K36" t="n">
        <v>15.5737628524243</v>
      </c>
      <c r="L36" t="n">
        <v>16.3863070012465</v>
      </c>
      <c r="M36" t="n">
        <v>16.52062099306</v>
      </c>
      <c r="N36" t="n">
        <v>17.0409555125264</v>
      </c>
      <c r="O36" t="n">
        <v>16.4050989635516</v>
      </c>
      <c r="P36" t="n">
        <v>16.5266182151334</v>
      </c>
      <c r="Q36" t="n">
        <v>16.0610796738621</v>
      </c>
      <c r="R36" t="n">
        <v>16.0610796738621</v>
      </c>
      <c r="S36" t="n">
        <v>17.590706309468</v>
      </c>
      <c r="T36" t="n">
        <v>19.6286539916624</v>
      </c>
      <c r="U36" t="n">
        <v>16.3572116597187</v>
      </c>
      <c r="V36" t="n">
        <v>15.7115322520982</v>
      </c>
      <c r="W36" t="n">
        <v>9.53527474610099</v>
      </c>
      <c r="X36" t="n">
        <v>16.9639190250401</v>
      </c>
      <c r="Y36" t="n">
        <v>20.1174680745668</v>
      </c>
      <c r="Z36" t="n">
        <v>29.5409136463376</v>
      </c>
      <c r="AA36" t="n">
        <v>37.9073961825381</v>
      </c>
      <c r="AB36" t="n">
        <v>42.7886225402896</v>
      </c>
      <c r="AC36" t="n">
        <v>57.461939142835</v>
      </c>
      <c r="AD36" t="n">
        <v>64.5310704960835</v>
      </c>
      <c r="AE36" t="n">
        <v>114.6</v>
      </c>
      <c r="AF36" t="n">
        <v>40.2</v>
      </c>
    </row>
    <row r="37">
      <c r="A37" t="s">
        <v>65</v>
      </c>
      <c r="B37" t="s">
        <v>344</v>
      </c>
      <c r="C37" t="s">
        <v>246</v>
      </c>
      <c r="D37" t="s">
        <v>345</v>
      </c>
      <c r="E37" t="s">
        <v>247</v>
      </c>
      <c r="F37" t="n">
        <v>721.135978818058</v>
      </c>
      <c r="G37" t="n">
        <v>774.253531882883</v>
      </c>
      <c r="H37" t="n">
        <v>779.788983348223</v>
      </c>
      <c r="I37" t="n">
        <v>797.328224040257</v>
      </c>
      <c r="J37" t="n">
        <v>817.087492419614</v>
      </c>
      <c r="K37" t="n">
        <v>839.479166679964</v>
      </c>
      <c r="L37" t="n">
        <v>888.723882177441</v>
      </c>
      <c r="M37" t="n">
        <v>894.814740340399</v>
      </c>
      <c r="N37" t="n">
        <v>916.933168176808</v>
      </c>
      <c r="O37" t="n">
        <v>888.410906145363</v>
      </c>
      <c r="P37" t="n">
        <v>896.634660043089</v>
      </c>
      <c r="Q37" t="n">
        <v>869.378470167566</v>
      </c>
      <c r="R37" t="n">
        <v>870.05784901896</v>
      </c>
      <c r="S37" t="n">
        <v>947.115404566944</v>
      </c>
      <c r="T37" t="n">
        <v>1268.35418280613</v>
      </c>
      <c r="U37" t="n">
        <v>1041.12246377086</v>
      </c>
      <c r="V37" t="n">
        <v>978.510710179009</v>
      </c>
      <c r="W37" t="n">
        <v>918.147684010195</v>
      </c>
      <c r="X37" t="n">
        <v>683.895950576242</v>
      </c>
      <c r="Y37" t="n">
        <v>722.317071395132</v>
      </c>
      <c r="Z37" t="n">
        <v>776.130167106302</v>
      </c>
      <c r="AA37" t="n">
        <v>528.674341944027</v>
      </c>
      <c r="AB37" t="n">
        <v>482.621485788809</v>
      </c>
      <c r="AC37" t="n">
        <v>394.257059121444</v>
      </c>
      <c r="AD37" t="n">
        <v>380.731599335916</v>
      </c>
      <c r="AE37" t="n">
        <v>360.2</v>
      </c>
      <c r="AF37" t="n">
        <v>322.2</v>
      </c>
    </row>
    <row r="38">
      <c r="A38" t="s">
        <v>65</v>
      </c>
      <c r="B38" t="s">
        <v>346</v>
      </c>
      <c r="C38" t="s">
        <v>246</v>
      </c>
      <c r="D38" t="s">
        <v>347</v>
      </c>
      <c r="E38" t="s">
        <v>247</v>
      </c>
      <c r="F38" t="n">
        <v>217.453567349563</v>
      </c>
      <c r="G38" t="n">
        <v>233.378197281728</v>
      </c>
      <c r="H38" t="n">
        <v>235.081687772835</v>
      </c>
      <c r="I38" t="n">
        <v>240.315154949487</v>
      </c>
      <c r="J38" t="n">
        <v>246.298682258594</v>
      </c>
      <c r="K38" t="n">
        <v>252.974197079832</v>
      </c>
      <c r="L38" t="n">
        <v>267.838988175089</v>
      </c>
      <c r="M38" t="n">
        <v>269.733756156115</v>
      </c>
      <c r="N38" t="n">
        <v>276.408390587926</v>
      </c>
      <c r="O38" t="n">
        <v>267.838579311021</v>
      </c>
      <c r="P38" t="n">
        <v>271.398303783991</v>
      </c>
      <c r="Q38" t="n">
        <v>263.174112760234</v>
      </c>
      <c r="R38" t="n">
        <v>263.400596506155</v>
      </c>
      <c r="S38" t="n">
        <v>286.596558886288</v>
      </c>
      <c r="T38" t="n">
        <v>364.984707234794</v>
      </c>
      <c r="U38" t="n">
        <v>384.938812586772</v>
      </c>
      <c r="V38" t="n">
        <v>362.301693952433</v>
      </c>
      <c r="W38" t="n">
        <v>423.662742238742</v>
      </c>
      <c r="X38" t="n">
        <v>818.742871755464</v>
      </c>
      <c r="Y38" t="n">
        <v>442.235932846094</v>
      </c>
      <c r="Z38" t="n">
        <v>568.754597769428</v>
      </c>
      <c r="AA38" t="n">
        <v>924.033135213666</v>
      </c>
      <c r="AB38" t="n">
        <v>1121.49917185731</v>
      </c>
      <c r="AC38" t="n">
        <v>1249.79063710909</v>
      </c>
      <c r="AD38" t="n">
        <v>1457.66840767275</v>
      </c>
      <c r="AE38" t="n">
        <v>1293.9</v>
      </c>
      <c r="AF38" t="n">
        <v>1218.7</v>
      </c>
    </row>
    <row r="39">
      <c r="A39" t="s">
        <v>65</v>
      </c>
      <c r="B39" t="s">
        <v>348</v>
      </c>
      <c r="C39" t="s">
        <v>246</v>
      </c>
      <c r="D39" t="s">
        <v>349</v>
      </c>
      <c r="E39" t="s">
        <v>247</v>
      </c>
      <c r="F39" t="n">
        <v>488.396516656941</v>
      </c>
      <c r="G39" t="n">
        <v>524.400986933846</v>
      </c>
      <c r="H39" t="n">
        <v>527.952876577125</v>
      </c>
      <c r="I39" t="n">
        <v>539.700889648413</v>
      </c>
      <c r="J39" t="n">
        <v>553.068094345587</v>
      </c>
      <c r="K39" t="n">
        <v>568.237803022907</v>
      </c>
      <c r="L39" t="n">
        <v>601.679614634872</v>
      </c>
      <c r="M39" t="n">
        <v>605.743186998458</v>
      </c>
      <c r="N39" t="n">
        <v>620.673937986095</v>
      </c>
      <c r="O39" t="n">
        <v>601.349862803435</v>
      </c>
      <c r="P39" t="n">
        <v>606.875846839816</v>
      </c>
      <c r="Q39" t="n">
        <v>588.421555157877</v>
      </c>
      <c r="R39" t="n">
        <v>588.874709994348</v>
      </c>
      <c r="S39" t="n">
        <v>641.008929743567</v>
      </c>
      <c r="T39" t="n">
        <v>591.941119677396</v>
      </c>
      <c r="U39" t="n">
        <v>611.789460296442</v>
      </c>
      <c r="V39" t="n">
        <v>223.154922081698</v>
      </c>
      <c r="W39" t="n">
        <v>355.419007286324</v>
      </c>
      <c r="X39" t="n">
        <v>280.077237585344</v>
      </c>
      <c r="Y39" t="n">
        <v>293.929589366999</v>
      </c>
      <c r="Z39" t="n">
        <v>362.172647020104</v>
      </c>
      <c r="AA39" t="n">
        <v>384.924254465085</v>
      </c>
      <c r="AB39" t="n">
        <v>372.888886940031</v>
      </c>
      <c r="AC39" t="n">
        <v>325.624169623739</v>
      </c>
      <c r="AD39" t="n">
        <v>332.891665040016</v>
      </c>
      <c r="AE39" t="n">
        <v>510.6</v>
      </c>
      <c r="AF39" t="n">
        <v>395.6</v>
      </c>
    </row>
    <row r="40">
      <c r="A40" t="s">
        <v>65</v>
      </c>
      <c r="B40" t="s">
        <v>350</v>
      </c>
      <c r="C40" t="s">
        <v>246</v>
      </c>
      <c r="D40" t="s">
        <v>351</v>
      </c>
      <c r="E40" t="s">
        <v>247</v>
      </c>
      <c r="F40" t="n">
        <v>10.3981578805704</v>
      </c>
      <c r="G40" t="n">
        <v>11.2190650816681</v>
      </c>
      <c r="H40" t="n">
        <v>11.3610785637145</v>
      </c>
      <c r="I40" t="n">
        <v>11.6451055278074</v>
      </c>
      <c r="J40" t="n">
        <v>11.9257104802847</v>
      </c>
      <c r="K40" t="n">
        <v>12.3466179090006</v>
      </c>
      <c r="L40" t="n">
        <v>13.0402481286074</v>
      </c>
      <c r="M40" t="n">
        <v>13.1775138983822</v>
      </c>
      <c r="N40" t="n">
        <v>13.5768325013635</v>
      </c>
      <c r="O40" t="n">
        <v>13.1851931022857</v>
      </c>
      <c r="P40" t="n">
        <v>13.3107663699265</v>
      </c>
      <c r="Q40" t="n">
        <v>12.8310991133526</v>
      </c>
      <c r="R40" t="n">
        <v>12.8310991133526</v>
      </c>
      <c r="S40" t="n">
        <v>13.9468468623397</v>
      </c>
      <c r="T40" t="n">
        <v>5.05161382415455</v>
      </c>
      <c r="U40" t="n">
        <v>10.1032276483091</v>
      </c>
      <c r="V40" t="n">
        <v>6.5890615097668</v>
      </c>
      <c r="W40" t="n">
        <v>10.1032276483091</v>
      </c>
      <c r="X40" t="n">
        <v>0.777171357562238</v>
      </c>
      <c r="Y40" t="n">
        <v>5.10712606398042</v>
      </c>
      <c r="Z40" t="n">
        <v>3.04254318705217</v>
      </c>
      <c r="AA40" t="n">
        <v>19.724073074683</v>
      </c>
      <c r="AB40" t="n">
        <v>4.85191102371882</v>
      </c>
      <c r="AC40" t="n">
        <v>10.6329113924051</v>
      </c>
      <c r="AD40" t="n">
        <v>8</v>
      </c>
      <c r="AE40" t="n">
        <v>8.6</v>
      </c>
      <c r="AF40" t="n">
        <v>19.2</v>
      </c>
    </row>
    <row r="41">
      <c r="A41" t="s">
        <v>65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65</v>
      </c>
      <c r="B42" t="s">
        <v>354</v>
      </c>
      <c r="C42" t="s">
        <v>246</v>
      </c>
      <c r="D42" t="s">
        <v>355</v>
      </c>
      <c r="E42" t="s">
        <v>247</v>
      </c>
      <c r="F42" t="n">
        <v>5078.40377518744</v>
      </c>
      <c r="G42" t="n">
        <v>5275.07398115516</v>
      </c>
      <c r="H42" t="n">
        <v>5519.18780696697</v>
      </c>
      <c r="I42" t="n">
        <v>5808.98620273839</v>
      </c>
      <c r="J42" t="n">
        <v>6113.96772220067</v>
      </c>
      <c r="K42" t="n">
        <v>6676.51230472854</v>
      </c>
      <c r="L42" t="n">
        <v>7183.74983639284</v>
      </c>
      <c r="M42" t="n">
        <v>7458.62095200858</v>
      </c>
      <c r="N42" t="n">
        <v>7196.127139213</v>
      </c>
      <c r="O42" t="n">
        <v>6927.8459805775</v>
      </c>
      <c r="P42" t="n">
        <v>7157.80017923103</v>
      </c>
      <c r="Q42" t="n">
        <v>7243.47378003653</v>
      </c>
      <c r="R42" t="n">
        <v>7386.86853235512</v>
      </c>
      <c r="S42" t="n">
        <v>7368.83461489492</v>
      </c>
      <c r="T42" t="n">
        <v>7556.34966355455</v>
      </c>
      <c r="U42" t="n">
        <v>7562.70930427322</v>
      </c>
      <c r="V42" t="n">
        <v>7445.64016828427</v>
      </c>
      <c r="W42" t="n">
        <v>7474.63561656367</v>
      </c>
      <c r="X42" t="n">
        <v>7462.27902336728</v>
      </c>
      <c r="Y42" t="n">
        <v>6918.37103512742</v>
      </c>
      <c r="Z42" t="n">
        <v>7059.94493614772</v>
      </c>
      <c r="AA42" t="n">
        <v>7081.87662636443</v>
      </c>
      <c r="AB42" t="n">
        <v>6896.35245992331</v>
      </c>
      <c r="AC42" t="n">
        <v>7350.94094864229</v>
      </c>
      <c r="AD42" t="n">
        <v>7510.13831572198</v>
      </c>
      <c r="AE42" t="n">
        <v>7461.1</v>
      </c>
      <c r="AF42" t="n">
        <v>7630.8</v>
      </c>
    </row>
    <row r="43">
      <c r="A43" t="s">
        <v>65</v>
      </c>
      <c r="B43" t="s">
        <v>356</v>
      </c>
      <c r="C43" t="s">
        <v>246</v>
      </c>
      <c r="D43" t="s">
        <v>357</v>
      </c>
      <c r="E43" t="s">
        <v>247</v>
      </c>
      <c r="F43" t="n">
        <v>5094.820535686</v>
      </c>
      <c r="G43" t="n">
        <v>5292.724312054</v>
      </c>
      <c r="H43" t="n">
        <v>5536.98204794702</v>
      </c>
      <c r="I43" t="n">
        <v>5827.06160834291</v>
      </c>
      <c r="J43" t="n">
        <v>6132.45236315514</v>
      </c>
      <c r="K43" t="n">
        <v>6695.53880022125</v>
      </c>
      <c r="L43" t="n">
        <v>7203.9985489143</v>
      </c>
      <c r="M43" t="n">
        <v>7480.22133366329</v>
      </c>
      <c r="N43" t="n">
        <v>7219.43408727903</v>
      </c>
      <c r="O43" t="n">
        <v>6956.65799585285</v>
      </c>
      <c r="P43" t="n">
        <v>7227.61689666726</v>
      </c>
      <c r="Q43" t="n">
        <v>7310.82263264841</v>
      </c>
      <c r="R43" t="n">
        <v>7453.98998318395</v>
      </c>
      <c r="S43" t="n">
        <v>7436.83566758226</v>
      </c>
      <c r="T43" t="n">
        <v>7603.00206016642</v>
      </c>
      <c r="U43" t="n">
        <v>7596.9713254672</v>
      </c>
      <c r="V43" t="n">
        <v>7482.27239835614</v>
      </c>
      <c r="W43" t="n">
        <v>7509.20462603423</v>
      </c>
      <c r="X43" t="n">
        <v>7498.61320861068</v>
      </c>
      <c r="Y43" t="n">
        <v>6976.67777008344</v>
      </c>
      <c r="Z43" t="n">
        <v>7155.12128056224</v>
      </c>
      <c r="AA43" t="n">
        <v>7222.46117576281</v>
      </c>
      <c r="AB43" t="n">
        <v>7048.35095907584</v>
      </c>
      <c r="AC43" t="n">
        <v>7538.93497240595</v>
      </c>
      <c r="AD43" t="n">
        <v>7718.72665941526</v>
      </c>
      <c r="AE43" t="n">
        <v>7605.6</v>
      </c>
      <c r="AF43" t="n">
        <v>7770.9</v>
      </c>
    </row>
    <row r="44">
      <c r="A44" t="s">
        <v>65</v>
      </c>
      <c r="B44" t="s">
        <v>358</v>
      </c>
      <c r="C44" t="s">
        <v>246</v>
      </c>
      <c r="D44" t="s">
        <v>359</v>
      </c>
      <c r="E44" t="s">
        <v>247</v>
      </c>
      <c r="F44" t="n">
        <v>13962.5700214301</v>
      </c>
      <c r="G44" t="n">
        <v>14814.0467312392</v>
      </c>
      <c r="H44" t="n">
        <v>15125.178491749</v>
      </c>
      <c r="I44" t="n">
        <v>15629.1860298716</v>
      </c>
      <c r="J44" t="n">
        <v>16186.0688627642</v>
      </c>
      <c r="K44" t="n">
        <v>17031.4135400449</v>
      </c>
      <c r="L44" t="n">
        <v>18143.4986921998</v>
      </c>
      <c r="M44" t="n">
        <v>18494.3050435411</v>
      </c>
      <c r="N44" t="n">
        <v>18503.8615384954</v>
      </c>
      <c r="O44" t="n">
        <v>17894.9293952801</v>
      </c>
      <c r="P44" t="n">
        <v>18276.8663145221</v>
      </c>
      <c r="Q44" t="n">
        <v>18044.533268151</v>
      </c>
      <c r="R44" t="n">
        <v>18198.1191872267</v>
      </c>
      <c r="S44" t="n">
        <v>19128.0769133322</v>
      </c>
      <c r="T44" t="n">
        <v>20154.068084519</v>
      </c>
      <c r="U44" t="n">
        <v>20460.097289354</v>
      </c>
      <c r="V44" t="n">
        <v>20726.2552381488</v>
      </c>
      <c r="W44" t="n">
        <v>20061.628476657</v>
      </c>
      <c r="X44" t="n">
        <v>19958.1395388835</v>
      </c>
      <c r="Y44" t="n">
        <v>19030.9567728145</v>
      </c>
      <c r="Z44" t="n">
        <v>21100.129844862</v>
      </c>
      <c r="AA44" t="n">
        <v>23181.37423085</v>
      </c>
      <c r="AB44" t="n">
        <v>23585.3126313938</v>
      </c>
      <c r="AC44" t="n">
        <v>24374.7165194461</v>
      </c>
      <c r="AD44" t="n">
        <v>25406.3261002433</v>
      </c>
      <c r="AE44" t="n">
        <v>24624.8</v>
      </c>
      <c r="AF44" t="n">
        <v>24343.7</v>
      </c>
    </row>
    <row r="45">
      <c r="A45" t="s">
        <v>65</v>
      </c>
      <c r="B45" t="s">
        <v>360</v>
      </c>
      <c r="C45" t="s">
        <v>246</v>
      </c>
      <c r="D45" t="s">
        <v>361</v>
      </c>
      <c r="E45" t="s">
        <v>247</v>
      </c>
      <c r="F45" t="n">
        <v>13960.913750249</v>
      </c>
      <c r="G45" t="n">
        <v>14812.2777467645</v>
      </c>
      <c r="H45" t="n">
        <v>15123.4170919907</v>
      </c>
      <c r="I45" t="n">
        <v>15627.4413781617</v>
      </c>
      <c r="J45" t="n">
        <v>16184.2022089208</v>
      </c>
      <c r="K45" t="n">
        <v>17029.5729265959</v>
      </c>
      <c r="L45" t="n">
        <v>18141.5529086377</v>
      </c>
      <c r="M45" t="n">
        <v>18492.2333629606</v>
      </c>
      <c r="N45" t="n">
        <v>18501.6591588768</v>
      </c>
      <c r="O45" t="n">
        <v>17892.7152934308</v>
      </c>
      <c r="P45" t="n">
        <v>18274.5345919252</v>
      </c>
      <c r="Q45" t="n">
        <v>18042.1998145368</v>
      </c>
      <c r="R45" t="n">
        <v>18195.7870816218</v>
      </c>
      <c r="S45" t="n">
        <v>19125.5293311707</v>
      </c>
      <c r="T45" t="n">
        <v>20150.2344935118</v>
      </c>
      <c r="U45" t="n">
        <v>20451.9891070295</v>
      </c>
      <c r="V45" t="n">
        <v>20717.8247558925</v>
      </c>
      <c r="W45" t="n">
        <v>20053.631100569</v>
      </c>
      <c r="X45" t="n">
        <v>19949.4798923398</v>
      </c>
      <c r="Y45" t="n">
        <v>19018.6160380303</v>
      </c>
      <c r="Z45" t="n">
        <v>21086.8393111431</v>
      </c>
      <c r="AA45" t="n">
        <v>23161.1842158638</v>
      </c>
      <c r="AB45" t="n">
        <v>23574.2542835257</v>
      </c>
      <c r="AC45" t="n">
        <v>24362.0179832667</v>
      </c>
      <c r="AD45" t="n">
        <v>25380.1011292107</v>
      </c>
      <c r="AE45" t="n">
        <v>24591.1</v>
      </c>
      <c r="AF45" t="n">
        <v>24305.4</v>
      </c>
    </row>
    <row r="46">
      <c r="A46" t="s">
        <v>65</v>
      </c>
      <c r="B46" t="s">
        <v>362</v>
      </c>
      <c r="C46" t="s">
        <v>246</v>
      </c>
      <c r="D46" t="s">
        <v>363</v>
      </c>
      <c r="E46" t="s">
        <v>247</v>
      </c>
      <c r="F46" t="n">
        <v>16.4363277342142</v>
      </c>
      <c r="G46" t="n">
        <v>17.6690523142802</v>
      </c>
      <c r="H46" t="n">
        <v>17.8115446716535</v>
      </c>
      <c r="I46" t="n">
        <v>18.0942676029495</v>
      </c>
      <c r="J46" t="n">
        <v>18.5086401434751</v>
      </c>
      <c r="K46" t="n">
        <v>19.0611368641759</v>
      </c>
      <c r="L46" t="n">
        <v>20.2864956625872</v>
      </c>
      <c r="M46" t="n">
        <v>21.6389287067596</v>
      </c>
      <c r="N46" t="n">
        <v>23.3335436054818</v>
      </c>
      <c r="O46" t="n">
        <v>28.8162888242562</v>
      </c>
      <c r="P46" t="n">
        <v>69.7722057063905</v>
      </c>
      <c r="Q46" t="n">
        <v>67.3055115652555</v>
      </c>
      <c r="R46" t="n">
        <v>67.0792745515908</v>
      </c>
      <c r="S46" t="n">
        <v>67.9590027424313</v>
      </c>
      <c r="T46" t="n">
        <v>46.6004590233815</v>
      </c>
      <c r="U46" t="n">
        <v>34.2102193301059</v>
      </c>
      <c r="V46" t="n">
        <v>36.5844301353499</v>
      </c>
      <c r="W46" t="n">
        <v>34.5218064778672</v>
      </c>
      <c r="X46" t="n">
        <v>36.2864994607614</v>
      </c>
      <c r="Y46" t="n">
        <v>58.2750349548945</v>
      </c>
      <c r="Z46" t="n">
        <v>95.1579684706504</v>
      </c>
      <c r="AA46" t="n">
        <v>140.57427160437</v>
      </c>
      <c r="AB46" t="n">
        <v>151.986205092548</v>
      </c>
      <c r="AC46" t="n">
        <v>187.982937877625</v>
      </c>
      <c r="AD46" t="n">
        <v>208.578275862069</v>
      </c>
      <c r="AE46" t="n">
        <v>144.5</v>
      </c>
      <c r="AF46" t="n">
        <v>140.1</v>
      </c>
    </row>
    <row r="47">
      <c r="A47" t="s">
        <v>65</v>
      </c>
      <c r="B47" t="s">
        <v>364</v>
      </c>
      <c r="C47" t="s">
        <v>246</v>
      </c>
      <c r="D47" t="s">
        <v>365</v>
      </c>
      <c r="E47" t="s">
        <v>247</v>
      </c>
      <c r="F47" t="n">
        <v>314.443005988288</v>
      </c>
      <c r="G47" t="n">
        <v>265.56016313596</v>
      </c>
      <c r="H47" t="n">
        <v>275.926950253032</v>
      </c>
      <c r="I47" t="n">
        <v>268.710399246415</v>
      </c>
      <c r="J47" t="n">
        <v>265.786607337516</v>
      </c>
      <c r="K47" t="n">
        <v>282.485242353485</v>
      </c>
      <c r="L47" t="n">
        <v>384.562035242571</v>
      </c>
      <c r="M47" t="n">
        <v>377.11453103893</v>
      </c>
      <c r="N47" t="n">
        <v>362.187080851972</v>
      </c>
      <c r="O47" t="n">
        <v>362.315062152626</v>
      </c>
      <c r="P47" t="n">
        <v>362.069424822353</v>
      </c>
      <c r="Q47" t="n">
        <v>308.111676123178</v>
      </c>
      <c r="R47" t="n">
        <v>295.877830159464</v>
      </c>
      <c r="S47" t="n">
        <v>292.248102131485</v>
      </c>
      <c r="T47" t="n">
        <v>293.865711552877</v>
      </c>
      <c r="U47" t="n">
        <v>330.92787965171</v>
      </c>
      <c r="V47" t="n">
        <v>351.839934587355</v>
      </c>
      <c r="W47" t="n">
        <v>234.994326681184</v>
      </c>
      <c r="X47" t="n">
        <v>266.326903572009</v>
      </c>
      <c r="Y47" t="n">
        <v>265.460799820555</v>
      </c>
      <c r="Z47" t="n">
        <v>264.618067122712</v>
      </c>
      <c r="AA47" t="n">
        <v>306.112651189036</v>
      </c>
      <c r="AB47" t="n">
        <v>316.904419230955</v>
      </c>
      <c r="AC47" t="n">
        <v>336.18533535245</v>
      </c>
      <c r="AD47" t="n">
        <v>369.803868887695</v>
      </c>
      <c r="AE47" t="n">
        <v>371</v>
      </c>
      <c r="AF47" t="n">
        <v>390.4</v>
      </c>
    </row>
    <row r="48">
      <c r="A48" t="s">
        <v>65</v>
      </c>
      <c r="B48" t="s">
        <v>366</v>
      </c>
      <c r="C48" t="s">
        <v>246</v>
      </c>
      <c r="D48" t="s">
        <v>367</v>
      </c>
      <c r="E48" t="s">
        <v>247</v>
      </c>
      <c r="F48" t="n">
        <v>912.669507584548</v>
      </c>
      <c r="G48" t="n">
        <v>908.411115842356</v>
      </c>
      <c r="H48" t="n">
        <v>940.514464111375</v>
      </c>
      <c r="I48" t="n">
        <v>947.732859546993</v>
      </c>
      <c r="J48" t="n">
        <v>959.706566895464</v>
      </c>
      <c r="K48" t="n">
        <v>1002.57049128697</v>
      </c>
      <c r="L48" t="n">
        <v>1150.10366595089</v>
      </c>
      <c r="M48" t="n">
        <v>1158.22873600353</v>
      </c>
      <c r="N48" t="n">
        <v>1254.5950427748</v>
      </c>
      <c r="O48" t="n">
        <v>1305.00402165031</v>
      </c>
      <c r="P48" t="n">
        <v>1297.51458282063</v>
      </c>
      <c r="Q48" t="n">
        <v>1229.82430116999</v>
      </c>
      <c r="R48" t="n">
        <v>1364.26908340325</v>
      </c>
      <c r="S48" t="n">
        <v>1424.3118787876</v>
      </c>
      <c r="T48" t="n">
        <v>1398.32314750445</v>
      </c>
      <c r="U48" t="n">
        <v>1485.71834422348</v>
      </c>
      <c r="V48" t="n">
        <v>1335.01204287212</v>
      </c>
      <c r="W48" t="n">
        <v>1151.04471181987</v>
      </c>
      <c r="X48" t="n">
        <v>1184.03257425964</v>
      </c>
      <c r="Y48" t="n">
        <v>1154.0447327062</v>
      </c>
      <c r="Z48" t="n">
        <v>1232.93306936742</v>
      </c>
      <c r="AA48" t="n">
        <v>1172.49618321137</v>
      </c>
      <c r="AB48" t="n">
        <v>1163.15854437507</v>
      </c>
      <c r="AC48" t="n">
        <v>1128.49861419798</v>
      </c>
      <c r="AD48" t="n">
        <v>1185.73617697195</v>
      </c>
      <c r="AE48" t="n">
        <v>1286.3</v>
      </c>
      <c r="AF48" t="n">
        <v>1226.5</v>
      </c>
    </row>
    <row r="49">
      <c r="A49" t="s">
        <v>65</v>
      </c>
      <c r="B49" t="s">
        <v>368</v>
      </c>
      <c r="C49" t="s">
        <v>246</v>
      </c>
      <c r="D49" t="s">
        <v>369</v>
      </c>
      <c r="E49" t="s">
        <v>247</v>
      </c>
      <c r="F49" t="n">
        <v>12.5458911621184</v>
      </c>
      <c r="G49" t="n">
        <v>13.7866935847454</v>
      </c>
      <c r="H49" t="n">
        <v>16.06078737192</v>
      </c>
      <c r="I49" t="n">
        <v>16.9060919704421</v>
      </c>
      <c r="J49" t="n">
        <v>17.8761136408773</v>
      </c>
      <c r="K49" t="n">
        <v>18.7075607869646</v>
      </c>
      <c r="L49" t="n">
        <v>21.4188014807275</v>
      </c>
      <c r="M49" t="n">
        <v>21.8229298105526</v>
      </c>
      <c r="N49" t="n">
        <v>23.9013040782243</v>
      </c>
      <c r="O49" t="n">
        <v>23.3927656935812</v>
      </c>
      <c r="P49" t="n">
        <v>23.1490910509397</v>
      </c>
      <c r="Q49" t="n">
        <v>21.2784574306618</v>
      </c>
      <c r="R49" t="n">
        <v>22.1791328774623</v>
      </c>
      <c r="S49" t="n">
        <v>36.2332368790225</v>
      </c>
      <c r="T49" t="n">
        <v>37.2037700097106</v>
      </c>
      <c r="U49" t="n">
        <v>39.947410865884</v>
      </c>
      <c r="V49" t="n">
        <v>38.7597851374388</v>
      </c>
      <c r="W49" t="n">
        <v>33.2071192890978</v>
      </c>
      <c r="X49" t="n">
        <v>12.4664600653424</v>
      </c>
      <c r="Y49" t="n">
        <v>7.69668404034181</v>
      </c>
      <c r="Z49" t="n">
        <v>16.7640104440322</v>
      </c>
      <c r="AA49" t="n">
        <v>22.42057838527</v>
      </c>
      <c r="AB49" t="n">
        <v>69.7529105319511</v>
      </c>
      <c r="AC49" t="n">
        <v>33.4403659314942</v>
      </c>
      <c r="AD49" t="n">
        <v>41.7246861924686</v>
      </c>
      <c r="AE49" t="n">
        <v>23.8</v>
      </c>
      <c r="AF49" t="n">
        <v>27.5</v>
      </c>
    </row>
    <row r="50">
      <c r="A50" t="s">
        <v>65</v>
      </c>
      <c r="B50" t="s">
        <v>370</v>
      </c>
      <c r="C50" t="s">
        <v>246</v>
      </c>
      <c r="D50" t="s">
        <v>371</v>
      </c>
      <c r="E50" t="s">
        <v>247</v>
      </c>
      <c r="F50" t="n">
        <v>585.733119228701</v>
      </c>
      <c r="G50" t="n">
        <v>629.003741310559</v>
      </c>
      <c r="H50" t="n">
        <v>648.318374143758</v>
      </c>
      <c r="I50" t="n">
        <v>662.046137141344</v>
      </c>
      <c r="J50" t="n">
        <v>676.10852617421</v>
      </c>
      <c r="K50" t="n">
        <v>701.299066157234</v>
      </c>
      <c r="L50" t="n">
        <v>743.884762661916</v>
      </c>
      <c r="M50" t="n">
        <v>759.187689692828</v>
      </c>
      <c r="N50" t="n">
        <v>868.391300110871</v>
      </c>
      <c r="O50" t="n">
        <v>919.315086385238</v>
      </c>
      <c r="P50" t="n">
        <v>912.194323162703</v>
      </c>
      <c r="Q50" t="n">
        <v>900.324750032139</v>
      </c>
      <c r="R50" t="n">
        <v>1046.20703434984</v>
      </c>
      <c r="S50" t="n">
        <v>1095.80125050411</v>
      </c>
      <c r="T50" t="n">
        <v>1067.22544540831</v>
      </c>
      <c r="U50" t="n">
        <v>1114.92328458971</v>
      </c>
      <c r="V50" t="n">
        <v>944.482971987089</v>
      </c>
      <c r="W50" t="n">
        <v>883.009034297957</v>
      </c>
      <c r="X50" t="n">
        <v>905.409788354754</v>
      </c>
      <c r="Y50" t="n">
        <v>881.155806939845</v>
      </c>
      <c r="Z50" t="n">
        <v>951.74098037955</v>
      </c>
      <c r="AA50" t="n">
        <v>844.138543454674</v>
      </c>
      <c r="AB50" t="n">
        <v>776.690472988105</v>
      </c>
      <c r="AC50" t="n">
        <v>758.949853523233</v>
      </c>
      <c r="AD50" t="n">
        <v>774.294410285075</v>
      </c>
      <c r="AE50" t="n">
        <v>891.5</v>
      </c>
      <c r="AF50" t="n">
        <v>808.6</v>
      </c>
    </row>
    <row r="51">
      <c r="A51" t="s">
        <v>65</v>
      </c>
      <c r="B51" t="s">
        <v>372</v>
      </c>
      <c r="C51" t="s">
        <v>246</v>
      </c>
      <c r="D51" t="s">
        <v>373</v>
      </c>
      <c r="E51" t="s">
        <v>247</v>
      </c>
      <c r="F51" t="n">
        <v>585.470950894675</v>
      </c>
      <c r="G51" t="n">
        <v>628.742501699889</v>
      </c>
      <c r="H51" t="n">
        <v>648.057834934853</v>
      </c>
      <c r="I51" t="n">
        <v>661.786074722728</v>
      </c>
      <c r="J51" t="n">
        <v>675.848854766279</v>
      </c>
      <c r="K51" t="n">
        <v>701.04009090975</v>
      </c>
      <c r="L51" t="n">
        <v>743.626638488379</v>
      </c>
      <c r="M51" t="n">
        <v>758.929827370038</v>
      </c>
      <c r="N51" t="n">
        <v>868.134015780426</v>
      </c>
      <c r="O51" t="n">
        <v>919.057720759145</v>
      </c>
      <c r="P51" t="n">
        <v>911.936097806035</v>
      </c>
      <c r="Q51" t="n">
        <v>900.065296687539</v>
      </c>
      <c r="R51" t="n">
        <v>1045.96060277029</v>
      </c>
      <c r="S51" t="n">
        <v>1095.55877665836</v>
      </c>
      <c r="T51" t="n">
        <v>1066.76517557875</v>
      </c>
      <c r="U51" t="n">
        <v>1114.46694895218</v>
      </c>
      <c r="V51" t="n">
        <v>944.1218024547</v>
      </c>
      <c r="W51" t="n">
        <v>881.231038117231</v>
      </c>
      <c r="X51" t="n">
        <v>904.955640320488</v>
      </c>
      <c r="Y51" t="n">
        <v>880.810497009712</v>
      </c>
      <c r="Z51" t="n">
        <v>949.602418376455</v>
      </c>
      <c r="AA51" t="n">
        <v>841.276486460164</v>
      </c>
      <c r="AB51" t="n">
        <v>767.806182720952</v>
      </c>
      <c r="AC51" t="n">
        <v>737.963575645782</v>
      </c>
      <c r="AD51" t="n">
        <v>737.357859988617</v>
      </c>
      <c r="AE51" t="n">
        <v>875.6</v>
      </c>
      <c r="AF51" t="n">
        <v>797.3</v>
      </c>
    </row>
    <row r="52">
      <c r="A52" t="s">
        <v>65</v>
      </c>
      <c r="B52" t="s">
        <v>374</v>
      </c>
      <c r="C52" t="s">
        <v>246</v>
      </c>
      <c r="D52" t="s">
        <v>375</v>
      </c>
      <c r="E52" t="s">
        <v>247</v>
      </c>
      <c r="F52" t="n">
        <v>0.306536261336779</v>
      </c>
      <c r="G52" t="n">
        <v>0.306536261336779</v>
      </c>
      <c r="H52" t="n">
        <v>0.306536261336779</v>
      </c>
      <c r="I52" t="n">
        <v>0.306536261336779</v>
      </c>
      <c r="J52" t="n">
        <v>0.306536261336779</v>
      </c>
      <c r="K52" t="n">
        <v>0.306536261336779</v>
      </c>
      <c r="L52" t="n">
        <v>0.306536261336779</v>
      </c>
      <c r="M52" t="n">
        <v>0.306536261336779</v>
      </c>
      <c r="N52" t="n">
        <v>0.306536261336779</v>
      </c>
      <c r="O52" t="n">
        <v>0.306536261336779</v>
      </c>
      <c r="P52" t="n">
        <v>0.306536261336779</v>
      </c>
      <c r="Q52" t="n">
        <v>0.306536261336779</v>
      </c>
      <c r="R52" t="n">
        <v>0.306536261336779</v>
      </c>
      <c r="S52" t="n">
        <v>0.306536261336779</v>
      </c>
      <c r="T52" t="n">
        <v>0.510893768894631</v>
      </c>
      <c r="U52" t="n">
        <v>0.510893768894631</v>
      </c>
      <c r="V52" t="n">
        <v>0.408715015115705</v>
      </c>
      <c r="W52" t="n">
        <v>1.73703881424175</v>
      </c>
      <c r="X52" t="n">
        <v>0.434259703560436</v>
      </c>
      <c r="Y52" t="n">
        <v>0.325694777670327</v>
      </c>
      <c r="Z52" t="n">
        <v>2.17129851780218</v>
      </c>
      <c r="AA52" t="n">
        <v>2.89506469040291</v>
      </c>
      <c r="AB52" t="n">
        <v>8.8919844062375</v>
      </c>
      <c r="AC52" t="n">
        <v>20.9523770491803</v>
      </c>
      <c r="AD52" t="n">
        <v>36.868125</v>
      </c>
      <c r="AE52" t="n">
        <v>15.9</v>
      </c>
      <c r="AF52" t="n">
        <v>11.3</v>
      </c>
    </row>
    <row r="53">
      <c r="A53" t="s">
        <v>65</v>
      </c>
      <c r="B53" t="s">
        <v>376</v>
      </c>
      <c r="C53" t="s">
        <v>246</v>
      </c>
      <c r="D53" t="s">
        <v>377</v>
      </c>
      <c r="E53" t="s">
        <v>247</v>
      </c>
      <c r="F53" t="n">
        <v>11.2792034945969</v>
      </c>
      <c r="G53" t="n">
        <v>13.3424724265354</v>
      </c>
      <c r="H53" t="n">
        <v>13.6263548185893</v>
      </c>
      <c r="I53" t="n">
        <v>13.7682960146163</v>
      </c>
      <c r="J53" t="n">
        <v>22.3908652358912</v>
      </c>
      <c r="K53" t="n">
        <v>29.2054763946406</v>
      </c>
      <c r="L53" t="n">
        <v>30.7066924710007</v>
      </c>
      <c r="M53" t="n">
        <v>31.3830513360007</v>
      </c>
      <c r="N53" t="n">
        <v>32.2983903333007</v>
      </c>
      <c r="O53" t="n">
        <v>33.5750065520082</v>
      </c>
      <c r="P53" t="n">
        <v>43.745537733821</v>
      </c>
      <c r="Q53" t="n">
        <v>55.4735639359177</v>
      </c>
      <c r="R53" t="n">
        <v>57.6245796803717</v>
      </c>
      <c r="S53" t="n">
        <v>60.0393239717396</v>
      </c>
      <c r="T53" t="n">
        <v>66.7103599685996</v>
      </c>
      <c r="U53" t="n">
        <v>62.219186308973</v>
      </c>
      <c r="V53" t="n">
        <v>58.9898167773654</v>
      </c>
      <c r="W53" t="n">
        <v>55.6282647183611</v>
      </c>
      <c r="X53" t="n">
        <v>74.3546112572154</v>
      </c>
      <c r="Y53" t="n">
        <v>39.7710711375803</v>
      </c>
      <c r="Z53" t="n">
        <v>57.3418882803737</v>
      </c>
      <c r="AA53" t="n">
        <v>65.4747593291162</v>
      </c>
      <c r="AB53" t="n">
        <v>70.5591701169556</v>
      </c>
      <c r="AC53" t="n">
        <v>45.5352783894307</v>
      </c>
      <c r="AD53" t="n">
        <v>58.3578512396694</v>
      </c>
      <c r="AE53" t="n">
        <v>48.2</v>
      </c>
      <c r="AF53" t="n">
        <v>36.1</v>
      </c>
    </row>
    <row r="54">
      <c r="A54" t="s">
        <v>65</v>
      </c>
      <c r="B54" t="s">
        <v>378</v>
      </c>
      <c r="C54" t="s">
        <v>246</v>
      </c>
      <c r="D54" t="s">
        <v>379</v>
      </c>
      <c r="E54" t="s">
        <v>247</v>
      </c>
      <c r="F54" t="n">
        <v>18.6136916465349</v>
      </c>
      <c r="G54" t="n">
        <v>21.2141338618596</v>
      </c>
      <c r="H54" t="n">
        <v>21.6384165390968</v>
      </c>
      <c r="I54" t="n">
        <v>22.062699216334</v>
      </c>
      <c r="J54" t="n">
        <v>30.8045234341267</v>
      </c>
      <c r="K54" t="n">
        <v>37.8812382771018</v>
      </c>
      <c r="L54" t="n">
        <v>39.9178639909244</v>
      </c>
      <c r="M54" t="n">
        <v>40.7270098826324</v>
      </c>
      <c r="N54" t="n">
        <v>41.9018274754006</v>
      </c>
      <c r="O54" t="n">
        <v>42.9207168972948</v>
      </c>
      <c r="P54" t="n">
        <v>53.0700602091908</v>
      </c>
      <c r="Q54" t="n">
        <v>69.0027935170273</v>
      </c>
      <c r="R54" t="n">
        <v>71.1520608560823</v>
      </c>
      <c r="S54" t="n">
        <v>74.9951505628151</v>
      </c>
      <c r="T54" t="n">
        <v>80.6977947232587</v>
      </c>
      <c r="U54" t="n">
        <v>82.3424508657164</v>
      </c>
      <c r="V54" t="n">
        <v>84.4980124067038</v>
      </c>
      <c r="W54" t="n">
        <v>91.2231430475454</v>
      </c>
      <c r="X54" t="n">
        <v>103.687732121757</v>
      </c>
      <c r="Y54" t="n">
        <v>79.1187183517788</v>
      </c>
      <c r="Z54" t="n">
        <v>91.971559415583</v>
      </c>
      <c r="AA54" t="n">
        <v>100.313884513749</v>
      </c>
      <c r="AB54" t="n">
        <v>107.160540540541</v>
      </c>
      <c r="AC54" t="n">
        <v>76.9094788568473</v>
      </c>
      <c r="AD54" t="n">
        <v>88.8193456614509</v>
      </c>
      <c r="AE54" t="n">
        <v>70</v>
      </c>
      <c r="AF54" t="n">
        <v>64.2</v>
      </c>
    </row>
    <row r="55">
      <c r="A55" t="s">
        <v>65</v>
      </c>
      <c r="B55" t="s">
        <v>380</v>
      </c>
      <c r="C55" t="s">
        <v>246</v>
      </c>
      <c r="D55" t="s">
        <v>381</v>
      </c>
      <c r="E55" t="s">
        <v>247</v>
      </c>
      <c r="F55" t="n">
        <v>7.26358466860828</v>
      </c>
      <c r="G55" t="n">
        <v>7.80162797739408</v>
      </c>
      <c r="H55" t="n">
        <v>7.94094276270469</v>
      </c>
      <c r="I55" t="n">
        <v>8.2195723333259</v>
      </c>
      <c r="J55" t="n">
        <v>8.356565205548</v>
      </c>
      <c r="K55" t="n">
        <v>8.6305509499922</v>
      </c>
      <c r="L55" t="n">
        <v>9.16166177768403</v>
      </c>
      <c r="M55" t="n">
        <v>9.29443948460698</v>
      </c>
      <c r="N55" t="n">
        <v>9.5526183591794</v>
      </c>
      <c r="O55" t="n">
        <v>9.30123366551678</v>
      </c>
      <c r="P55" t="n">
        <v>9.30123366551678</v>
      </c>
      <c r="Q55" t="n">
        <v>13.4867888149993</v>
      </c>
      <c r="R55" t="n">
        <v>13.4867888149993</v>
      </c>
      <c r="S55" t="n">
        <v>14.9122217791863</v>
      </c>
      <c r="T55" t="n">
        <v>13.9466822395267</v>
      </c>
      <c r="U55" t="n">
        <v>20.0964003923889</v>
      </c>
      <c r="V55" t="n">
        <v>25.4986585623859</v>
      </c>
      <c r="W55" t="n">
        <v>35.5896170572876</v>
      </c>
      <c r="X55" t="n">
        <v>29.2895916775814</v>
      </c>
      <c r="Y55" t="n">
        <v>39.3782288109705</v>
      </c>
      <c r="Z55" t="n">
        <v>34.6275041554915</v>
      </c>
      <c r="AA55" t="n">
        <v>34.8336202516551</v>
      </c>
      <c r="AB55" t="n">
        <v>36.5960355620067</v>
      </c>
      <c r="AC55" t="n">
        <v>31.36803048172</v>
      </c>
      <c r="AD55" t="n">
        <v>30.4602739726027</v>
      </c>
      <c r="AE55" t="n">
        <v>21.8</v>
      </c>
      <c r="AF55" t="n">
        <v>28.1</v>
      </c>
    </row>
    <row r="56">
      <c r="A56" t="s">
        <v>65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65</v>
      </c>
      <c r="B57" t="s">
        <v>384</v>
      </c>
      <c r="C57" t="s">
        <v>246</v>
      </c>
      <c r="D57" t="s">
        <v>385</v>
      </c>
      <c r="E57" t="s">
        <v>247</v>
      </c>
      <c r="F57" t="n">
        <v>14885.6499521955</v>
      </c>
      <c r="G57" t="n">
        <v>15733.5588987201</v>
      </c>
      <c r="H57" t="n">
        <v>16076.7843929455</v>
      </c>
      <c r="I57" t="n">
        <v>16588.4342113304</v>
      </c>
      <c r="J57" t="n">
        <v>17157.7134186164</v>
      </c>
      <c r="K57" t="n">
        <v>18046.2008448559</v>
      </c>
      <c r="L57" t="n">
        <v>19306.3551333093</v>
      </c>
      <c r="M57" t="n">
        <v>19665.5601389805</v>
      </c>
      <c r="N57" t="n">
        <v>19771.8611716917</v>
      </c>
      <c r="O57" t="n">
        <v>19213.0658742989</v>
      </c>
      <c r="P57" t="n">
        <v>19587.5177795778</v>
      </c>
      <c r="Q57" t="n">
        <v>19287.0211066371</v>
      </c>
      <c r="R57" t="n">
        <v>19575.1660282986</v>
      </c>
      <c r="S57" t="n">
        <v>20566.2733086983</v>
      </c>
      <c r="T57" t="n">
        <v>21557.5580205752</v>
      </c>
      <c r="U57" t="n">
        <v>21956.0268427537</v>
      </c>
      <c r="V57" t="n">
        <v>22068.0325376716</v>
      </c>
      <c r="W57" t="n">
        <v>21223.008787158</v>
      </c>
      <c r="X57" t="n">
        <v>21143.2396309331</v>
      </c>
      <c r="Y57" t="n">
        <v>20190.3869254973</v>
      </c>
      <c r="Z57" t="n">
        <v>22336.3818878605</v>
      </c>
      <c r="AA57" t="n">
        <v>24373.5706254259</v>
      </c>
      <c r="AB57" t="n">
        <v>24753.5435315877</v>
      </c>
      <c r="AC57" t="n">
        <v>25513.9304840197</v>
      </c>
      <c r="AD57" t="n">
        <v>26600.1580328474</v>
      </c>
      <c r="AE57" t="n">
        <v>25919.7</v>
      </c>
      <c r="AF57" t="n">
        <v>25589.4</v>
      </c>
    </row>
    <row r="58">
      <c r="A58" t="s">
        <v>65</v>
      </c>
      <c r="B58" t="s">
        <v>386</v>
      </c>
      <c r="C58" t="s">
        <v>246</v>
      </c>
      <c r="D58" t="s">
        <v>387</v>
      </c>
      <c r="E58" t="s">
        <v>247</v>
      </c>
      <c r="F58" t="n">
        <v>14885.6499521955</v>
      </c>
      <c r="G58" t="n">
        <v>15733.5588987201</v>
      </c>
      <c r="H58" t="n">
        <v>16076.7843929455</v>
      </c>
      <c r="I58" t="n">
        <v>16588.4342113304</v>
      </c>
      <c r="J58" t="n">
        <v>17157.7134186164</v>
      </c>
      <c r="K58" t="n">
        <v>18046.2008448559</v>
      </c>
      <c r="L58" t="n">
        <v>19306.3551333093</v>
      </c>
      <c r="M58" t="n">
        <v>19665.5601389805</v>
      </c>
      <c r="N58" t="n">
        <v>19771.8611716917</v>
      </c>
      <c r="O58" t="n">
        <v>19213.0658742989</v>
      </c>
      <c r="P58" t="n">
        <v>19587.5177795778</v>
      </c>
      <c r="Q58" t="n">
        <v>19287.0211066371</v>
      </c>
      <c r="R58" t="n">
        <v>19575.1660282986</v>
      </c>
      <c r="S58" t="n">
        <v>20566.2733086983</v>
      </c>
      <c r="T58" t="n">
        <v>21557.5580205752</v>
      </c>
      <c r="U58" t="n">
        <v>21956.0268427537</v>
      </c>
      <c r="V58" t="n">
        <v>22068.0325376716</v>
      </c>
      <c r="W58" t="n">
        <v>21223.008787158</v>
      </c>
      <c r="X58" t="n">
        <v>21143.2396309331</v>
      </c>
      <c r="Y58" t="n">
        <v>20190.3869254973</v>
      </c>
      <c r="Z58" t="n">
        <v>22336.3818878605</v>
      </c>
      <c r="AA58" t="n">
        <v>24373.5706254259</v>
      </c>
      <c r="AB58" t="n">
        <v>24753.5435315877</v>
      </c>
      <c r="AC58" t="n">
        <v>25513.9304840197</v>
      </c>
      <c r="AD58" t="n">
        <v>26600.1580328474</v>
      </c>
      <c r="AE58" t="n">
        <v>25919.7</v>
      </c>
      <c r="AF58" t="n">
        <v>25589.4</v>
      </c>
    </row>
    <row r="59">
      <c r="A59" t="s">
        <v>65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67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67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67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67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67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67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67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67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67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67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67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67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67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67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67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67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67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67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67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67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67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67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67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67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67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67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67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67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67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67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67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67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67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67</v>
      </c>
      <c r="B35" t="s">
        <v>340</v>
      </c>
      <c r="C35" t="s">
        <v>246</v>
      </c>
      <c r="D35" t="s">
        <v>341</v>
      </c>
      <c r="E35" t="s">
        <v>247</v>
      </c>
      <c r="F35" t="n">
        <v>806.799</v>
      </c>
      <c r="G35" t="n">
        <v>799.556</v>
      </c>
      <c r="H35" t="n">
        <v>936.131</v>
      </c>
      <c r="I35" t="n">
        <v>1027.816</v>
      </c>
      <c r="J35" t="n">
        <v>1040.778</v>
      </c>
      <c r="K35" t="n">
        <v>1116.429</v>
      </c>
      <c r="L35" t="n">
        <v>961.168</v>
      </c>
      <c r="M35" t="n">
        <v>975.056</v>
      </c>
      <c r="N35" t="n">
        <v>1038.598</v>
      </c>
      <c r="O35" t="n">
        <v>1074.518</v>
      </c>
      <c r="P35" t="n">
        <v>1034.488</v>
      </c>
      <c r="Q35" t="n">
        <v>1071.451</v>
      </c>
      <c r="R35" t="n">
        <v>1251.95</v>
      </c>
      <c r="S35" t="n">
        <v>1279.419</v>
      </c>
      <c r="T35" t="n">
        <v>1115.888</v>
      </c>
      <c r="U35" t="n">
        <v>1417.69</v>
      </c>
      <c r="V35" t="n">
        <v>1330.034</v>
      </c>
      <c r="W35" t="n">
        <v>1351.305</v>
      </c>
      <c r="X35" t="n">
        <v>1052.041</v>
      </c>
      <c r="Y35" t="n">
        <v>981.884</v>
      </c>
      <c r="Z35" t="n">
        <v>1129.547</v>
      </c>
      <c r="AA35" t="n">
        <v>1198.082</v>
      </c>
      <c r="AB35" t="n">
        <v>1040.074</v>
      </c>
      <c r="AC35" t="n">
        <v>1137.421</v>
      </c>
      <c r="AD35" t="n">
        <v>977.418</v>
      </c>
      <c r="AE35" t="n">
        <v>983.5</v>
      </c>
      <c r="AF35" t="n">
        <v>1020.3</v>
      </c>
    </row>
    <row r="36">
      <c r="A36" t="s">
        <v>67</v>
      </c>
      <c r="B36" t="s">
        <v>342</v>
      </c>
      <c r="C36" t="s">
        <v>246</v>
      </c>
      <c r="D36" t="s">
        <v>343</v>
      </c>
      <c r="E36" t="s">
        <v>247</v>
      </c>
      <c r="F36" t="n">
        <v>806.655</v>
      </c>
      <c r="G36" t="n">
        <v>799.185</v>
      </c>
      <c r="H36" t="n">
        <v>935.827</v>
      </c>
      <c r="I36" t="n">
        <v>1027.592</v>
      </c>
      <c r="J36" t="n">
        <v>1040.551</v>
      </c>
      <c r="K36" t="n">
        <v>1116.071</v>
      </c>
      <c r="L36" t="n">
        <v>960.966</v>
      </c>
      <c r="M36" t="n">
        <v>974.851</v>
      </c>
      <c r="N36" t="n">
        <v>1038.582</v>
      </c>
      <c r="O36" t="n">
        <v>1074.402</v>
      </c>
      <c r="P36" t="n">
        <v>1034.47</v>
      </c>
      <c r="Q36" t="n">
        <v>1071.531</v>
      </c>
      <c r="R36" t="n">
        <v>1252.044</v>
      </c>
      <c r="S36" t="n">
        <v>1279.419</v>
      </c>
      <c r="T36" t="n">
        <v>1115.888</v>
      </c>
      <c r="U36" t="n">
        <v>1417.69</v>
      </c>
      <c r="V36" t="n">
        <v>1329.932</v>
      </c>
      <c r="W36" t="n">
        <v>1351.201</v>
      </c>
      <c r="X36" t="n">
        <v>1051.961</v>
      </c>
      <c r="Y36" t="n">
        <v>981.705</v>
      </c>
      <c r="Z36" t="n">
        <v>1129.341</v>
      </c>
      <c r="AA36" t="n">
        <v>1197.973</v>
      </c>
      <c r="AB36" t="n">
        <v>1039.979</v>
      </c>
      <c r="AC36" t="n">
        <v>1137.42</v>
      </c>
      <c r="AD36" t="n">
        <v>977.517</v>
      </c>
      <c r="AE36" t="n">
        <v>983.5</v>
      </c>
      <c r="AF36" t="n">
        <v>1020.3</v>
      </c>
    </row>
    <row r="37">
      <c r="A37" t="s">
        <v>67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67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67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67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67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67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67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67</v>
      </c>
      <c r="B44" t="s">
        <v>358</v>
      </c>
      <c r="C44" t="s">
        <v>246</v>
      </c>
      <c r="D44" t="s">
        <v>359</v>
      </c>
      <c r="E44" t="s">
        <v>247</v>
      </c>
      <c r="F44" t="n">
        <v>1346.902</v>
      </c>
      <c r="G44" t="n">
        <v>1387.795</v>
      </c>
      <c r="H44" t="n">
        <v>1596.848</v>
      </c>
      <c r="I44" t="n">
        <v>1688.999</v>
      </c>
      <c r="J44" t="n">
        <v>1708.94</v>
      </c>
      <c r="K44" t="n">
        <v>1795.165</v>
      </c>
      <c r="L44" t="n">
        <v>1562.609</v>
      </c>
      <c r="M44" t="n">
        <v>1563.051</v>
      </c>
      <c r="N44" t="n">
        <v>1626.829</v>
      </c>
      <c r="O44" t="n">
        <v>1611.57</v>
      </c>
      <c r="P44" t="n">
        <v>1614.215</v>
      </c>
      <c r="Q44" t="n">
        <v>1774.906</v>
      </c>
      <c r="R44" t="n">
        <v>1923.964</v>
      </c>
      <c r="S44" t="n">
        <v>1955.085</v>
      </c>
      <c r="T44" t="n">
        <v>1873.69</v>
      </c>
      <c r="U44" t="n">
        <v>1955.33</v>
      </c>
      <c r="V44" t="n">
        <v>1970.11</v>
      </c>
      <c r="W44" t="n">
        <v>1992.341</v>
      </c>
      <c r="X44" t="n">
        <v>1685.691</v>
      </c>
      <c r="Y44" t="n">
        <v>1687.561</v>
      </c>
      <c r="Z44" t="n">
        <v>1909.789</v>
      </c>
      <c r="AA44" t="n">
        <v>1933.838</v>
      </c>
      <c r="AB44" t="n">
        <v>1854.08</v>
      </c>
      <c r="AC44" t="n">
        <v>1807.245</v>
      </c>
      <c r="AD44" t="n">
        <v>1597.956</v>
      </c>
      <c r="AE44" t="n">
        <v>1672.4</v>
      </c>
      <c r="AF44" t="n">
        <v>1635.5</v>
      </c>
    </row>
    <row r="45">
      <c r="A45" t="s">
        <v>67</v>
      </c>
      <c r="B45" t="s">
        <v>360</v>
      </c>
      <c r="C45" t="s">
        <v>246</v>
      </c>
      <c r="D45" t="s">
        <v>361</v>
      </c>
      <c r="E45" t="s">
        <v>247</v>
      </c>
      <c r="F45" t="n">
        <v>1346.52</v>
      </c>
      <c r="G45" t="n">
        <v>1387.402</v>
      </c>
      <c r="H45" t="n">
        <v>1596.414</v>
      </c>
      <c r="I45" t="n">
        <v>1688.416</v>
      </c>
      <c r="J45" t="n">
        <v>1708.35</v>
      </c>
      <c r="K45" t="n">
        <v>1794.425</v>
      </c>
      <c r="L45" t="n">
        <v>1561.95</v>
      </c>
      <c r="M45" t="n">
        <v>1562.392</v>
      </c>
      <c r="N45" t="n">
        <v>1626.143</v>
      </c>
      <c r="O45" t="n">
        <v>1610.996</v>
      </c>
      <c r="P45" t="n">
        <v>1613.843</v>
      </c>
      <c r="Q45" t="n">
        <v>1774.597</v>
      </c>
      <c r="R45" t="n">
        <v>1923.63</v>
      </c>
      <c r="S45" t="n">
        <v>1954.745</v>
      </c>
      <c r="T45" t="n">
        <v>1873.364</v>
      </c>
      <c r="U45" t="n">
        <v>1954.99</v>
      </c>
      <c r="V45" t="n">
        <v>1969.87</v>
      </c>
      <c r="W45" t="n">
        <v>1992.098</v>
      </c>
      <c r="X45" t="n">
        <v>1685.486</v>
      </c>
      <c r="Y45" t="n">
        <v>1687.459</v>
      </c>
      <c r="Z45" t="n">
        <v>1909.674</v>
      </c>
      <c r="AA45" t="n">
        <v>1933.723</v>
      </c>
      <c r="AB45" t="n">
        <v>1853.969</v>
      </c>
      <c r="AC45" t="n">
        <v>1807.138</v>
      </c>
      <c r="AD45" t="n">
        <v>1597.86</v>
      </c>
      <c r="AE45" t="n">
        <v>1672.4</v>
      </c>
      <c r="AF45" t="n">
        <v>1635.6</v>
      </c>
    </row>
    <row r="46">
      <c r="A46" t="s">
        <v>67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67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67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67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67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67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67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67</v>
      </c>
      <c r="B53" t="s">
        <v>376</v>
      </c>
      <c r="C53" t="s">
        <v>246</v>
      </c>
      <c r="D53" t="s">
        <v>377</v>
      </c>
      <c r="E53" t="s">
        <v>247</v>
      </c>
      <c r="F53" t="n">
        <v>405.869</v>
      </c>
      <c r="G53" t="n">
        <v>402.158</v>
      </c>
      <c r="H53" t="n">
        <v>470.846</v>
      </c>
      <c r="I53" t="n">
        <v>516.791</v>
      </c>
      <c r="J53" t="n">
        <v>523.375</v>
      </c>
      <c r="K53" t="n">
        <v>497.907</v>
      </c>
      <c r="L53" t="n">
        <v>500.745</v>
      </c>
      <c r="M53" t="n">
        <v>508.756</v>
      </c>
      <c r="N53" t="n">
        <v>514.473</v>
      </c>
      <c r="O53" t="n">
        <v>464.16</v>
      </c>
      <c r="P53" t="n">
        <v>533.332</v>
      </c>
      <c r="Q53" t="n">
        <v>598.033</v>
      </c>
      <c r="R53" t="n">
        <v>581.726</v>
      </c>
      <c r="S53" t="n">
        <v>574.561</v>
      </c>
      <c r="T53" t="n">
        <v>670.338</v>
      </c>
      <c r="U53" t="n">
        <v>472.259</v>
      </c>
      <c r="V53" t="n">
        <v>573.569</v>
      </c>
      <c r="W53" t="n">
        <v>557.622</v>
      </c>
      <c r="X53" t="n">
        <v>535.192</v>
      </c>
      <c r="Y53" t="n">
        <v>529.22</v>
      </c>
      <c r="Z53" t="n">
        <v>531.601</v>
      </c>
      <c r="AA53" t="n">
        <v>553.5</v>
      </c>
      <c r="AB53" t="n">
        <v>658.517</v>
      </c>
      <c r="AC53" t="n">
        <v>548.02</v>
      </c>
      <c r="AD53" t="n">
        <v>474.567</v>
      </c>
      <c r="AE53" t="n">
        <v>582.1</v>
      </c>
      <c r="AF53" t="n">
        <v>507.2</v>
      </c>
    </row>
    <row r="54">
      <c r="A54" t="s">
        <v>67</v>
      </c>
      <c r="B54" t="s">
        <v>378</v>
      </c>
      <c r="C54" t="s">
        <v>246</v>
      </c>
      <c r="D54" t="s">
        <v>379</v>
      </c>
      <c r="E54" t="s">
        <v>247</v>
      </c>
      <c r="F54" t="n">
        <v>405.853</v>
      </c>
      <c r="G54" t="n">
        <v>402.143</v>
      </c>
      <c r="H54" t="n">
        <v>470.827</v>
      </c>
      <c r="I54" t="n">
        <v>516.771</v>
      </c>
      <c r="J54" t="n">
        <v>523.484</v>
      </c>
      <c r="K54" t="n">
        <v>498.01</v>
      </c>
      <c r="L54" t="n">
        <v>500.72</v>
      </c>
      <c r="M54" t="n">
        <v>508.73</v>
      </c>
      <c r="N54" t="n">
        <v>514.448</v>
      </c>
      <c r="O54" t="n">
        <v>464.241</v>
      </c>
      <c r="P54" t="n">
        <v>533.316</v>
      </c>
      <c r="Q54" t="n">
        <v>598.015</v>
      </c>
      <c r="R54" t="n">
        <v>581.604</v>
      </c>
      <c r="S54" t="n">
        <v>574.441</v>
      </c>
      <c r="T54" t="n">
        <v>670.197</v>
      </c>
      <c r="U54" t="n">
        <v>472.09</v>
      </c>
      <c r="V54" t="n">
        <v>573.468</v>
      </c>
      <c r="W54" t="n">
        <v>557.424</v>
      </c>
      <c r="X54" t="n">
        <v>534.901</v>
      </c>
      <c r="Y54" t="n">
        <v>528.932</v>
      </c>
      <c r="Z54" t="n">
        <v>531.416</v>
      </c>
      <c r="AA54" t="n">
        <v>553.516</v>
      </c>
      <c r="AB54" t="n">
        <v>658.657</v>
      </c>
      <c r="AC54" t="n">
        <v>548.136</v>
      </c>
      <c r="AD54" t="n">
        <v>474.567</v>
      </c>
      <c r="AE54" t="n">
        <v>582.1</v>
      </c>
      <c r="AF54" t="n">
        <v>507.2</v>
      </c>
    </row>
    <row r="55">
      <c r="A55" t="s">
        <v>67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67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67</v>
      </c>
      <c r="B57" t="s">
        <v>384</v>
      </c>
      <c r="C57" t="s">
        <v>246</v>
      </c>
      <c r="D57" t="s">
        <v>385</v>
      </c>
      <c r="E57" t="s">
        <v>247</v>
      </c>
      <c r="F57" t="n">
        <v>1346.04</v>
      </c>
      <c r="G57" t="n">
        <v>1387.031</v>
      </c>
      <c r="H57" t="n">
        <v>1596.243</v>
      </c>
      <c r="I57" t="n">
        <v>1688.117</v>
      </c>
      <c r="J57" t="n">
        <v>1708.28</v>
      </c>
      <c r="K57" t="n">
        <v>1794.591</v>
      </c>
      <c r="L57" t="n">
        <v>1562.338</v>
      </c>
      <c r="M57" t="n">
        <v>1562.559</v>
      </c>
      <c r="N57" t="n">
        <v>1626.102</v>
      </c>
      <c r="O57" t="n">
        <v>1610.746</v>
      </c>
      <c r="P57" t="n">
        <v>1613.491</v>
      </c>
      <c r="Q57" t="n">
        <v>1774.32</v>
      </c>
      <c r="R57" t="n">
        <v>1923.437</v>
      </c>
      <c r="S57" t="n">
        <v>1954.646</v>
      </c>
      <c r="T57" t="n">
        <v>1873.084</v>
      </c>
      <c r="U57" t="n">
        <v>1954.599</v>
      </c>
      <c r="V57" t="n">
        <v>1969.374</v>
      </c>
      <c r="W57" t="n">
        <v>1991.696</v>
      </c>
      <c r="X57" t="n">
        <v>1685.337</v>
      </c>
      <c r="Y57" t="n">
        <v>1686.998</v>
      </c>
      <c r="Z57" t="n">
        <v>1909.358</v>
      </c>
      <c r="AA57" t="n">
        <v>1933.506</v>
      </c>
      <c r="AB57" t="n">
        <v>1854.058</v>
      </c>
      <c r="AC57" t="n">
        <v>1807.021</v>
      </c>
      <c r="AD57" t="n">
        <v>1598.047</v>
      </c>
      <c r="AE57" t="n">
        <v>1672.5</v>
      </c>
      <c r="AF57" t="n">
        <v>1635.5</v>
      </c>
    </row>
    <row r="58">
      <c r="A58" t="s">
        <v>67</v>
      </c>
      <c r="B58" t="s">
        <v>386</v>
      </c>
      <c r="C58" t="s">
        <v>246</v>
      </c>
      <c r="D58" t="s">
        <v>387</v>
      </c>
      <c r="E58" t="s">
        <v>247</v>
      </c>
      <c r="F58" t="n">
        <v>1346.04</v>
      </c>
      <c r="G58" t="n">
        <v>1387.031</v>
      </c>
      <c r="H58" t="n">
        <v>1596.243</v>
      </c>
      <c r="I58" t="n">
        <v>1688.117</v>
      </c>
      <c r="J58" t="n">
        <v>1708.28</v>
      </c>
      <c r="K58" t="n">
        <v>1794.591</v>
      </c>
      <c r="L58" t="n">
        <v>1562.338</v>
      </c>
      <c r="M58" t="n">
        <v>1562.559</v>
      </c>
      <c r="N58" t="n">
        <v>1626.102</v>
      </c>
      <c r="O58" t="n">
        <v>1610.746</v>
      </c>
      <c r="P58" t="n">
        <v>1613.491</v>
      </c>
      <c r="Q58" t="n">
        <v>1774.32</v>
      </c>
      <c r="R58" t="n">
        <v>1923.437</v>
      </c>
      <c r="S58" t="n">
        <v>1954.646</v>
      </c>
      <c r="T58" t="n">
        <v>1873.084</v>
      </c>
      <c r="U58" t="n">
        <v>1954.599</v>
      </c>
      <c r="V58" t="n">
        <v>1969.374</v>
      </c>
      <c r="W58" t="n">
        <v>1991.696</v>
      </c>
      <c r="X58" t="n">
        <v>1685.337</v>
      </c>
      <c r="Y58" t="n">
        <v>1686.998</v>
      </c>
      <c r="Z58" t="n">
        <v>1909.358</v>
      </c>
      <c r="AA58" t="n">
        <v>1933.506</v>
      </c>
      <c r="AB58" t="n">
        <v>1854.058</v>
      </c>
      <c r="AC58" t="n">
        <v>1807.021</v>
      </c>
      <c r="AD58" t="n">
        <v>1598.047</v>
      </c>
      <c r="AE58" t="n">
        <v>1672.5</v>
      </c>
      <c r="AF58" t="n">
        <v>1635.5</v>
      </c>
    </row>
    <row r="59">
      <c r="A59" t="s">
        <v>67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69</v>
      </c>
      <c r="B2" t="s">
        <v>197</v>
      </c>
      <c r="C2" t="s">
        <v>246</v>
      </c>
      <c r="D2" t="s">
        <v>199</v>
      </c>
      <c r="E2" t="s">
        <v>247</v>
      </c>
      <c r="F2" t="n">
        <v>7418.78690920788</v>
      </c>
      <c r="G2" t="n">
        <v>7289.22253330658</v>
      </c>
      <c r="H2" t="n">
        <v>7809.68109391679</v>
      </c>
      <c r="I2" t="n">
        <v>8193.13833626639</v>
      </c>
      <c r="J2" t="n">
        <v>8928.71584005049</v>
      </c>
      <c r="K2" t="n">
        <v>9964.3270959535</v>
      </c>
      <c r="L2" t="n">
        <v>9304.70602987226</v>
      </c>
      <c r="M2" t="n">
        <v>9540.36497262353</v>
      </c>
      <c r="N2" t="n">
        <v>9443.47769616051</v>
      </c>
      <c r="O2" t="n">
        <v>10040.058688419</v>
      </c>
      <c r="P2" t="n">
        <v>10179.7602463962</v>
      </c>
      <c r="Q2" t="n">
        <v>10827.2224016115</v>
      </c>
      <c r="R2" t="n">
        <v>10129.8533907087</v>
      </c>
      <c r="S2" t="n">
        <v>9096.77234430704</v>
      </c>
      <c r="T2" t="n">
        <v>7745.41418776333</v>
      </c>
      <c r="U2" t="n">
        <v>8177.80354872002</v>
      </c>
      <c r="V2" t="n">
        <v>8777.2729124</v>
      </c>
      <c r="W2" t="n">
        <v>8079.80127746213</v>
      </c>
      <c r="X2" t="n">
        <v>6860.44196628471</v>
      </c>
      <c r="Y2" t="n">
        <v>7026.0524895652</v>
      </c>
      <c r="Z2" t="n">
        <v>7032.81932038194</v>
      </c>
      <c r="AA2" t="n">
        <v>7534.06271935787</v>
      </c>
      <c r="AB2" t="n">
        <v>8631.91759407635</v>
      </c>
      <c r="AC2" t="n">
        <v>9600.95984363606</v>
      </c>
      <c r="AD2" t="n">
        <v>9727.30552442136</v>
      </c>
      <c r="AE2" t="n">
        <v>8710.7</v>
      </c>
      <c r="AF2" t="n">
        <v>10095.7</v>
      </c>
    </row>
    <row r="3">
      <c r="A3" t="s">
        <v>69</v>
      </c>
      <c r="B3" t="s">
        <v>276</v>
      </c>
      <c r="C3" t="s">
        <v>246</v>
      </c>
      <c r="D3" t="s">
        <v>277</v>
      </c>
      <c r="E3" t="s">
        <v>247</v>
      </c>
      <c r="F3" t="n">
        <v>2279.536516019</v>
      </c>
      <c r="G3" t="n">
        <v>2283.86881557759</v>
      </c>
      <c r="H3" t="n">
        <v>2485.91747340286</v>
      </c>
      <c r="I3" t="n">
        <v>2092.82970838445</v>
      </c>
      <c r="J3" t="n">
        <v>2125.7043340201</v>
      </c>
      <c r="K3" t="n">
        <v>2553.35083205023</v>
      </c>
      <c r="L3" t="n">
        <v>2549.26590644435</v>
      </c>
      <c r="M3" t="n">
        <v>2280.23192068242</v>
      </c>
      <c r="N3" t="n">
        <v>2265.29730926583</v>
      </c>
      <c r="O3" t="n">
        <v>2572.63530326193</v>
      </c>
      <c r="P3" t="n">
        <v>2659.13599845814</v>
      </c>
      <c r="Q3" t="n">
        <v>2405.89056257574</v>
      </c>
      <c r="R3" t="n">
        <v>2581.98429093753</v>
      </c>
      <c r="S3" t="n">
        <v>2101.60478601029</v>
      </c>
      <c r="T3" t="n">
        <v>1906.5617551179</v>
      </c>
      <c r="U3" t="n">
        <v>2293.02697574991</v>
      </c>
      <c r="V3" t="n">
        <v>2292.0903242371</v>
      </c>
      <c r="W3" t="n">
        <v>1982.56896171319</v>
      </c>
      <c r="X3" t="n">
        <v>1833.07525162038</v>
      </c>
      <c r="Y3" t="n">
        <v>2869.23996975527</v>
      </c>
      <c r="Z3" t="n">
        <v>2467.35254735024</v>
      </c>
      <c r="AA3" t="n">
        <v>1597.71189541532</v>
      </c>
      <c r="AB3" t="n">
        <v>1263.39158977876</v>
      </c>
      <c r="AC3" t="n">
        <v>3102.97179858269</v>
      </c>
      <c r="AD3" t="n">
        <v>3037.67432343234</v>
      </c>
      <c r="AE3" t="n">
        <v>1959.1</v>
      </c>
      <c r="AF3" t="n">
        <v>2241.4</v>
      </c>
    </row>
    <row r="4">
      <c r="A4" t="s">
        <v>69</v>
      </c>
      <c r="B4" t="s">
        <v>278</v>
      </c>
      <c r="C4" t="s">
        <v>246</v>
      </c>
      <c r="D4" t="s">
        <v>279</v>
      </c>
      <c r="E4" t="s">
        <v>247</v>
      </c>
      <c r="F4" t="n">
        <v>48123.3170762519</v>
      </c>
      <c r="G4" t="n">
        <v>46449.2318021326</v>
      </c>
      <c r="H4" t="n">
        <v>46970.5738241346</v>
      </c>
      <c r="I4" t="n">
        <v>51232.7462199957</v>
      </c>
      <c r="J4" t="n">
        <v>54885.4781786595</v>
      </c>
      <c r="K4" t="n">
        <v>59247.3102301085</v>
      </c>
      <c r="L4" t="n">
        <v>60672.4606122324</v>
      </c>
      <c r="M4" t="n">
        <v>62188.0307819041</v>
      </c>
      <c r="N4" t="n">
        <v>59461.1105822846</v>
      </c>
      <c r="O4" t="n">
        <v>59873.9223750718</v>
      </c>
      <c r="P4" t="n">
        <v>59125.2017518867</v>
      </c>
      <c r="Q4" t="n">
        <v>62982.4291852462</v>
      </c>
      <c r="R4" t="n">
        <v>63562.1907614255</v>
      </c>
      <c r="S4" t="n">
        <v>62937.1134505622</v>
      </c>
      <c r="T4" t="n">
        <v>53495.6458754034</v>
      </c>
      <c r="U4" t="n">
        <v>58194.2436128983</v>
      </c>
      <c r="V4" t="n">
        <v>58187.6420309424</v>
      </c>
      <c r="W4" t="n">
        <v>55938.8616793841</v>
      </c>
      <c r="X4" t="n">
        <v>52232.8578376219</v>
      </c>
      <c r="Y4" t="n">
        <v>55158.0348694482</v>
      </c>
      <c r="Z4" t="n">
        <v>58378.7864460853</v>
      </c>
      <c r="AA4" t="n">
        <v>63259.342813546</v>
      </c>
      <c r="AB4" t="n">
        <v>64999.7514538995</v>
      </c>
      <c r="AC4" t="n">
        <v>70460.8255829993</v>
      </c>
      <c r="AD4" t="n">
        <v>66963.5793589065</v>
      </c>
      <c r="AE4" t="n">
        <v>60904.6</v>
      </c>
      <c r="AF4" t="n">
        <v>69531.4</v>
      </c>
    </row>
    <row r="5">
      <c r="A5" t="s">
        <v>69</v>
      </c>
      <c r="B5" t="s">
        <v>280</v>
      </c>
      <c r="C5" t="s">
        <v>246</v>
      </c>
      <c r="D5" t="s">
        <v>281</v>
      </c>
      <c r="E5" t="s">
        <v>247</v>
      </c>
      <c r="F5" t="n">
        <v>6539.52320380102</v>
      </c>
      <c r="G5" t="n">
        <v>5985.61159012927</v>
      </c>
      <c r="H5" t="n">
        <v>6174.45987321051</v>
      </c>
      <c r="I5" t="n">
        <v>5823.57687719219</v>
      </c>
      <c r="J5" t="n">
        <v>7898.06266755703</v>
      </c>
      <c r="K5" t="n">
        <v>7789.0244506914</v>
      </c>
      <c r="L5" t="n">
        <v>7767.96544442601</v>
      </c>
      <c r="M5" t="n">
        <v>8044.37479806361</v>
      </c>
      <c r="N5" t="n">
        <v>7041.00173956507</v>
      </c>
      <c r="O5" t="n">
        <v>8421.32961737107</v>
      </c>
      <c r="P5" t="n">
        <v>7376.89376498267</v>
      </c>
      <c r="Q5" t="n">
        <v>8795.31821137176</v>
      </c>
      <c r="R5" t="n">
        <v>8234.39466484036</v>
      </c>
      <c r="S5" t="n">
        <v>7996.3341277143</v>
      </c>
      <c r="T5" t="n">
        <v>6095.98001712724</v>
      </c>
      <c r="U5" t="n">
        <v>7452.81258669909</v>
      </c>
      <c r="V5" t="n">
        <v>7327.87833890312</v>
      </c>
      <c r="W5" t="n">
        <v>7541.09622742114</v>
      </c>
      <c r="X5" t="n">
        <v>6600.00943885838</v>
      </c>
      <c r="Y5" t="n">
        <v>7088.25057044485</v>
      </c>
      <c r="Z5" t="n">
        <v>6929.69047381734</v>
      </c>
      <c r="AA5" t="n">
        <v>7771.88620532159</v>
      </c>
      <c r="AB5" t="n">
        <v>7955.09927734588</v>
      </c>
      <c r="AC5" t="n">
        <v>9588.1702783615</v>
      </c>
      <c r="AD5" t="n">
        <v>8374.92926389791</v>
      </c>
      <c r="AE5" t="n">
        <v>6755.9</v>
      </c>
      <c r="AF5" t="n">
        <v>8531</v>
      </c>
    </row>
    <row r="6">
      <c r="A6" t="s">
        <v>69</v>
      </c>
      <c r="B6" t="s">
        <v>282</v>
      </c>
      <c r="C6" t="s">
        <v>246</v>
      </c>
      <c r="D6" t="s">
        <v>283</v>
      </c>
      <c r="E6" t="s">
        <v>247</v>
      </c>
      <c r="F6" t="n">
        <v>3787.27272590901</v>
      </c>
      <c r="G6" t="n">
        <v>3577.5946949472</v>
      </c>
      <c r="H6" t="n">
        <v>3258.60004171031</v>
      </c>
      <c r="I6" t="n">
        <v>4470.23091490973</v>
      </c>
      <c r="J6" t="n">
        <v>3837.56393624999</v>
      </c>
      <c r="K6" t="n">
        <v>4264.70562114246</v>
      </c>
      <c r="L6" t="n">
        <v>4478.60166386021</v>
      </c>
      <c r="M6" t="n">
        <v>4773.1216718312</v>
      </c>
      <c r="N6" t="n">
        <v>4851.6974942474</v>
      </c>
      <c r="O6" t="n">
        <v>4584.27297071381</v>
      </c>
      <c r="P6" t="n">
        <v>4627.76485623007</v>
      </c>
      <c r="Q6" t="n">
        <v>4530.41217979235</v>
      </c>
      <c r="R6" t="n">
        <v>4640.3945190365</v>
      </c>
      <c r="S6" t="n">
        <v>4787.31962062267</v>
      </c>
      <c r="T6" t="n">
        <v>4012.09153336067</v>
      </c>
      <c r="U6" t="n">
        <v>4366.82663900543</v>
      </c>
      <c r="V6" t="n">
        <v>4193.33098903384</v>
      </c>
      <c r="W6" t="n">
        <v>4155.63390300461</v>
      </c>
      <c r="X6" t="n">
        <v>3668.48789219715</v>
      </c>
      <c r="Y6" t="n">
        <v>3923.14760121978</v>
      </c>
      <c r="Z6" t="n">
        <v>3655.85713275269</v>
      </c>
      <c r="AA6" t="n">
        <v>3960.56908449705</v>
      </c>
      <c r="AB6" t="n">
        <v>4550.76963198328</v>
      </c>
      <c r="AC6" t="n">
        <v>5263.77424612804</v>
      </c>
      <c r="AD6" t="n">
        <v>4628.63868822567</v>
      </c>
      <c r="AE6" t="n">
        <v>3684.2</v>
      </c>
      <c r="AF6" t="n">
        <v>4032.8</v>
      </c>
    </row>
    <row r="7">
      <c r="A7" t="s">
        <v>69</v>
      </c>
      <c r="B7" t="s">
        <v>284</v>
      </c>
      <c r="C7" t="s">
        <v>246</v>
      </c>
      <c r="D7" t="s">
        <v>285</v>
      </c>
      <c r="E7" t="s">
        <v>247</v>
      </c>
      <c r="F7" t="n">
        <v>5149.40341516239</v>
      </c>
      <c r="G7" t="n">
        <v>3018.73766902962</v>
      </c>
      <c r="H7" t="n">
        <v>2537.78038889727</v>
      </c>
      <c r="I7" t="n">
        <v>3445.98884121465</v>
      </c>
      <c r="J7" t="n">
        <v>3545.12874867842</v>
      </c>
      <c r="K7" t="n">
        <v>3870.86000935306</v>
      </c>
      <c r="L7" t="n">
        <v>4018.95059240659</v>
      </c>
      <c r="M7" t="n">
        <v>3965.73093378578</v>
      </c>
      <c r="N7" t="n">
        <v>3788.80614771454</v>
      </c>
      <c r="O7" t="n">
        <v>3807.11591842207</v>
      </c>
      <c r="P7" t="n">
        <v>3995.73874215017</v>
      </c>
      <c r="Q7" t="n">
        <v>4122.94456614615</v>
      </c>
      <c r="R7" t="n">
        <v>4124.20800469718</v>
      </c>
      <c r="S7" t="n">
        <v>3909.17350197139</v>
      </c>
      <c r="T7" t="n">
        <v>3110.04606318324</v>
      </c>
      <c r="U7" t="n">
        <v>3625.55561388044</v>
      </c>
      <c r="V7" t="n">
        <v>3592.544514926</v>
      </c>
      <c r="W7" t="n">
        <v>3324.04358930481</v>
      </c>
      <c r="X7" t="n">
        <v>2962.96973524076</v>
      </c>
      <c r="Y7" t="n">
        <v>2977.4671228739</v>
      </c>
      <c r="Z7" t="n">
        <v>3592.15373757248</v>
      </c>
      <c r="AA7" t="n">
        <v>3886.26752105357</v>
      </c>
      <c r="AB7" t="n">
        <v>4078.19735292794</v>
      </c>
      <c r="AC7" t="n">
        <v>4562.00776927771</v>
      </c>
      <c r="AD7" t="n">
        <v>3873.98757581327</v>
      </c>
      <c r="AE7" t="n">
        <v>3262.4</v>
      </c>
      <c r="AF7" t="n">
        <v>3734.8</v>
      </c>
    </row>
    <row r="8">
      <c r="A8" t="s">
        <v>69</v>
      </c>
      <c r="B8" t="s">
        <v>286</v>
      </c>
      <c r="C8" t="s">
        <v>246</v>
      </c>
      <c r="D8" t="s">
        <v>287</v>
      </c>
      <c r="E8" t="s">
        <v>247</v>
      </c>
      <c r="F8" t="n">
        <v>1211.33512601054</v>
      </c>
      <c r="G8" t="n">
        <v>1431.56549465896</v>
      </c>
      <c r="H8" t="n">
        <v>1179.83515767679</v>
      </c>
      <c r="I8" t="n">
        <v>1879.77547258189</v>
      </c>
      <c r="J8" t="n">
        <v>1355.72482003686</v>
      </c>
      <c r="K8" t="n">
        <v>2036.8983985294</v>
      </c>
      <c r="L8" t="n">
        <v>2219.75149067295</v>
      </c>
      <c r="M8" t="n">
        <v>1870.60818861005</v>
      </c>
      <c r="N8" t="n">
        <v>1690.36504804801</v>
      </c>
      <c r="O8" t="n">
        <v>1547.45037301844</v>
      </c>
      <c r="P8" t="n">
        <v>1593.70471869921</v>
      </c>
      <c r="Q8" t="n">
        <v>1688.75599780019</v>
      </c>
      <c r="R8" t="n">
        <v>1918.70225231349</v>
      </c>
      <c r="S8" t="n">
        <v>1910.23383127554</v>
      </c>
      <c r="T8" t="n">
        <v>1753.67498799329</v>
      </c>
      <c r="U8" t="n">
        <v>1665.76903488973</v>
      </c>
      <c r="V8" t="n">
        <v>1662.46795197203</v>
      </c>
      <c r="W8" t="n">
        <v>1728.72722842882</v>
      </c>
      <c r="X8" t="n">
        <v>1462.22063230826</v>
      </c>
      <c r="Y8" t="n">
        <v>1410.16780421608</v>
      </c>
      <c r="Z8" t="n">
        <v>1052.51580521539</v>
      </c>
      <c r="AA8" t="n">
        <v>1251.13425379023</v>
      </c>
      <c r="AB8" t="n">
        <v>1357.80743507881</v>
      </c>
      <c r="AC8" t="n">
        <v>1153.23694134229</v>
      </c>
      <c r="AD8" t="n">
        <v>1463.18265488483</v>
      </c>
      <c r="AE8" t="n">
        <v>1004.1</v>
      </c>
      <c r="AF8" t="n">
        <v>906.6</v>
      </c>
    </row>
    <row r="9">
      <c r="A9" t="s">
        <v>69</v>
      </c>
      <c r="B9" t="s">
        <v>288</v>
      </c>
      <c r="C9" t="s">
        <v>246</v>
      </c>
      <c r="D9" t="s">
        <v>289</v>
      </c>
      <c r="E9" t="s">
        <v>247</v>
      </c>
      <c r="F9" t="n">
        <v>1999.87973546872</v>
      </c>
      <c r="G9" t="n">
        <v>2397.21664379486</v>
      </c>
      <c r="H9" t="n">
        <v>3101.91969610198</v>
      </c>
      <c r="I9" t="n">
        <v>3336.26875103588</v>
      </c>
      <c r="J9" t="n">
        <v>3635.84512904886</v>
      </c>
      <c r="K9" t="n">
        <v>3777.9444080348</v>
      </c>
      <c r="L9" t="n">
        <v>3840.64035005755</v>
      </c>
      <c r="M9" t="n">
        <v>3804.76527199509</v>
      </c>
      <c r="N9" t="n">
        <v>4374.75653687722</v>
      </c>
      <c r="O9" t="n">
        <v>3641.96629374258</v>
      </c>
      <c r="P9" t="n">
        <v>3541.86020050817</v>
      </c>
      <c r="Q9" t="n">
        <v>4174.53977894432</v>
      </c>
      <c r="R9" t="n">
        <v>4075.87214936183</v>
      </c>
      <c r="S9" t="n">
        <v>3668.08520204329</v>
      </c>
      <c r="T9" t="n">
        <v>3510.3716006107</v>
      </c>
      <c r="U9" t="n">
        <v>3644.94035618692</v>
      </c>
      <c r="V9" t="n">
        <v>3592.34242867258</v>
      </c>
      <c r="W9" t="n">
        <v>3078.58147191303</v>
      </c>
      <c r="X9" t="n">
        <v>3161.43134958412</v>
      </c>
      <c r="Y9" t="n">
        <v>3493.90621738362</v>
      </c>
      <c r="Z9" t="n">
        <v>3413.87260172813</v>
      </c>
      <c r="AA9" t="n">
        <v>3728.40575623084</v>
      </c>
      <c r="AB9" t="n">
        <v>3024.97574815921</v>
      </c>
      <c r="AC9" t="n">
        <v>3280.90777149866</v>
      </c>
      <c r="AD9" t="n">
        <v>3096.79227184587</v>
      </c>
      <c r="AE9" t="n">
        <v>3182.9</v>
      </c>
      <c r="AF9" t="n">
        <v>3452.7</v>
      </c>
    </row>
    <row r="10">
      <c r="A10" t="s">
        <v>69</v>
      </c>
      <c r="B10" t="s">
        <v>290</v>
      </c>
      <c r="C10" t="s">
        <v>246</v>
      </c>
      <c r="D10" t="s">
        <v>291</v>
      </c>
      <c r="E10" t="s">
        <v>247</v>
      </c>
      <c r="F10" t="n">
        <v>3703.80642062149</v>
      </c>
      <c r="G10" t="n">
        <v>4250.12989970555</v>
      </c>
      <c r="H10" t="n">
        <v>5159.47653934167</v>
      </c>
      <c r="I10" t="n">
        <v>5999.58666775744</v>
      </c>
      <c r="J10" t="n">
        <v>6228.60307603953</v>
      </c>
      <c r="K10" t="n">
        <v>6256.9265563879</v>
      </c>
      <c r="L10" t="n">
        <v>6237.71253827347</v>
      </c>
      <c r="M10" t="n">
        <v>6458.64656229812</v>
      </c>
      <c r="N10" t="n">
        <v>7117.64074932193</v>
      </c>
      <c r="O10" t="n">
        <v>6085.99403126398</v>
      </c>
      <c r="P10" t="n">
        <v>6080.41132989724</v>
      </c>
      <c r="Q10" t="n">
        <v>6765.81336785293</v>
      </c>
      <c r="R10" t="n">
        <v>6640.27399042884</v>
      </c>
      <c r="S10" t="n">
        <v>6001.24465304976</v>
      </c>
      <c r="T10" t="n">
        <v>6025.05470080371</v>
      </c>
      <c r="U10" t="n">
        <v>6259.60080326848</v>
      </c>
      <c r="V10" t="n">
        <v>6127.45452112904</v>
      </c>
      <c r="W10" t="n">
        <v>5635.23528193852</v>
      </c>
      <c r="X10" t="n">
        <v>5716.81947877214</v>
      </c>
      <c r="Y10" t="n">
        <v>6327.91332979603</v>
      </c>
      <c r="Z10" t="n">
        <v>6323.76366911769</v>
      </c>
      <c r="AA10" t="n">
        <v>6932.82152282992</v>
      </c>
      <c r="AB10" t="n">
        <v>6446.13988533545</v>
      </c>
      <c r="AC10" t="n">
        <v>6339.7092843313</v>
      </c>
      <c r="AD10" t="n">
        <v>5808.70363767164</v>
      </c>
      <c r="AE10" t="n">
        <v>6398.5</v>
      </c>
      <c r="AF10" t="n">
        <v>6625.5</v>
      </c>
    </row>
    <row r="11">
      <c r="A11" t="s">
        <v>69</v>
      </c>
      <c r="B11" t="s">
        <v>292</v>
      </c>
      <c r="C11" t="s">
        <v>246</v>
      </c>
      <c r="D11" t="s">
        <v>293</v>
      </c>
      <c r="E11" t="s">
        <v>247</v>
      </c>
      <c r="F11" t="n">
        <v>1698.58276257272</v>
      </c>
      <c r="G11" t="n">
        <v>1842.26357562928</v>
      </c>
      <c r="H11" t="n">
        <v>2034.4350808896</v>
      </c>
      <c r="I11" t="n">
        <v>2650.82088575989</v>
      </c>
      <c r="J11" t="n">
        <v>2570.70571955995</v>
      </c>
      <c r="K11" t="n">
        <v>2450.42664400416</v>
      </c>
      <c r="L11" t="n">
        <v>2364.77384367895</v>
      </c>
      <c r="M11" t="n">
        <v>2630.86744598332</v>
      </c>
      <c r="N11" t="n">
        <v>2707.01355272324</v>
      </c>
      <c r="O11" t="n">
        <v>2418.45449196438</v>
      </c>
      <c r="P11" t="n">
        <v>2518.03424661934</v>
      </c>
      <c r="Q11" t="n">
        <v>2555.74560524627</v>
      </c>
      <c r="R11" t="n">
        <v>2530.73407396316</v>
      </c>
      <c r="S11" t="n">
        <v>2303.66063421488</v>
      </c>
      <c r="T11" t="n">
        <v>2495.97741973551</v>
      </c>
      <c r="U11" t="n">
        <v>2595.3080516819</v>
      </c>
      <c r="V11" t="n">
        <v>2515.19293717019</v>
      </c>
      <c r="W11" t="n">
        <v>2548.76248568391</v>
      </c>
      <c r="X11" t="n">
        <v>2545.50749975013</v>
      </c>
      <c r="Y11" t="n">
        <v>2823.42120279675</v>
      </c>
      <c r="Z11" t="n">
        <v>2904.47108794276</v>
      </c>
      <c r="AA11" t="n">
        <v>3199.34617113202</v>
      </c>
      <c r="AB11" t="n">
        <v>3424.55025429039</v>
      </c>
      <c r="AC11" t="n">
        <v>3057.69329032752</v>
      </c>
      <c r="AD11" t="n">
        <v>2709.742505005</v>
      </c>
      <c r="AE11" t="n">
        <v>3215.6</v>
      </c>
      <c r="AF11" t="n">
        <v>3172.8</v>
      </c>
    </row>
    <row r="12">
      <c r="A12" t="s">
        <v>69</v>
      </c>
      <c r="B12" t="s">
        <v>294</v>
      </c>
      <c r="C12" t="s">
        <v>246</v>
      </c>
      <c r="D12" t="s">
        <v>295</v>
      </c>
      <c r="E12" t="s">
        <v>247</v>
      </c>
      <c r="F12" t="n">
        <v>4601.50721107016</v>
      </c>
      <c r="G12" t="n">
        <v>3703.9760567719</v>
      </c>
      <c r="H12" t="n">
        <v>4202.61168273021</v>
      </c>
      <c r="I12" t="n">
        <v>3779.53809781446</v>
      </c>
      <c r="J12" t="n">
        <v>4860.61831143144</v>
      </c>
      <c r="K12" t="n">
        <v>5350.4728221605</v>
      </c>
      <c r="L12" t="n">
        <v>5222.72895556526</v>
      </c>
      <c r="M12" t="n">
        <v>5440.17888780275</v>
      </c>
      <c r="N12" t="n">
        <v>5866.16171080818</v>
      </c>
      <c r="O12" t="n">
        <v>5931.8153828597</v>
      </c>
      <c r="P12" t="n">
        <v>5302.97773060206</v>
      </c>
      <c r="Q12" t="n">
        <v>6191.20785261811</v>
      </c>
      <c r="R12" t="n">
        <v>5847.65030016723</v>
      </c>
      <c r="S12" t="n">
        <v>6288.44334320898</v>
      </c>
      <c r="T12" t="n">
        <v>4341.21773764568</v>
      </c>
      <c r="U12" t="n">
        <v>5259.83192647143</v>
      </c>
      <c r="V12" t="n">
        <v>5160.30659998878</v>
      </c>
      <c r="W12" t="n">
        <v>4734.5765327311</v>
      </c>
      <c r="X12" t="n">
        <v>4365.9904078475</v>
      </c>
      <c r="Y12" t="n">
        <v>4382.83369437051</v>
      </c>
      <c r="Z12" t="n">
        <v>4843.93691472175</v>
      </c>
      <c r="AA12" t="n">
        <v>5320.08154178122</v>
      </c>
      <c r="AB12" t="n">
        <v>5940.83328904414</v>
      </c>
      <c r="AC12" t="n">
        <v>6292.74141792537</v>
      </c>
      <c r="AD12" t="n">
        <v>5930.12499027767</v>
      </c>
      <c r="AE12" t="n">
        <v>5127</v>
      </c>
      <c r="AF12" t="n">
        <v>5995.1</v>
      </c>
    </row>
    <row r="13">
      <c r="A13" t="s">
        <v>69</v>
      </c>
      <c r="B13" t="s">
        <v>296</v>
      </c>
      <c r="C13" t="s">
        <v>246</v>
      </c>
      <c r="D13" t="s">
        <v>297</v>
      </c>
      <c r="E13" t="s">
        <v>247</v>
      </c>
      <c r="F13" t="n">
        <v>6401.75266948448</v>
      </c>
      <c r="G13" t="n">
        <v>6621.54316080633</v>
      </c>
      <c r="H13" t="n">
        <v>6075.88821509725</v>
      </c>
      <c r="I13" t="n">
        <v>7130.93584761863</v>
      </c>
      <c r="J13" t="n">
        <v>6958.36971669567</v>
      </c>
      <c r="K13" t="n">
        <v>7646.3732400099</v>
      </c>
      <c r="L13" t="n">
        <v>8146.01488324755</v>
      </c>
      <c r="M13" t="n">
        <v>8870.12417678302</v>
      </c>
      <c r="N13" t="n">
        <v>8108.57396958894</v>
      </c>
      <c r="O13" t="n">
        <v>8172.3817860475</v>
      </c>
      <c r="P13" t="n">
        <v>7416.88396607622</v>
      </c>
      <c r="Q13" t="n">
        <v>7538.57443463544</v>
      </c>
      <c r="R13" t="n">
        <v>8873.34801269253</v>
      </c>
      <c r="S13" t="n">
        <v>8468.27194435458</v>
      </c>
      <c r="T13" t="n">
        <v>7086.51723770297</v>
      </c>
      <c r="U13" t="n">
        <v>7649.34065956728</v>
      </c>
      <c r="V13" t="n">
        <v>7562.57297617594</v>
      </c>
      <c r="W13" t="n">
        <v>7225.86485382554</v>
      </c>
      <c r="X13" t="n">
        <v>6032.760039483</v>
      </c>
      <c r="Y13" t="n">
        <v>6695.60204115256</v>
      </c>
      <c r="Z13" t="n">
        <v>7286.78006901808</v>
      </c>
      <c r="AA13" t="n">
        <v>7062.3232443639</v>
      </c>
      <c r="AB13" t="n">
        <v>7586.01246799258</v>
      </c>
      <c r="AC13" t="n">
        <v>8603.50279452405</v>
      </c>
      <c r="AD13" t="n">
        <v>9125.81208975828</v>
      </c>
      <c r="AE13" t="n">
        <v>7583.1</v>
      </c>
      <c r="AF13" t="n">
        <v>9471.2</v>
      </c>
    </row>
    <row r="14">
      <c r="A14" t="s">
        <v>69</v>
      </c>
      <c r="B14" t="s">
        <v>298</v>
      </c>
      <c r="C14" t="s">
        <v>246</v>
      </c>
      <c r="D14" t="s">
        <v>299</v>
      </c>
      <c r="E14" t="s">
        <v>247</v>
      </c>
      <c r="F14" t="n">
        <v>3091.973240937</v>
      </c>
      <c r="G14" t="n">
        <v>2593.78829666114</v>
      </c>
      <c r="H14" t="n">
        <v>2058.1020235018</v>
      </c>
      <c r="I14" t="n">
        <v>3287.61751806131</v>
      </c>
      <c r="J14" t="n">
        <v>2937.57468093091</v>
      </c>
      <c r="K14" t="n">
        <v>2752.59977252819</v>
      </c>
      <c r="L14" t="n">
        <v>3551.20119435952</v>
      </c>
      <c r="M14" t="n">
        <v>2598.52623313123</v>
      </c>
      <c r="N14" t="n">
        <v>2832.75220050255</v>
      </c>
      <c r="O14" t="n">
        <v>2958.36713683105</v>
      </c>
      <c r="P14" t="n">
        <v>3146.22934963364</v>
      </c>
      <c r="Q14" t="n">
        <v>3246.32779714483</v>
      </c>
      <c r="R14" t="n">
        <v>3373.84733501595</v>
      </c>
      <c r="S14" t="n">
        <v>2801.31900824027</v>
      </c>
      <c r="T14" t="n">
        <v>3252.91430950688</v>
      </c>
      <c r="U14" t="n">
        <v>3283.97228532629</v>
      </c>
      <c r="V14" t="n">
        <v>3267.96187921804</v>
      </c>
      <c r="W14" t="n">
        <v>3061.19516104459</v>
      </c>
      <c r="X14" t="n">
        <v>2306.73960965088</v>
      </c>
      <c r="Y14" t="n">
        <v>2790.75626335819</v>
      </c>
      <c r="Z14" t="n">
        <v>2876.55503092674</v>
      </c>
      <c r="AA14" t="n">
        <v>2916.4673854899</v>
      </c>
      <c r="AB14" t="n">
        <v>3454.9856497246</v>
      </c>
      <c r="AC14" t="n">
        <v>3246.81590859162</v>
      </c>
      <c r="AD14" t="n">
        <v>3228.64004047113</v>
      </c>
      <c r="AE14" t="n">
        <v>3839.9</v>
      </c>
      <c r="AF14" t="n">
        <v>3757.1</v>
      </c>
    </row>
    <row r="15">
      <c r="A15" t="s">
        <v>69</v>
      </c>
      <c r="B15" t="s">
        <v>300</v>
      </c>
      <c r="C15" t="s">
        <v>246</v>
      </c>
      <c r="D15" t="s">
        <v>301</v>
      </c>
      <c r="E15" t="s">
        <v>247</v>
      </c>
      <c r="F15" t="n">
        <v>4362.11726924751</v>
      </c>
      <c r="G15" t="n">
        <v>5096.61242443486</v>
      </c>
      <c r="H15" t="n">
        <v>4308.94107811551</v>
      </c>
      <c r="I15" t="n">
        <v>5529.61124554125</v>
      </c>
      <c r="J15" t="n">
        <v>5420.85090852134</v>
      </c>
      <c r="K15" t="n">
        <v>5454.41615067175</v>
      </c>
      <c r="L15" t="n">
        <v>6487.21687410248</v>
      </c>
      <c r="M15" t="n">
        <v>5323.50440149773</v>
      </c>
      <c r="N15" t="n">
        <v>5436.30223132458</v>
      </c>
      <c r="O15" t="n">
        <v>5755.36527128722</v>
      </c>
      <c r="P15" t="n">
        <v>5865.24540512853</v>
      </c>
      <c r="Q15" t="n">
        <v>6070.88979416098</v>
      </c>
      <c r="R15" t="n">
        <v>6406.74205589695</v>
      </c>
      <c r="S15" t="n">
        <v>5632.18983641964</v>
      </c>
      <c r="T15" t="n">
        <v>5709.49929957884</v>
      </c>
      <c r="U15" t="n">
        <v>6010.75100039113</v>
      </c>
      <c r="V15" t="n">
        <v>6059.5653355543</v>
      </c>
      <c r="W15" t="n">
        <v>5255.51397641908</v>
      </c>
      <c r="X15" t="n">
        <v>4236.54354737399</v>
      </c>
      <c r="Y15" t="n">
        <v>4757.04164485808</v>
      </c>
      <c r="Z15" t="n">
        <v>4954.01216652326</v>
      </c>
      <c r="AA15" t="n">
        <v>5277.50940669133</v>
      </c>
      <c r="AB15" t="n">
        <v>6165.600334536</v>
      </c>
      <c r="AC15" t="n">
        <v>5965.23462184051</v>
      </c>
      <c r="AD15" t="n">
        <v>5968.77104265024</v>
      </c>
      <c r="AE15" t="n">
        <v>6224.9</v>
      </c>
      <c r="AF15" t="n">
        <v>6335</v>
      </c>
    </row>
    <row r="16">
      <c r="A16" t="s">
        <v>69</v>
      </c>
      <c r="B16" t="s">
        <v>302</v>
      </c>
      <c r="C16" t="s">
        <v>246</v>
      </c>
      <c r="D16" t="s">
        <v>303</v>
      </c>
      <c r="E16" t="s">
        <v>247</v>
      </c>
      <c r="F16" t="n">
        <v>1237.4633704351</v>
      </c>
      <c r="G16" t="n">
        <v>2506.9185160346</v>
      </c>
      <c r="H16" t="n">
        <v>2258.40382306612</v>
      </c>
      <c r="I16" t="n">
        <v>2233.28121792893</v>
      </c>
      <c r="J16" t="n">
        <v>2482.11622685844</v>
      </c>
      <c r="K16" t="n">
        <v>2705.12546378434</v>
      </c>
      <c r="L16" t="n">
        <v>2933.96510675808</v>
      </c>
      <c r="M16" t="n">
        <v>2729.18312045344</v>
      </c>
      <c r="N16" t="n">
        <v>2604.25657989657</v>
      </c>
      <c r="O16" t="n">
        <v>2798.49671154632</v>
      </c>
      <c r="P16" t="n">
        <v>2718.48595288462</v>
      </c>
      <c r="Q16" t="n">
        <v>2824.15517748523</v>
      </c>
      <c r="R16" t="n">
        <v>3033.25520930691</v>
      </c>
      <c r="S16" t="n">
        <v>2833.04586565161</v>
      </c>
      <c r="T16" t="n">
        <v>2455.50997947871</v>
      </c>
      <c r="U16" t="n">
        <v>2725.75130694132</v>
      </c>
      <c r="V16" t="n">
        <v>2790.3936304261</v>
      </c>
      <c r="W16" t="n">
        <v>2195.26790399161</v>
      </c>
      <c r="X16" t="n">
        <v>1928.70040902072</v>
      </c>
      <c r="Y16" t="n">
        <v>1966.22458355408</v>
      </c>
      <c r="Z16" t="n">
        <v>2077.39623260298</v>
      </c>
      <c r="AA16" t="n">
        <v>2361.08719909432</v>
      </c>
      <c r="AB16" t="n">
        <v>2710.80179424344</v>
      </c>
      <c r="AC16" t="n">
        <v>2718.43441558098</v>
      </c>
      <c r="AD16" t="n">
        <v>2740.17461046827</v>
      </c>
      <c r="AE16" t="n">
        <v>2385</v>
      </c>
      <c r="AF16" t="n">
        <v>2577.9</v>
      </c>
    </row>
    <row r="17">
      <c r="A17" t="s">
        <v>69</v>
      </c>
      <c r="B17" t="s">
        <v>304</v>
      </c>
      <c r="C17" t="s">
        <v>246</v>
      </c>
      <c r="D17" t="s">
        <v>305</v>
      </c>
      <c r="E17" t="s">
        <v>247</v>
      </c>
      <c r="F17" t="n">
        <v>3763.4798099998</v>
      </c>
      <c r="G17" t="n">
        <v>4177.15845320724</v>
      </c>
      <c r="H17" t="n">
        <v>4712.60281357405</v>
      </c>
      <c r="I17" t="n">
        <v>4110.05780129452</v>
      </c>
      <c r="J17" t="n">
        <v>5056.39458363025</v>
      </c>
      <c r="K17" t="n">
        <v>5541.30599712571</v>
      </c>
      <c r="L17" t="n">
        <v>5233.84307427867</v>
      </c>
      <c r="M17" t="n">
        <v>5665.2065017147</v>
      </c>
      <c r="N17" t="n">
        <v>4974.08168494788</v>
      </c>
      <c r="O17" t="n">
        <v>5195.1333649387</v>
      </c>
      <c r="P17" t="n">
        <v>5452.69787046272</v>
      </c>
      <c r="Q17" t="n">
        <v>5353.06634064269</v>
      </c>
      <c r="R17" t="n">
        <v>5563.3096515954</v>
      </c>
      <c r="S17" t="n">
        <v>5918.53631309836</v>
      </c>
      <c r="T17" t="n">
        <v>4588.87042102408</v>
      </c>
      <c r="U17" t="n">
        <v>5222.88743432871</v>
      </c>
      <c r="V17" t="n">
        <v>5365.64727742363</v>
      </c>
      <c r="W17" t="n">
        <v>5080.17262357049</v>
      </c>
      <c r="X17" t="n">
        <v>5179.67364852713</v>
      </c>
      <c r="Y17" t="n">
        <v>5568.34747513943</v>
      </c>
      <c r="Z17" t="n">
        <v>5978.13435919095</v>
      </c>
      <c r="AA17" t="n">
        <v>6483.71337413449</v>
      </c>
      <c r="AB17" t="n">
        <v>7017.891626849</v>
      </c>
      <c r="AC17" t="n">
        <v>8196.47347858399</v>
      </c>
      <c r="AD17" t="n">
        <v>6915.29382898967</v>
      </c>
      <c r="AE17" t="n">
        <v>6707.2</v>
      </c>
      <c r="AF17" t="n">
        <v>7237.6</v>
      </c>
    </row>
    <row r="18">
      <c r="A18" t="s">
        <v>69</v>
      </c>
      <c r="B18" t="s">
        <v>306</v>
      </c>
      <c r="C18" t="s">
        <v>246</v>
      </c>
      <c r="D18" t="s">
        <v>307</v>
      </c>
      <c r="E18" t="s">
        <v>247</v>
      </c>
      <c r="F18" t="n">
        <v>5963.6423438853</v>
      </c>
      <c r="G18" t="n">
        <v>6166.48102496821</v>
      </c>
      <c r="H18" t="n">
        <v>6733.01610569056</v>
      </c>
      <c r="I18" t="n">
        <v>6277.69791546981</v>
      </c>
      <c r="J18" t="n">
        <v>7068.25537138724</v>
      </c>
      <c r="K18" t="n">
        <v>7805.24523039931</v>
      </c>
      <c r="L18" t="n">
        <v>7665.98556003243</v>
      </c>
      <c r="M18" t="n">
        <v>8267.88822060948</v>
      </c>
      <c r="N18" t="n">
        <v>7424.45688634608</v>
      </c>
      <c r="O18" t="n">
        <v>7276.24071539603</v>
      </c>
      <c r="P18" t="n">
        <v>8407.49427921763</v>
      </c>
      <c r="Q18" t="n">
        <v>8661.69791066999</v>
      </c>
      <c r="R18" t="n">
        <v>7894.15731142719</v>
      </c>
      <c r="S18" t="n">
        <v>9026.70086354804</v>
      </c>
      <c r="T18" t="n">
        <v>7853.74034426086</v>
      </c>
      <c r="U18" t="n">
        <v>7837.42498123882</v>
      </c>
      <c r="V18" t="n">
        <v>8284.74607622109</v>
      </c>
      <c r="W18" t="n">
        <v>9057.49445055717</v>
      </c>
      <c r="X18" t="n">
        <v>9899.76226568263</v>
      </c>
      <c r="Y18" t="n">
        <v>9805.3080881472</v>
      </c>
      <c r="Z18" t="n">
        <v>11431.1686978902</v>
      </c>
      <c r="AA18" t="n">
        <v>12508.2857484073</v>
      </c>
      <c r="AB18" t="n">
        <v>10969.4883494249</v>
      </c>
      <c r="AC18" t="n">
        <v>11364.3996210784</v>
      </c>
      <c r="AD18" t="n">
        <v>11512.8888128718</v>
      </c>
      <c r="AE18" t="n">
        <v>10997.7</v>
      </c>
      <c r="AF18" t="n">
        <v>13248.5</v>
      </c>
    </row>
    <row r="19">
      <c r="A19" t="s">
        <v>69</v>
      </c>
      <c r="B19" t="s">
        <v>308</v>
      </c>
      <c r="C19" t="s">
        <v>246</v>
      </c>
      <c r="D19" t="s">
        <v>309</v>
      </c>
      <c r="E19" t="s">
        <v>247</v>
      </c>
      <c r="F19" t="n">
        <v>2728.41781828736</v>
      </c>
      <c r="G19" t="n">
        <v>2437.44650121023</v>
      </c>
      <c r="H19" t="n">
        <v>2672.34640875303</v>
      </c>
      <c r="I19" t="n">
        <v>2882.08823015343</v>
      </c>
      <c r="J19" t="n">
        <v>2700.82816256171</v>
      </c>
      <c r="K19" t="n">
        <v>3286.74235538799</v>
      </c>
      <c r="L19" t="n">
        <v>3232.7225025042</v>
      </c>
      <c r="M19" t="n">
        <v>3570.95326901587</v>
      </c>
      <c r="N19" t="n">
        <v>3280.51524607157</v>
      </c>
      <c r="O19" t="n">
        <v>3160.41535455394</v>
      </c>
      <c r="P19" t="n">
        <v>3052.7546755969</v>
      </c>
      <c r="Q19" t="n">
        <v>3329.08815467168</v>
      </c>
      <c r="R19" t="n">
        <v>3462.19679069936</v>
      </c>
      <c r="S19" t="n">
        <v>3031.45742414007</v>
      </c>
      <c r="T19" t="n">
        <v>2934.88623483934</v>
      </c>
      <c r="U19" t="n">
        <v>2882.6385469546</v>
      </c>
      <c r="V19" t="n">
        <v>2870.43214347964</v>
      </c>
      <c r="W19" t="n">
        <v>2219.27755530682</v>
      </c>
      <c r="X19" t="n">
        <v>2134.08018231681</v>
      </c>
      <c r="Y19" t="n">
        <v>2254.50013965805</v>
      </c>
      <c r="Z19" t="n">
        <v>2364.30836563835</v>
      </c>
      <c r="AA19" t="n">
        <v>2851.77572608057</v>
      </c>
      <c r="AB19" t="n">
        <v>2953.42743460228</v>
      </c>
      <c r="AC19" t="n">
        <v>3128.34152327972</v>
      </c>
      <c r="AD19" t="n">
        <v>3350.91888416076</v>
      </c>
      <c r="AE19" t="n">
        <v>3159.6</v>
      </c>
      <c r="AF19" t="n">
        <v>3413.3</v>
      </c>
    </row>
    <row r="20">
      <c r="A20" t="s">
        <v>69</v>
      </c>
      <c r="B20" t="s">
        <v>310</v>
      </c>
      <c r="C20" t="s">
        <v>246</v>
      </c>
      <c r="D20" t="s">
        <v>311</v>
      </c>
      <c r="E20" t="s">
        <v>247</v>
      </c>
      <c r="F20" t="n">
        <v>15981.5681151443</v>
      </c>
      <c r="G20" t="n">
        <v>17389.5191118147</v>
      </c>
      <c r="H20" t="n">
        <v>17373.7044676812</v>
      </c>
      <c r="I20" t="n">
        <v>19330.5399481817</v>
      </c>
      <c r="J20" t="n">
        <v>19619.6816473128</v>
      </c>
      <c r="K20" t="n">
        <v>19950.8864105808</v>
      </c>
      <c r="L20" t="n">
        <v>20216.9184879753</v>
      </c>
      <c r="M20" t="n">
        <v>21823.6973360613</v>
      </c>
      <c r="N20" t="n">
        <v>24640.4403061504</v>
      </c>
      <c r="O20" t="n">
        <v>21543.5543660332</v>
      </c>
      <c r="P20" t="n">
        <v>20664.2154833153</v>
      </c>
      <c r="Q20" t="n">
        <v>20837.5744176132</v>
      </c>
      <c r="R20" t="n">
        <v>22815.0369226492</v>
      </c>
      <c r="S20" t="n">
        <v>24344.296568933</v>
      </c>
      <c r="T20" t="n">
        <v>18773.8503111099</v>
      </c>
      <c r="U20" t="n">
        <v>13994.6615137326</v>
      </c>
      <c r="V20" t="n">
        <v>17691.3138409661</v>
      </c>
      <c r="W20" t="n">
        <v>13520.7340054743</v>
      </c>
      <c r="X20" t="n">
        <v>15502.8590109337</v>
      </c>
      <c r="Y20" t="n">
        <v>12500.548398682</v>
      </c>
      <c r="Z20" t="n">
        <v>9713.33208398188</v>
      </c>
      <c r="AA20" t="n">
        <v>11960.2703246601</v>
      </c>
      <c r="AB20" t="n">
        <v>9952.46450814427</v>
      </c>
      <c r="AC20" t="n">
        <v>10692.7414123432</v>
      </c>
      <c r="AD20" t="n">
        <v>12027.2537988119</v>
      </c>
      <c r="AE20" t="n">
        <v>11227.6</v>
      </c>
      <c r="AF20" t="n">
        <v>13085.5</v>
      </c>
    </row>
    <row r="21">
      <c r="A21" t="s">
        <v>69</v>
      </c>
      <c r="B21" t="s">
        <v>312</v>
      </c>
      <c r="C21" t="s">
        <v>246</v>
      </c>
      <c r="D21" t="s">
        <v>313</v>
      </c>
      <c r="E21" t="s">
        <v>247</v>
      </c>
      <c r="F21" t="n">
        <v>19454.3239841049</v>
      </c>
      <c r="G21" t="n">
        <v>20806.8625570908</v>
      </c>
      <c r="H21" t="n">
        <v>21193.9900438868</v>
      </c>
      <c r="I21" t="n">
        <v>23536.7814816061</v>
      </c>
      <c r="J21" t="n">
        <v>24077.8975060908</v>
      </c>
      <c r="K21" t="n">
        <v>24432.8936034575</v>
      </c>
      <c r="L21" t="n">
        <v>25162.4986104915</v>
      </c>
      <c r="M21" t="n">
        <v>26780.3270796489</v>
      </c>
      <c r="N21" t="n">
        <v>29968.8405143193</v>
      </c>
      <c r="O21" t="n">
        <v>26882.5789416703</v>
      </c>
      <c r="P21" t="n">
        <v>25345.7763263749</v>
      </c>
      <c r="Q21" t="n">
        <v>26345.6560200631</v>
      </c>
      <c r="R21" t="n">
        <v>28046.6329131234</v>
      </c>
      <c r="S21" t="n">
        <v>28992.0623836072</v>
      </c>
      <c r="T21" t="n">
        <v>23115.0888206978</v>
      </c>
      <c r="U21" t="n">
        <v>18648.9978531755</v>
      </c>
      <c r="V21" t="n">
        <v>22373.217020199</v>
      </c>
      <c r="W21" t="n">
        <v>18460.0787018988</v>
      </c>
      <c r="X21" t="n">
        <v>19430.982038292</v>
      </c>
      <c r="Y21" t="n">
        <v>16310.8163192349</v>
      </c>
      <c r="Z21" t="n">
        <v>14271.97715079</v>
      </c>
      <c r="AA21" t="n">
        <v>16879.4977920453</v>
      </c>
      <c r="AB21" t="n">
        <v>15620.7924832362</v>
      </c>
      <c r="AC21" t="n">
        <v>16405.8506026375</v>
      </c>
      <c r="AD21" t="n">
        <v>18078.0141270917</v>
      </c>
      <c r="AE21" t="n">
        <v>16675.9</v>
      </c>
      <c r="AF21" t="n">
        <v>19971</v>
      </c>
    </row>
    <row r="22">
      <c r="A22" t="s">
        <v>69</v>
      </c>
      <c r="B22" t="s">
        <v>314</v>
      </c>
      <c r="C22" t="s">
        <v>246</v>
      </c>
      <c r="D22" t="s">
        <v>315</v>
      </c>
      <c r="E22" t="s">
        <v>247</v>
      </c>
      <c r="F22" t="n">
        <v>3461.55901054518</v>
      </c>
      <c r="G22" t="n">
        <v>3411.07243801793</v>
      </c>
      <c r="H22" t="n">
        <v>3805.45403933258</v>
      </c>
      <c r="I22" t="n">
        <v>4190.52974569361</v>
      </c>
      <c r="J22" t="n">
        <v>4438.62040993192</v>
      </c>
      <c r="K22" t="n">
        <v>4463.18534685137</v>
      </c>
      <c r="L22" t="n">
        <v>4917.89246714332</v>
      </c>
      <c r="M22" t="n">
        <v>4935.06314713255</v>
      </c>
      <c r="N22" t="n">
        <v>5309.42783572815</v>
      </c>
      <c r="O22" t="n">
        <v>5311.94642015761</v>
      </c>
      <c r="P22" t="n">
        <v>4660.14450024497</v>
      </c>
      <c r="Q22" t="n">
        <v>5481.76578465275</v>
      </c>
      <c r="R22" t="n">
        <v>5205.93596787798</v>
      </c>
      <c r="S22" t="n">
        <v>4623.25783937501</v>
      </c>
      <c r="T22" t="n">
        <v>4321.21534665384</v>
      </c>
      <c r="U22" t="n">
        <v>4642.99275958622</v>
      </c>
      <c r="V22" t="n">
        <v>4663.21118042414</v>
      </c>
      <c r="W22" t="n">
        <v>4935.3875319039</v>
      </c>
      <c r="X22" t="n">
        <v>3919.39619437625</v>
      </c>
      <c r="Y22" t="n">
        <v>3804.60692749928</v>
      </c>
      <c r="Z22" t="n">
        <v>4556.37226283078</v>
      </c>
      <c r="AA22" t="n">
        <v>4917.82112556026</v>
      </c>
      <c r="AB22" t="n">
        <v>5668.36620932798</v>
      </c>
      <c r="AC22" t="n">
        <v>5713.45502335391</v>
      </c>
      <c r="AD22" t="n">
        <v>6050.03528594159</v>
      </c>
      <c r="AE22" t="n">
        <v>5448.3</v>
      </c>
      <c r="AF22" t="n">
        <v>6885.5</v>
      </c>
    </row>
    <row r="23">
      <c r="A23" t="s">
        <v>69</v>
      </c>
      <c r="B23" t="s">
        <v>316</v>
      </c>
      <c r="C23" t="s">
        <v>246</v>
      </c>
      <c r="D23" t="s">
        <v>317</v>
      </c>
      <c r="E23" t="s">
        <v>247</v>
      </c>
      <c r="F23" t="n">
        <v>6945.09543224671</v>
      </c>
      <c r="G23" t="n">
        <v>6228.8317963257</v>
      </c>
      <c r="H23" t="n">
        <v>6741.48641754013</v>
      </c>
      <c r="I23" t="n">
        <v>8870.30225580565</v>
      </c>
      <c r="J23" t="n">
        <v>6993.18957846572</v>
      </c>
      <c r="K23" t="n">
        <v>8365.70347407978</v>
      </c>
      <c r="L23" t="n">
        <v>9320.05141286094</v>
      </c>
      <c r="M23" t="n">
        <v>9414.6276902181</v>
      </c>
      <c r="N23" t="n">
        <v>10099.7694471439</v>
      </c>
      <c r="O23" t="n">
        <v>8582.98596768257</v>
      </c>
      <c r="P23" t="n">
        <v>9192.06149765242</v>
      </c>
      <c r="Q23" t="n">
        <v>10009.5112981624</v>
      </c>
      <c r="R23" t="n">
        <v>10517.062555898</v>
      </c>
      <c r="S23" t="n">
        <v>9531.04388386005</v>
      </c>
      <c r="T23" t="n">
        <v>7085.4019275554</v>
      </c>
      <c r="U23" t="n">
        <v>8583.1600309288</v>
      </c>
      <c r="V23" t="n">
        <v>8413.66479266017</v>
      </c>
      <c r="W23" t="n">
        <v>5963.04648092893</v>
      </c>
      <c r="X23" t="n">
        <v>5197.32879785594</v>
      </c>
      <c r="Y23" t="n">
        <v>5421.32278325988</v>
      </c>
      <c r="Z23" t="n">
        <v>5653.83061228787</v>
      </c>
      <c r="AA23" t="n">
        <v>6280.5019726998</v>
      </c>
      <c r="AB23" t="n">
        <v>8148.73044634006</v>
      </c>
      <c r="AC23" t="n">
        <v>6792.4331568431</v>
      </c>
      <c r="AD23" t="n">
        <v>7248.57129099353</v>
      </c>
      <c r="AE23" t="n">
        <v>6954.8</v>
      </c>
      <c r="AF23" t="n">
        <v>8223.8</v>
      </c>
    </row>
    <row r="24">
      <c r="A24" t="s">
        <v>69</v>
      </c>
      <c r="B24" t="s">
        <v>318</v>
      </c>
      <c r="C24" t="s">
        <v>246</v>
      </c>
      <c r="D24" t="s">
        <v>319</v>
      </c>
      <c r="E24" t="s">
        <v>247</v>
      </c>
      <c r="F24" t="n">
        <v>15041.5358423125</v>
      </c>
      <c r="G24" t="n">
        <v>16019.0345205974</v>
      </c>
      <c r="H24" t="n">
        <v>17817.3251101496</v>
      </c>
      <c r="I24" t="n">
        <v>17238.9775153716</v>
      </c>
      <c r="J24" t="n">
        <v>19637.1983979756</v>
      </c>
      <c r="K24" t="n">
        <v>20773.8277948289</v>
      </c>
      <c r="L24" t="n">
        <v>20611.7728155417</v>
      </c>
      <c r="M24" t="n">
        <v>22266.4611705084</v>
      </c>
      <c r="N24" t="n">
        <v>20454.4878140817</v>
      </c>
      <c r="O24" t="n">
        <v>21898.3131605492</v>
      </c>
      <c r="P24" t="n">
        <v>21902.1562774752</v>
      </c>
      <c r="Q24" t="n">
        <v>23088.8079314162</v>
      </c>
      <c r="R24" t="n">
        <v>23584.8326620433</v>
      </c>
      <c r="S24" t="n">
        <v>20040.8212927391</v>
      </c>
      <c r="T24" t="n">
        <v>17898.4552081584</v>
      </c>
      <c r="U24" t="n">
        <v>18907.1275905566</v>
      </c>
      <c r="V24" t="n">
        <v>19667.8714987519</v>
      </c>
      <c r="W24" t="n">
        <v>15281.4914773167</v>
      </c>
      <c r="X24" t="n">
        <v>15540.6859422641</v>
      </c>
      <c r="Y24" t="n">
        <v>14617.8906508308</v>
      </c>
      <c r="Z24" t="n">
        <v>15812.2002785268</v>
      </c>
      <c r="AA24" t="n">
        <v>18937.9792778637</v>
      </c>
      <c r="AB24" t="n">
        <v>20098.5330704901</v>
      </c>
      <c r="AC24" t="n">
        <v>21054.0351109495</v>
      </c>
      <c r="AD24" t="n">
        <v>19934.8757008112</v>
      </c>
      <c r="AE24" t="n">
        <v>17317.7</v>
      </c>
      <c r="AF24" t="n">
        <v>18757.8</v>
      </c>
    </row>
    <row r="25">
      <c r="A25" t="s">
        <v>69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69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69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69</v>
      </c>
      <c r="B28" t="s">
        <v>326</v>
      </c>
      <c r="C28" t="s">
        <v>246</v>
      </c>
      <c r="D28" t="s">
        <v>327</v>
      </c>
      <c r="E28" t="s">
        <v>247</v>
      </c>
      <c r="F28" t="n">
        <v>21955.4090000935</v>
      </c>
      <c r="G28" t="n">
        <v>21520.5402441446</v>
      </c>
      <c r="H28" t="n">
        <v>23215.548274302</v>
      </c>
      <c r="I28" t="n">
        <v>22857.091092665</v>
      </c>
      <c r="J28" t="n">
        <v>25299.1534270295</v>
      </c>
      <c r="K28" t="n">
        <v>26972.5056785632</v>
      </c>
      <c r="L28" t="n">
        <v>27217.7951640477</v>
      </c>
      <c r="M28" t="n">
        <v>30724.0117722317</v>
      </c>
      <c r="N28" t="n">
        <v>28558.1911673232</v>
      </c>
      <c r="O28" t="n">
        <v>31491.4907221434</v>
      </c>
      <c r="P28" t="n">
        <v>32894.6316079079</v>
      </c>
      <c r="Q28" t="n">
        <v>33213.4589401275</v>
      </c>
      <c r="R28" t="n">
        <v>32312.9649476953</v>
      </c>
      <c r="S28" t="n">
        <v>30983.3060148657</v>
      </c>
      <c r="T28" t="n">
        <v>29205.5189140772</v>
      </c>
      <c r="U28" t="n">
        <v>29049.6161795343</v>
      </c>
      <c r="V28" t="n">
        <v>29154.3094504736</v>
      </c>
      <c r="W28" t="n">
        <v>23738.7373829537</v>
      </c>
      <c r="X28" t="n">
        <v>19860.6453427996</v>
      </c>
      <c r="Y28" t="n">
        <v>19864.5919023167</v>
      </c>
      <c r="Z28" t="n">
        <v>23172.3027690293</v>
      </c>
      <c r="AA28" t="n">
        <v>22842.0386108634</v>
      </c>
      <c r="AB28" t="n">
        <v>20090.4135753285</v>
      </c>
      <c r="AC28" t="n">
        <v>22641.1709242205</v>
      </c>
      <c r="AD28" t="n">
        <v>23441.5630975361</v>
      </c>
      <c r="AE28" t="n">
        <v>21970.6</v>
      </c>
      <c r="AF28" t="n">
        <v>27300</v>
      </c>
    </row>
    <row r="29">
      <c r="A29" t="s">
        <v>69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69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69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69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69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69</v>
      </c>
      <c r="B34" t="s">
        <v>338</v>
      </c>
      <c r="C34" t="s">
        <v>246</v>
      </c>
      <c r="D34" t="s">
        <v>339</v>
      </c>
      <c r="E34" t="s">
        <v>247</v>
      </c>
      <c r="F34" t="n">
        <v>7096.85619163252</v>
      </c>
      <c r="G34" t="n">
        <v>7528.46419550132</v>
      </c>
      <c r="H34" t="n">
        <v>5829.61845937893</v>
      </c>
      <c r="I34" t="n">
        <v>7328.08525544311</v>
      </c>
      <c r="J34" t="n">
        <v>7146.17645711394</v>
      </c>
      <c r="K34" t="n">
        <v>9169.61172742181</v>
      </c>
      <c r="L34" t="n">
        <v>9964.93219803647</v>
      </c>
      <c r="M34" t="n">
        <v>8427.37923359072</v>
      </c>
      <c r="N34" t="n">
        <v>8909.27973647631</v>
      </c>
      <c r="O34" t="n">
        <v>9317.23641343416</v>
      </c>
      <c r="P34" t="n">
        <v>9190.68501057793</v>
      </c>
      <c r="Q34" t="n">
        <v>9810.58652619206</v>
      </c>
      <c r="R34" t="n">
        <v>10030.3396510214</v>
      </c>
      <c r="S34" t="n">
        <v>10217.0798532469</v>
      </c>
      <c r="T34" t="n">
        <v>7783.289587368</v>
      </c>
      <c r="U34" t="n">
        <v>8369.14640588628</v>
      </c>
      <c r="V34" t="n">
        <v>8644.74102059867</v>
      </c>
      <c r="W34" t="n">
        <v>5939.92237393096</v>
      </c>
      <c r="X34" t="n">
        <v>4588.97351147617</v>
      </c>
      <c r="Y34" t="n">
        <v>4784.84737270103</v>
      </c>
      <c r="Z34" t="n">
        <v>5515.64644848761</v>
      </c>
      <c r="AA34" t="n">
        <v>4988.83534174525</v>
      </c>
      <c r="AB34" t="n">
        <v>6225.04720052371</v>
      </c>
      <c r="AC34" t="n">
        <v>5617.38963068881</v>
      </c>
      <c r="AD34" t="n">
        <v>5368.95890784536</v>
      </c>
      <c r="AE34" t="n">
        <v>4554.3</v>
      </c>
      <c r="AF34" t="n">
        <v>6050.6</v>
      </c>
    </row>
    <row r="35">
      <c r="A35" t="s">
        <v>69</v>
      </c>
      <c r="B35" t="s">
        <v>340</v>
      </c>
      <c r="C35" t="s">
        <v>246</v>
      </c>
      <c r="D35" t="s">
        <v>341</v>
      </c>
      <c r="E35" t="s">
        <v>247</v>
      </c>
      <c r="F35" t="n">
        <v>10289.4079649892</v>
      </c>
      <c r="G35" t="n">
        <v>11695.5345739318</v>
      </c>
      <c r="H35" t="n">
        <v>12839.3048349741</v>
      </c>
      <c r="I35" t="n">
        <v>12291.2899461863</v>
      </c>
      <c r="J35" t="n">
        <v>13295.7829708314</v>
      </c>
      <c r="K35" t="n">
        <v>14577.6613623655</v>
      </c>
      <c r="L35" t="n">
        <v>13775.4187292096</v>
      </c>
      <c r="M35" t="n">
        <v>14336.4388995694</v>
      </c>
      <c r="N35" t="n">
        <v>14058.727619499</v>
      </c>
      <c r="O35" t="n">
        <v>13794.9596745619</v>
      </c>
      <c r="P35" t="n">
        <v>15388.9075279519</v>
      </c>
      <c r="Q35" t="n">
        <v>13935.6424656588</v>
      </c>
      <c r="R35" t="n">
        <v>15105.3816233896</v>
      </c>
      <c r="S35" t="n">
        <v>14277.0157709197</v>
      </c>
      <c r="T35" t="n">
        <v>12689.2506587746</v>
      </c>
      <c r="U35" t="n">
        <v>14549.5520806902</v>
      </c>
      <c r="V35" t="n">
        <v>14472.2044337374</v>
      </c>
      <c r="W35" t="n">
        <v>16023.9093023624</v>
      </c>
      <c r="X35" t="n">
        <v>15941.3915846804</v>
      </c>
      <c r="Y35" t="n">
        <v>16617.3138536821</v>
      </c>
      <c r="Z35" t="n">
        <v>18934.5705569746</v>
      </c>
      <c r="AA35" t="n">
        <v>18755.1687511618</v>
      </c>
      <c r="AB35" t="n">
        <v>20143.2966979514</v>
      </c>
      <c r="AC35" t="n">
        <v>19330.5075587706</v>
      </c>
      <c r="AD35" t="n">
        <v>19133.2788375258</v>
      </c>
      <c r="AE35" t="n">
        <v>20270.5</v>
      </c>
      <c r="AF35" t="n">
        <v>19013.9</v>
      </c>
    </row>
    <row r="36">
      <c r="A36" t="s">
        <v>69</v>
      </c>
      <c r="B36" t="s">
        <v>342</v>
      </c>
      <c r="C36" t="s">
        <v>246</v>
      </c>
      <c r="D36" t="s">
        <v>343</v>
      </c>
      <c r="E36" t="s">
        <v>247</v>
      </c>
      <c r="F36" t="n">
        <v>2099.1393139381</v>
      </c>
      <c r="G36" t="n">
        <v>2181.87680477623</v>
      </c>
      <c r="H36" t="n">
        <v>2601.77393326592</v>
      </c>
      <c r="I36" t="n">
        <v>2556.06577030228</v>
      </c>
      <c r="J36" t="n">
        <v>2859.73650258372</v>
      </c>
      <c r="K36" t="n">
        <v>2932.62589622537</v>
      </c>
      <c r="L36" t="n">
        <v>2677.24880357155</v>
      </c>
      <c r="M36" t="n">
        <v>3403.83358688881</v>
      </c>
      <c r="N36" t="n">
        <v>2855.13311858929</v>
      </c>
      <c r="O36" t="n">
        <v>2966.45368457978</v>
      </c>
      <c r="P36" t="n">
        <v>3194.77958510258</v>
      </c>
      <c r="Q36" t="n">
        <v>2877.8780617416</v>
      </c>
      <c r="R36" t="n">
        <v>3218.26366700768</v>
      </c>
      <c r="S36" t="n">
        <v>3459.19313971148</v>
      </c>
      <c r="T36" t="n">
        <v>2760.33446259272</v>
      </c>
      <c r="U36" t="n">
        <v>3518.96909977869</v>
      </c>
      <c r="V36" t="n">
        <v>3408.22836251205</v>
      </c>
      <c r="W36" t="n">
        <v>4017.99887219489</v>
      </c>
      <c r="X36" t="n">
        <v>2937.38554204688</v>
      </c>
      <c r="Y36" t="n">
        <v>2548.5329330562</v>
      </c>
      <c r="Z36" t="n">
        <v>2555.68940271194</v>
      </c>
      <c r="AA36" t="n">
        <v>3226.83889156875</v>
      </c>
      <c r="AB36" t="n">
        <v>2967.63698383639</v>
      </c>
      <c r="AC36" t="n">
        <v>3105.70444157902</v>
      </c>
      <c r="AD36" t="n">
        <v>2686.80156202261</v>
      </c>
      <c r="AE36" t="n">
        <v>2627.3</v>
      </c>
      <c r="AF36" t="n">
        <v>2934.1</v>
      </c>
    </row>
    <row r="37">
      <c r="A37" t="s">
        <v>69</v>
      </c>
      <c r="B37" t="s">
        <v>344</v>
      </c>
      <c r="C37" t="s">
        <v>246</v>
      </c>
      <c r="D37" t="s">
        <v>345</v>
      </c>
      <c r="E37" t="s">
        <v>247</v>
      </c>
      <c r="F37" t="n">
        <v>5216.47807033731</v>
      </c>
      <c r="G37" t="n">
        <v>5970.13877834688</v>
      </c>
      <c r="H37" t="n">
        <v>6534.69714665229</v>
      </c>
      <c r="I37" t="n">
        <v>6115.65542022876</v>
      </c>
      <c r="J37" t="n">
        <v>6387.75312689134</v>
      </c>
      <c r="K37" t="n">
        <v>8086.37375711171</v>
      </c>
      <c r="L37" t="n">
        <v>7049.9362906932</v>
      </c>
      <c r="M37" t="n">
        <v>7066.07204689859</v>
      </c>
      <c r="N37" t="n">
        <v>6071.64997132486</v>
      </c>
      <c r="O37" t="n">
        <v>6682.01008705678</v>
      </c>
      <c r="P37" t="n">
        <v>7863.64864351268</v>
      </c>
      <c r="Q37" t="n">
        <v>6963.25721783101</v>
      </c>
      <c r="R37" t="n">
        <v>7199.58347393442</v>
      </c>
      <c r="S37" t="n">
        <v>7089.4127068519</v>
      </c>
      <c r="T37" t="n">
        <v>5993.62573539367</v>
      </c>
      <c r="U37" t="n">
        <v>6971.50745788994</v>
      </c>
      <c r="V37" t="n">
        <v>7108.30684951646</v>
      </c>
      <c r="W37" t="n">
        <v>8280.83036073337</v>
      </c>
      <c r="X37" t="n">
        <v>8343.65479262505</v>
      </c>
      <c r="Y37" t="n">
        <v>9878.4286827022</v>
      </c>
      <c r="Z37" t="n">
        <v>10978.520893478</v>
      </c>
      <c r="AA37" t="n">
        <v>10223.6549627841</v>
      </c>
      <c r="AB37" t="n">
        <v>11153.3794454696</v>
      </c>
      <c r="AC37" t="n">
        <v>10535.4812005489</v>
      </c>
      <c r="AD37" t="n">
        <v>10557.074787459</v>
      </c>
      <c r="AE37" t="n">
        <v>11112</v>
      </c>
      <c r="AF37" t="n">
        <v>9347.5</v>
      </c>
    </row>
    <row r="38">
      <c r="A38" t="s">
        <v>69</v>
      </c>
      <c r="B38" t="s">
        <v>346</v>
      </c>
      <c r="C38" t="s">
        <v>246</v>
      </c>
      <c r="D38" t="s">
        <v>347</v>
      </c>
      <c r="E38" t="s">
        <v>247</v>
      </c>
      <c r="F38" t="n">
        <v>3011.80693840554</v>
      </c>
      <c r="G38" t="n">
        <v>3616.82658463776</v>
      </c>
      <c r="H38" t="n">
        <v>3749.82862210635</v>
      </c>
      <c r="I38" t="n">
        <v>3670.42435415333</v>
      </c>
      <c r="J38" t="n">
        <v>4111.78483710647</v>
      </c>
      <c r="K38" t="n">
        <v>3568.94127559621</v>
      </c>
      <c r="L38" t="n">
        <v>4119.42034546415</v>
      </c>
      <c r="M38" t="n">
        <v>3887.33219858433</v>
      </c>
      <c r="N38" t="n">
        <v>5274.09232934817</v>
      </c>
      <c r="O38" t="n">
        <v>4212.05862984221</v>
      </c>
      <c r="P38" t="n">
        <v>4388.450289969</v>
      </c>
      <c r="Q38" t="n">
        <v>4157.34356953014</v>
      </c>
      <c r="R38" t="n">
        <v>4763.16521075963</v>
      </c>
      <c r="S38" t="n">
        <v>3767.39138427728</v>
      </c>
      <c r="T38" t="n">
        <v>3991.51819666248</v>
      </c>
      <c r="U38" t="n">
        <v>4115.72945730517</v>
      </c>
      <c r="V38" t="n">
        <v>4008.23279921432</v>
      </c>
      <c r="W38" t="n">
        <v>3784.69445265475</v>
      </c>
      <c r="X38" t="n">
        <v>4684.07394688147</v>
      </c>
      <c r="Y38" t="n">
        <v>4200.9141946902</v>
      </c>
      <c r="Z38" t="n">
        <v>5398.13712004979</v>
      </c>
      <c r="AA38" t="n">
        <v>5318.81635064193</v>
      </c>
      <c r="AB38" t="n">
        <v>6024.55054704716</v>
      </c>
      <c r="AC38" t="n">
        <v>5695.66220837658</v>
      </c>
      <c r="AD38" t="n">
        <v>5890.81587490647</v>
      </c>
      <c r="AE38" t="n">
        <v>6531.2</v>
      </c>
      <c r="AF38" t="n">
        <v>6732.3</v>
      </c>
    </row>
    <row r="39">
      <c r="A39" t="s">
        <v>69</v>
      </c>
      <c r="B39" t="s">
        <v>348</v>
      </c>
      <c r="C39" t="s">
        <v>246</v>
      </c>
      <c r="D39" t="s">
        <v>349</v>
      </c>
      <c r="E39" t="s">
        <v>247</v>
      </c>
      <c r="F39" t="n">
        <v>6092.78187056121</v>
      </c>
      <c r="G39" t="n">
        <v>6483.2449025891</v>
      </c>
      <c r="H39" t="n">
        <v>6422.13278758206</v>
      </c>
      <c r="I39" t="n">
        <v>7249.0303186494</v>
      </c>
      <c r="J39" t="n">
        <v>5437.28934605081</v>
      </c>
      <c r="K39" t="n">
        <v>6141.83987391743</v>
      </c>
      <c r="L39" t="n">
        <v>6539.25956217576</v>
      </c>
      <c r="M39" t="n">
        <v>6996.02790919001</v>
      </c>
      <c r="N39" t="n">
        <v>5695.23255289207</v>
      </c>
      <c r="O39" t="n">
        <v>6340.74075061902</v>
      </c>
      <c r="P39" t="n">
        <v>5251.46484261206</v>
      </c>
      <c r="Q39" t="n">
        <v>5523.34056481049</v>
      </c>
      <c r="R39" t="n">
        <v>6098.41098781468</v>
      </c>
      <c r="S39" t="n">
        <v>6637.85664809359</v>
      </c>
      <c r="T39" t="n">
        <v>5007.97731114893</v>
      </c>
      <c r="U39" t="n">
        <v>6068.78038690954</v>
      </c>
      <c r="V39" t="n">
        <v>4944.13829398324</v>
      </c>
      <c r="W39" t="n">
        <v>4188.02728183021</v>
      </c>
      <c r="X39" t="n">
        <v>4229.05975141661</v>
      </c>
      <c r="Y39" t="n">
        <v>4575.82721205972</v>
      </c>
      <c r="Z39" t="n">
        <v>5121.82567016516</v>
      </c>
      <c r="AA39" t="n">
        <v>5428.28449189541</v>
      </c>
      <c r="AB39" t="n">
        <v>6639.30648284255</v>
      </c>
      <c r="AC39" t="n">
        <v>6653.43970466843</v>
      </c>
      <c r="AD39" t="n">
        <v>7592.27718562874</v>
      </c>
      <c r="AE39" t="n">
        <v>7504.5</v>
      </c>
      <c r="AF39" t="n">
        <v>8453.9</v>
      </c>
    </row>
    <row r="40">
      <c r="A40" t="s">
        <v>69</v>
      </c>
      <c r="B40" t="s">
        <v>350</v>
      </c>
      <c r="C40" t="s">
        <v>246</v>
      </c>
      <c r="D40" t="s">
        <v>351</v>
      </c>
      <c r="E40" t="s">
        <v>247</v>
      </c>
      <c r="F40" t="n">
        <v>99218.6896029182</v>
      </c>
      <c r="G40" t="n">
        <v>99560.4571890147</v>
      </c>
      <c r="H40" t="n">
        <v>98516.8845383356</v>
      </c>
      <c r="I40" t="n">
        <v>97405.8909940528</v>
      </c>
      <c r="J40" t="n">
        <v>100996.198529691</v>
      </c>
      <c r="K40" t="n">
        <v>105058.789701599</v>
      </c>
      <c r="L40" t="n">
        <v>107045.697080721</v>
      </c>
      <c r="M40" t="n">
        <v>110923.109303822</v>
      </c>
      <c r="N40" t="n">
        <v>113164.042017484</v>
      </c>
      <c r="O40" t="n">
        <v>114854.350433801</v>
      </c>
      <c r="P40" t="n">
        <v>122247.341502536</v>
      </c>
      <c r="Q40" t="n">
        <v>127038.952270269</v>
      </c>
      <c r="R40" t="n">
        <v>128370.031053548</v>
      </c>
      <c r="S40" t="n">
        <v>124731.402549988</v>
      </c>
      <c r="T40" t="n">
        <v>111714.082091693</v>
      </c>
      <c r="U40" t="n">
        <v>111560.360837488</v>
      </c>
      <c r="V40" t="n">
        <v>105015.702994685</v>
      </c>
      <c r="W40" t="n">
        <v>96978.7793238352</v>
      </c>
      <c r="X40" t="n">
        <v>90788.3363134947</v>
      </c>
      <c r="Y40" t="n">
        <v>84831.374619598</v>
      </c>
      <c r="Z40" t="n">
        <v>79968.3004791875</v>
      </c>
      <c r="AA40" t="n">
        <v>81273.8132559513</v>
      </c>
      <c r="AB40" t="n">
        <v>83727.6277898741</v>
      </c>
      <c r="AC40" t="n">
        <v>85255.0730297098</v>
      </c>
      <c r="AD40" t="n">
        <v>86204.295415212</v>
      </c>
      <c r="AE40" t="n">
        <v>78690.1</v>
      </c>
      <c r="AF40" t="n">
        <v>114272.6</v>
      </c>
    </row>
    <row r="41">
      <c r="A41" t="s">
        <v>69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/>
      <c r="X41"/>
      <c r="Y41"/>
      <c r="Z41"/>
      <c r="AA41"/>
      <c r="AB41"/>
      <c r="AC41"/>
      <c r="AD41"/>
      <c r="AE41"/>
      <c r="AF41"/>
    </row>
    <row r="42">
      <c r="A42" t="s">
        <v>69</v>
      </c>
      <c r="B42" t="s">
        <v>354</v>
      </c>
      <c r="C42" t="s">
        <v>246</v>
      </c>
      <c r="D42" t="s">
        <v>355</v>
      </c>
      <c r="E42" t="s">
        <v>247</v>
      </c>
      <c r="F42" t="n">
        <v>9220.7070829178</v>
      </c>
      <c r="G42" t="n">
        <v>9965.76754611185</v>
      </c>
      <c r="H42" t="n">
        <v>10507.3678788065</v>
      </c>
      <c r="I42" t="n">
        <v>10789.6253250083</v>
      </c>
      <c r="J42" t="n">
        <v>11726.1114463512</v>
      </c>
      <c r="K42" t="n">
        <v>13146.621036601</v>
      </c>
      <c r="L42" t="n">
        <v>13450.1972531215</v>
      </c>
      <c r="M42" t="n">
        <v>13540.1809671389</v>
      </c>
      <c r="N42" t="n">
        <v>13186.8632060027</v>
      </c>
      <c r="O42" t="n">
        <v>12857.5609590529</v>
      </c>
      <c r="P42" t="n">
        <v>13301.2455377664</v>
      </c>
      <c r="Q42" t="n">
        <v>13788.2082357335</v>
      </c>
      <c r="R42" t="n">
        <v>13915.6688628254</v>
      </c>
      <c r="S42" t="n">
        <v>13824.1105591526</v>
      </c>
      <c r="T42" t="n">
        <v>12718.5235384268</v>
      </c>
      <c r="U42" t="n">
        <v>13164.2839527975</v>
      </c>
      <c r="V42" t="n">
        <v>12917.6806937819</v>
      </c>
      <c r="W42" t="n">
        <v>13685.0082873453</v>
      </c>
      <c r="X42" t="n">
        <v>13870.3275378356</v>
      </c>
      <c r="Y42" t="n">
        <v>13078.0256882247</v>
      </c>
      <c r="Z42" t="n">
        <v>12599.9553124386</v>
      </c>
      <c r="AA42" t="n">
        <v>12347.5441477545</v>
      </c>
      <c r="AB42" t="n">
        <v>12612.6263251364</v>
      </c>
      <c r="AC42" t="n">
        <v>12735.4801987292</v>
      </c>
      <c r="AD42" t="n">
        <v>12805.4377172775</v>
      </c>
      <c r="AE42" t="n">
        <v>12837.7</v>
      </c>
      <c r="AF42" t="n">
        <v>14143.7</v>
      </c>
    </row>
    <row r="43">
      <c r="A43" t="s">
        <v>69</v>
      </c>
      <c r="B43" t="s">
        <v>356</v>
      </c>
      <c r="C43" t="s">
        <v>246</v>
      </c>
      <c r="D43" t="s">
        <v>357</v>
      </c>
      <c r="E43" t="s">
        <v>247</v>
      </c>
      <c r="F43" t="n">
        <v>15164.0128172932</v>
      </c>
      <c r="G43" t="n">
        <v>16163.4182622498</v>
      </c>
      <c r="H43" t="n">
        <v>16861.1306112543</v>
      </c>
      <c r="I43" t="n">
        <v>16922.1399936243</v>
      </c>
      <c r="J43" t="n">
        <v>18753.3391308614</v>
      </c>
      <c r="K43" t="n">
        <v>21531.6212051659</v>
      </c>
      <c r="L43" t="n">
        <v>22032.2509540356</v>
      </c>
      <c r="M43" t="n">
        <v>21613.092005349</v>
      </c>
      <c r="N43" t="n">
        <v>20201.4198492226</v>
      </c>
      <c r="O43" t="n">
        <v>20312.749006954</v>
      </c>
      <c r="P43" t="n">
        <v>21110.9720332071</v>
      </c>
      <c r="Q43" t="n">
        <v>21346.3496420554</v>
      </c>
      <c r="R43" t="n">
        <v>23002.4472250871</v>
      </c>
      <c r="S43" t="n">
        <v>22637.4889656208</v>
      </c>
      <c r="T43" t="n">
        <v>19243.8238346591</v>
      </c>
      <c r="U43" t="n">
        <v>19481.1362871666</v>
      </c>
      <c r="V43" t="n">
        <v>19694.2840530986</v>
      </c>
      <c r="W43" t="n">
        <v>20755.7511400718</v>
      </c>
      <c r="X43" t="n">
        <v>19010.4344618672</v>
      </c>
      <c r="Y43" t="n">
        <v>19226.4158404135</v>
      </c>
      <c r="Z43" t="n">
        <v>19338.8152448618</v>
      </c>
      <c r="AA43" t="n">
        <v>19904.9992729158</v>
      </c>
      <c r="AB43" t="n">
        <v>21933.4797804508</v>
      </c>
      <c r="AC43" t="n">
        <v>21938.33791819</v>
      </c>
      <c r="AD43" t="n">
        <v>22645.262638038</v>
      </c>
      <c r="AE43" t="n">
        <v>20411.7</v>
      </c>
      <c r="AF43" t="n">
        <v>22471.7</v>
      </c>
    </row>
    <row r="44">
      <c r="A44" t="s">
        <v>69</v>
      </c>
      <c r="B44" t="s">
        <v>358</v>
      </c>
      <c r="C44" t="s">
        <v>246</v>
      </c>
      <c r="D44" t="s">
        <v>359</v>
      </c>
      <c r="E44" t="s">
        <v>247</v>
      </c>
      <c r="F44" t="n">
        <v>163743.465682856</v>
      </c>
      <c r="G44" t="n">
        <v>166787.900318976</v>
      </c>
      <c r="H44" t="n">
        <v>172778.570681678</v>
      </c>
      <c r="I44" t="n">
        <v>183022.395463876</v>
      </c>
      <c r="J44" t="n">
        <v>191452.771207617</v>
      </c>
      <c r="K44" t="n">
        <v>209177.77718262</v>
      </c>
      <c r="L44" t="n">
        <v>213036.687764852</v>
      </c>
      <c r="M44" t="n">
        <v>220600.472353087</v>
      </c>
      <c r="N44" t="n">
        <v>214587.447711966</v>
      </c>
      <c r="O44" t="n">
        <v>216400.120923241</v>
      </c>
      <c r="P44" t="n">
        <v>218694.223311652</v>
      </c>
      <c r="Q44" t="n">
        <v>225315.332320638</v>
      </c>
      <c r="R44" t="n">
        <v>231091.002365314</v>
      </c>
      <c r="S44" t="n">
        <v>222932.010584524</v>
      </c>
      <c r="T44" t="n">
        <v>190149.611612498</v>
      </c>
      <c r="U44" t="n">
        <v>197728.584605607</v>
      </c>
      <c r="V44" t="n">
        <v>202081.901610626</v>
      </c>
      <c r="W44" t="n">
        <v>180391.470812359</v>
      </c>
      <c r="X44" t="n">
        <v>168816.035314008</v>
      </c>
      <c r="Y44" t="n">
        <v>170644.758875254</v>
      </c>
      <c r="Z44" t="n">
        <v>179804.152347931</v>
      </c>
      <c r="AA44" t="n">
        <v>191215.522859073</v>
      </c>
      <c r="AB44" t="n">
        <v>199030.387763207</v>
      </c>
      <c r="AC44" t="n">
        <v>208545.531220295</v>
      </c>
      <c r="AD44" t="n">
        <v>208143.054447133</v>
      </c>
      <c r="AE44" t="n">
        <v>191557.7</v>
      </c>
      <c r="AF44" t="n">
        <v>217634.6</v>
      </c>
    </row>
    <row r="45">
      <c r="A45" t="s">
        <v>69</v>
      </c>
      <c r="B45" t="s">
        <v>360</v>
      </c>
      <c r="C45" t="s">
        <v>246</v>
      </c>
      <c r="D45" t="s">
        <v>361</v>
      </c>
      <c r="E45" t="s">
        <v>247</v>
      </c>
      <c r="F45" t="n">
        <v>156334.721310523</v>
      </c>
      <c r="G45" t="n">
        <v>159498.825728145</v>
      </c>
      <c r="H45" t="n">
        <v>164977.022738921</v>
      </c>
      <c r="I45" t="n">
        <v>174835.017426823</v>
      </c>
      <c r="J45" t="n">
        <v>182545.352660209</v>
      </c>
      <c r="K45" t="n">
        <v>199248.101025183</v>
      </c>
      <c r="L45" t="n">
        <v>203717.891218228</v>
      </c>
      <c r="M45" t="n">
        <v>211040.364120079</v>
      </c>
      <c r="N45" t="n">
        <v>205134.173525568</v>
      </c>
      <c r="O45" t="n">
        <v>206377.81027678</v>
      </c>
      <c r="P45" t="n">
        <v>208534.11224756</v>
      </c>
      <c r="Q45" t="n">
        <v>214525.223552832</v>
      </c>
      <c r="R45" t="n">
        <v>220956.142947365</v>
      </c>
      <c r="S45" t="n">
        <v>213803.844365119</v>
      </c>
      <c r="T45" t="n">
        <v>182376.942177153</v>
      </c>
      <c r="U45" t="n">
        <v>189524.573444969</v>
      </c>
      <c r="V45" t="n">
        <v>193285.234334979</v>
      </c>
      <c r="W45" t="n">
        <v>172296.831037723</v>
      </c>
      <c r="X45" t="n">
        <v>161940.048219672</v>
      </c>
      <c r="Y45" t="n">
        <v>163603.640522516</v>
      </c>
      <c r="Z45" t="n">
        <v>172751.275557054</v>
      </c>
      <c r="AA45" t="n">
        <v>183661.235925758</v>
      </c>
      <c r="AB45" t="n">
        <v>190390.703049647</v>
      </c>
      <c r="AC45" t="n">
        <v>198943.127569853</v>
      </c>
      <c r="AD45" t="n">
        <v>198414.564696359</v>
      </c>
      <c r="AE45" t="n">
        <v>182847</v>
      </c>
      <c r="AF45" t="n">
        <v>207538.9</v>
      </c>
    </row>
    <row r="46">
      <c r="A46" t="s">
        <v>69</v>
      </c>
      <c r="B46" t="s">
        <v>362</v>
      </c>
      <c r="C46" t="s">
        <v>246</v>
      </c>
      <c r="D46" t="s">
        <v>363</v>
      </c>
      <c r="E46" t="s">
        <v>247</v>
      </c>
      <c r="F46" t="n">
        <v>5955.02015972594</v>
      </c>
      <c r="G46" t="n">
        <v>6193.20897423004</v>
      </c>
      <c r="H46" t="n">
        <v>6342.30421942138</v>
      </c>
      <c r="I46" t="n">
        <v>6108.7282425754</v>
      </c>
      <c r="J46" t="n">
        <v>7004.06986442114</v>
      </c>
      <c r="K46" t="n">
        <v>8357.53893804638</v>
      </c>
      <c r="L46" t="n">
        <v>8553.93346274225</v>
      </c>
      <c r="M46" t="n">
        <v>8053.11854213536</v>
      </c>
      <c r="N46" t="n">
        <v>7002.91409131862</v>
      </c>
      <c r="O46" t="n">
        <v>7442.12497035466</v>
      </c>
      <c r="P46" t="n">
        <v>7796.54527177324</v>
      </c>
      <c r="Q46" t="n">
        <v>7537.95952592746</v>
      </c>
      <c r="R46" t="n">
        <v>9087.62977070277</v>
      </c>
      <c r="S46" t="n">
        <v>8810.99027198737</v>
      </c>
      <c r="T46" t="n">
        <v>6512.3113729272</v>
      </c>
      <c r="U46" t="n">
        <v>6300.48662784621</v>
      </c>
      <c r="V46" t="n">
        <v>6757.39935303014</v>
      </c>
      <c r="W46" t="n">
        <v>7050.28155849142</v>
      </c>
      <c r="X46" t="n">
        <v>5157.68779989649</v>
      </c>
      <c r="Y46" t="n">
        <v>6147.39513121502</v>
      </c>
      <c r="Z46" t="n">
        <v>6740.18448936284</v>
      </c>
      <c r="AA46" t="n">
        <v>7560.09195602814</v>
      </c>
      <c r="AB46" t="n">
        <v>9317.38526548052</v>
      </c>
      <c r="AC46" t="n">
        <v>9199.62792558439</v>
      </c>
      <c r="AD46" t="n">
        <v>9839.30196738116</v>
      </c>
      <c r="AE46" t="n">
        <v>7574</v>
      </c>
      <c r="AF46" t="n">
        <v>8328</v>
      </c>
    </row>
    <row r="47">
      <c r="A47" t="s">
        <v>69</v>
      </c>
      <c r="B47" t="s">
        <v>364</v>
      </c>
      <c r="C47" t="s">
        <v>246</v>
      </c>
      <c r="D47" t="s">
        <v>365</v>
      </c>
      <c r="E47" t="s">
        <v>247</v>
      </c>
      <c r="F47" t="n">
        <v>25561.9799919586</v>
      </c>
      <c r="G47" t="n">
        <v>28500.035115156</v>
      </c>
      <c r="H47" t="n">
        <v>29292.1704658653</v>
      </c>
      <c r="I47" t="n">
        <v>30664.6969581437</v>
      </c>
      <c r="J47" t="n">
        <v>32881.801999986</v>
      </c>
      <c r="K47" t="n">
        <v>32290.2893996032</v>
      </c>
      <c r="L47" t="n">
        <v>34465.5266997073</v>
      </c>
      <c r="M47" t="n">
        <v>36263.6734378194</v>
      </c>
      <c r="N47" t="n">
        <v>37231.0953927846</v>
      </c>
      <c r="O47" t="n">
        <v>40382.3972803007</v>
      </c>
      <c r="P47" t="n">
        <v>36983.8449670699</v>
      </c>
      <c r="Q47" t="n">
        <v>34741.853469356</v>
      </c>
      <c r="R47" t="n">
        <v>34268.8996455624</v>
      </c>
      <c r="S47" t="n">
        <v>34156.0912128485</v>
      </c>
      <c r="T47" t="n">
        <v>38709.5664549277</v>
      </c>
      <c r="U47" t="n">
        <v>30899.5182230874</v>
      </c>
      <c r="V47" t="n">
        <v>28773.5702849723</v>
      </c>
      <c r="W47" t="n">
        <v>25716.2309329721</v>
      </c>
      <c r="X47" t="n">
        <v>23192.9310279933</v>
      </c>
      <c r="Y47" t="n">
        <v>21484.0232938593</v>
      </c>
      <c r="Z47" t="n">
        <v>22550.2401279563</v>
      </c>
      <c r="AA47" t="n">
        <v>21461.5569212549</v>
      </c>
      <c r="AB47" t="n">
        <v>20385.5314161847</v>
      </c>
      <c r="AC47" t="n">
        <v>19267.8008269408</v>
      </c>
      <c r="AD47" t="n">
        <v>22864.692858543</v>
      </c>
      <c r="AE47" t="n">
        <v>23063</v>
      </c>
      <c r="AF47" t="n">
        <v>25653.4</v>
      </c>
    </row>
    <row r="48">
      <c r="A48" t="s">
        <v>69</v>
      </c>
      <c r="B48" t="s">
        <v>366</v>
      </c>
      <c r="C48" t="s">
        <v>246</v>
      </c>
      <c r="D48" t="s">
        <v>367</v>
      </c>
      <c r="E48" t="s">
        <v>247</v>
      </c>
      <c r="F48" t="n">
        <v>33871.482730439</v>
      </c>
      <c r="G48" t="n">
        <v>36943.0581830129</v>
      </c>
      <c r="H48" t="n">
        <v>38206.2794451912</v>
      </c>
      <c r="I48" t="n">
        <v>40546.7239180402</v>
      </c>
      <c r="J48" t="n">
        <v>43247.5040457127</v>
      </c>
      <c r="K48" t="n">
        <v>43941.4391565287</v>
      </c>
      <c r="L48" t="n">
        <v>46822.8818059475</v>
      </c>
      <c r="M48" t="n">
        <v>48663.2474698396</v>
      </c>
      <c r="N48" t="n">
        <v>49640.5227043837</v>
      </c>
      <c r="O48" t="n">
        <v>52531.3939246384</v>
      </c>
      <c r="P48" t="n">
        <v>49683.7240966049</v>
      </c>
      <c r="Q48" t="n">
        <v>48485.6482424038</v>
      </c>
      <c r="R48" t="n">
        <v>47631.1908697063</v>
      </c>
      <c r="S48" t="n">
        <v>45988.9993948848</v>
      </c>
      <c r="T48" t="n">
        <v>51255.8036424801</v>
      </c>
      <c r="U48" t="n">
        <v>43441.6352023827</v>
      </c>
      <c r="V48" t="n">
        <v>40004.027724819</v>
      </c>
      <c r="W48" t="n">
        <v>35620.0492853427</v>
      </c>
      <c r="X48" t="n">
        <v>32313.7666985144</v>
      </c>
      <c r="Y48" t="n">
        <v>30066.5792725526</v>
      </c>
      <c r="Z48" t="n">
        <v>31257.2296968819</v>
      </c>
      <c r="AA48" t="n">
        <v>29615.4273870543</v>
      </c>
      <c r="AB48" t="n">
        <v>29162.8261235644</v>
      </c>
      <c r="AC48" t="n">
        <v>28309.2634644563</v>
      </c>
      <c r="AD48" t="n">
        <v>32872.0188123675</v>
      </c>
      <c r="AE48" t="n">
        <v>33724.9</v>
      </c>
      <c r="AF48" t="n">
        <v>37551.4</v>
      </c>
    </row>
    <row r="49">
      <c r="A49" t="s">
        <v>69</v>
      </c>
      <c r="B49" t="s">
        <v>368</v>
      </c>
      <c r="C49" t="s">
        <v>246</v>
      </c>
      <c r="D49" t="s">
        <v>369</v>
      </c>
      <c r="E49" t="s">
        <v>247</v>
      </c>
      <c r="F49" t="n">
        <v>1909.69851872192</v>
      </c>
      <c r="G49" t="n">
        <v>1912.67266374407</v>
      </c>
      <c r="H49" t="n">
        <v>1971.85135498178</v>
      </c>
      <c r="I49" t="n">
        <v>2202.60591984231</v>
      </c>
      <c r="J49" t="n">
        <v>2320.30241937587</v>
      </c>
      <c r="K49" t="n">
        <v>2667.36668189351</v>
      </c>
      <c r="L49" t="n">
        <v>2810.59339222905</v>
      </c>
      <c r="M49" t="n">
        <v>3079.91946041652</v>
      </c>
      <c r="N49" t="n">
        <v>2940.28451876163</v>
      </c>
      <c r="O49" t="n">
        <v>3145.00480856288</v>
      </c>
      <c r="P49" t="n">
        <v>2940.43632163324</v>
      </c>
      <c r="Q49" t="n">
        <v>3132.99830132335</v>
      </c>
      <c r="R49" t="n">
        <v>2813.73394608259</v>
      </c>
      <c r="S49" t="n">
        <v>2597.15026262381</v>
      </c>
      <c r="T49" t="n">
        <v>2490.65925291727</v>
      </c>
      <c r="U49" t="n">
        <v>2293.01593851605</v>
      </c>
      <c r="V49" t="n">
        <v>2345.10916629421</v>
      </c>
      <c r="W49" t="n">
        <v>2168.35012337365</v>
      </c>
      <c r="X49" t="n">
        <v>2063.18106340312</v>
      </c>
      <c r="Y49" t="n">
        <v>2066.04686716012</v>
      </c>
      <c r="Z49" t="n">
        <v>1973.20307479865</v>
      </c>
      <c r="AA49" t="n">
        <v>1845.23383773012</v>
      </c>
      <c r="AB49" t="n">
        <v>1580.87168285584</v>
      </c>
      <c r="AC49" t="n">
        <v>1734.75919202189</v>
      </c>
      <c r="AD49" t="n">
        <v>1615.14807811089</v>
      </c>
      <c r="AE49" t="n">
        <v>2103.2</v>
      </c>
      <c r="AF49" t="n">
        <v>2354.3</v>
      </c>
    </row>
    <row r="50">
      <c r="A50" t="s">
        <v>69</v>
      </c>
      <c r="B50" t="s">
        <v>370</v>
      </c>
      <c r="C50" t="s">
        <v>246</v>
      </c>
      <c r="D50" t="s">
        <v>371</v>
      </c>
      <c r="E50" t="s">
        <v>247</v>
      </c>
      <c r="F50" t="n">
        <v>6406.41117254435</v>
      </c>
      <c r="G50" t="n">
        <v>6562.11299591374</v>
      </c>
      <c r="H50" t="n">
        <v>6970.36998566572</v>
      </c>
      <c r="I50" t="n">
        <v>7698.70615569379</v>
      </c>
      <c r="J50" t="n">
        <v>8068.89932222091</v>
      </c>
      <c r="K50" t="n">
        <v>8982.39248408903</v>
      </c>
      <c r="L50" t="n">
        <v>9547.23142206711</v>
      </c>
      <c r="M50" t="n">
        <v>9301.83084055815</v>
      </c>
      <c r="N50" t="n">
        <v>9464.40696845031</v>
      </c>
      <c r="O50" t="n">
        <v>8985.00591219508</v>
      </c>
      <c r="P50" t="n">
        <v>9768.06676672866</v>
      </c>
      <c r="Q50" t="n">
        <v>10643.3665016042</v>
      </c>
      <c r="R50" t="n">
        <v>10601.4115016558</v>
      </c>
      <c r="S50" t="n">
        <v>9250.44475607751</v>
      </c>
      <c r="T50" t="n">
        <v>10082.2909919633</v>
      </c>
      <c r="U50" t="n">
        <v>10290.868238159</v>
      </c>
      <c r="V50" t="n">
        <v>8894.07445128851</v>
      </c>
      <c r="W50" t="n">
        <v>7733.05818369266</v>
      </c>
      <c r="X50" t="n">
        <v>7050.06717565047</v>
      </c>
      <c r="Y50" t="n">
        <v>6498.22765308714</v>
      </c>
      <c r="Z50" t="n">
        <v>6723.31833997956</v>
      </c>
      <c r="AA50" t="n">
        <v>6298.12232669017</v>
      </c>
      <c r="AB50" t="n">
        <v>7198.71855509671</v>
      </c>
      <c r="AC50" t="n">
        <v>7304.14558770657</v>
      </c>
      <c r="AD50" t="n">
        <v>8394.53030601477</v>
      </c>
      <c r="AE50" t="n">
        <v>8558.7</v>
      </c>
      <c r="AF50" t="n">
        <v>9543.7</v>
      </c>
    </row>
    <row r="51">
      <c r="A51" t="s">
        <v>69</v>
      </c>
      <c r="B51" t="s">
        <v>372</v>
      </c>
      <c r="C51" t="s">
        <v>246</v>
      </c>
      <c r="D51" t="s">
        <v>373</v>
      </c>
      <c r="E51" t="s">
        <v>247</v>
      </c>
      <c r="F51" t="n">
        <v>6074.91015145234</v>
      </c>
      <c r="G51" t="n">
        <v>6229.0807892438</v>
      </c>
      <c r="H51" t="n">
        <v>6598.11552779169</v>
      </c>
      <c r="I51" t="n">
        <v>7282.9387998117</v>
      </c>
      <c r="J51" t="n">
        <v>7619.34886278703</v>
      </c>
      <c r="K51" t="n">
        <v>8511.78575320234</v>
      </c>
      <c r="L51" t="n">
        <v>9039.43595185109</v>
      </c>
      <c r="M51" t="n">
        <v>8852.02771620988</v>
      </c>
      <c r="N51" t="n">
        <v>9038.09820177965</v>
      </c>
      <c r="O51" t="n">
        <v>8420.59667416094</v>
      </c>
      <c r="P51" t="n">
        <v>9237.95281241052</v>
      </c>
      <c r="Q51" t="n">
        <v>10136.2250872876</v>
      </c>
      <c r="R51" t="n">
        <v>10011.5326902081</v>
      </c>
      <c r="S51" t="n">
        <v>8795.17825121089</v>
      </c>
      <c r="T51" t="n">
        <v>9699.10517051147</v>
      </c>
      <c r="U51" t="n">
        <v>9880.24044525891</v>
      </c>
      <c r="V51" t="n">
        <v>8427.52949665218</v>
      </c>
      <c r="W51" t="n">
        <v>7263.03063000604</v>
      </c>
      <c r="X51" t="n">
        <v>6532.34951902643</v>
      </c>
      <c r="Y51" t="n">
        <v>5984.51978229279</v>
      </c>
      <c r="Z51" t="n">
        <v>6235.58634171685</v>
      </c>
      <c r="AA51" t="n">
        <v>5741.62629127428</v>
      </c>
      <c r="AB51" t="n">
        <v>6599.49231559621</v>
      </c>
      <c r="AC51" t="n">
        <v>6792.81181993015</v>
      </c>
      <c r="AD51" t="n">
        <v>7761.67806278185</v>
      </c>
      <c r="AE51" t="n">
        <v>7989.7</v>
      </c>
      <c r="AF51" t="n">
        <v>8893.4</v>
      </c>
    </row>
    <row r="52">
      <c r="A52" t="s">
        <v>69</v>
      </c>
      <c r="B52" t="s">
        <v>374</v>
      </c>
      <c r="C52" t="s">
        <v>246</v>
      </c>
      <c r="D52" t="s">
        <v>375</v>
      </c>
      <c r="E52" t="s">
        <v>247</v>
      </c>
      <c r="F52" t="n">
        <v>343.814015857941</v>
      </c>
      <c r="G52" t="n">
        <v>346.49901402942</v>
      </c>
      <c r="H52" t="n">
        <v>383.856345744839</v>
      </c>
      <c r="I52" t="n">
        <v>427.920176598413</v>
      </c>
      <c r="J52" t="n">
        <v>460.201874131275</v>
      </c>
      <c r="K52" t="n">
        <v>487.170693636818</v>
      </c>
      <c r="L52" t="n">
        <v>524.227532820788</v>
      </c>
      <c r="M52" t="n">
        <v>472.878967908146</v>
      </c>
      <c r="N52" t="n">
        <v>454.464136681745</v>
      </c>
      <c r="O52" t="n">
        <v>569.990170407772</v>
      </c>
      <c r="P52" t="n">
        <v>545.082063367595</v>
      </c>
      <c r="Q52" t="n">
        <v>529.627807467384</v>
      </c>
      <c r="R52" t="n">
        <v>605.452055884448</v>
      </c>
      <c r="S52" t="n">
        <v>472.815236774849</v>
      </c>
      <c r="T52" t="n">
        <v>408.704696195208</v>
      </c>
      <c r="U52" t="n">
        <v>435.600240825059</v>
      </c>
      <c r="V52" t="n">
        <v>482.494750347659</v>
      </c>
      <c r="W52" t="n">
        <v>481.037376775951</v>
      </c>
      <c r="X52" t="n">
        <v>522.185382733877</v>
      </c>
      <c r="Y52" t="n">
        <v>515.317220063447</v>
      </c>
      <c r="Z52" t="n">
        <v>492.311987024901</v>
      </c>
      <c r="AA52" t="n">
        <v>554.001447501737</v>
      </c>
      <c r="AB52" t="n">
        <v>597.49826686086</v>
      </c>
      <c r="AC52" t="n">
        <v>511.5927311992</v>
      </c>
      <c r="AD52" t="n">
        <v>632.700756908995</v>
      </c>
      <c r="AE52" t="n">
        <v>569</v>
      </c>
      <c r="AF52" t="n">
        <v>650.3</v>
      </c>
    </row>
    <row r="53">
      <c r="A53" t="s">
        <v>69</v>
      </c>
      <c r="B53" t="s">
        <v>376</v>
      </c>
      <c r="C53" t="s">
        <v>246</v>
      </c>
      <c r="D53" t="s">
        <v>377</v>
      </c>
      <c r="E53" t="s">
        <v>247</v>
      </c>
      <c r="F53" t="n">
        <v>2767.5106158609</v>
      </c>
      <c r="G53" t="n">
        <v>2901.9570872017</v>
      </c>
      <c r="H53" t="n">
        <v>3207.25072056333</v>
      </c>
      <c r="I53" t="n">
        <v>3499.963494864</v>
      </c>
      <c r="J53" t="n">
        <v>3477.25740724489</v>
      </c>
      <c r="K53" t="n">
        <v>3620.02195388225</v>
      </c>
      <c r="L53" t="n">
        <v>3929.20575324501</v>
      </c>
      <c r="M53" t="n">
        <v>4321.59463631603</v>
      </c>
      <c r="N53" t="n">
        <v>3853.11876618819</v>
      </c>
      <c r="O53" t="n">
        <v>3869.3388422425</v>
      </c>
      <c r="P53" t="n">
        <v>4535.92749877957</v>
      </c>
      <c r="Q53" t="n">
        <v>4124.05840280017</v>
      </c>
      <c r="R53" t="n">
        <v>4288.89204641228</v>
      </c>
      <c r="S53" t="n">
        <v>3510.20287259041</v>
      </c>
      <c r="T53" t="n">
        <v>3797.32599491363</v>
      </c>
      <c r="U53" t="n">
        <v>3639.86112112136</v>
      </c>
      <c r="V53" t="n">
        <v>3758.99081805198</v>
      </c>
      <c r="W53" t="n">
        <v>2610.94136640247</v>
      </c>
      <c r="X53" t="n">
        <v>2951.95245451588</v>
      </c>
      <c r="Y53" t="n">
        <v>2733.40607270741</v>
      </c>
      <c r="Z53" t="n">
        <v>2801.3770940536</v>
      </c>
      <c r="AA53" t="n">
        <v>3246.16398642422</v>
      </c>
      <c r="AB53" t="n">
        <v>3297.83938862704</v>
      </c>
      <c r="AC53" t="n">
        <v>3487.97683224808</v>
      </c>
      <c r="AD53" t="n">
        <v>3408.95560220499</v>
      </c>
      <c r="AE53" t="n">
        <v>3124.1</v>
      </c>
      <c r="AF53" t="n">
        <v>4011</v>
      </c>
    </row>
    <row r="54">
      <c r="A54" t="s">
        <v>69</v>
      </c>
      <c r="B54" t="s">
        <v>378</v>
      </c>
      <c r="C54" t="s">
        <v>246</v>
      </c>
      <c r="D54" t="s">
        <v>379</v>
      </c>
      <c r="E54" t="s">
        <v>247</v>
      </c>
      <c r="F54" t="n">
        <v>3997.86409067199</v>
      </c>
      <c r="G54" t="n">
        <v>4233.62236972128</v>
      </c>
      <c r="H54" t="n">
        <v>4663.36154680629</v>
      </c>
      <c r="I54" t="n">
        <v>5140.66794878598</v>
      </c>
      <c r="J54" t="n">
        <v>5010.47423098707</v>
      </c>
      <c r="K54" t="n">
        <v>5270.75221676722</v>
      </c>
      <c r="L54" t="n">
        <v>5709.63096202726</v>
      </c>
      <c r="M54" t="n">
        <v>6198.8027478519</v>
      </c>
      <c r="N54" t="n">
        <v>5778.5390846329</v>
      </c>
      <c r="O54" t="n">
        <v>5706.5938786383</v>
      </c>
      <c r="P54" t="n">
        <v>6619.77819176323</v>
      </c>
      <c r="Q54" t="n">
        <v>6257.14292055417</v>
      </c>
      <c r="R54" t="n">
        <v>6351.76091005123</v>
      </c>
      <c r="S54" t="n">
        <v>5762.48819377904</v>
      </c>
      <c r="T54" t="n">
        <v>5244.43801643484</v>
      </c>
      <c r="U54" t="n">
        <v>5422.0641854871</v>
      </c>
      <c r="V54" t="n">
        <v>5558.35706799237</v>
      </c>
      <c r="W54" t="n">
        <v>4136.18206353928</v>
      </c>
      <c r="X54" t="n">
        <v>4124.77935616736</v>
      </c>
      <c r="Y54" t="n">
        <v>4199.73672086522</v>
      </c>
      <c r="Z54" t="n">
        <v>4111.37306197061</v>
      </c>
      <c r="AA54" t="n">
        <v>4831.87297814174</v>
      </c>
      <c r="AB54" t="n">
        <v>5154.3000242754</v>
      </c>
      <c r="AC54" t="n">
        <v>4937.36082015889</v>
      </c>
      <c r="AD54" t="n">
        <v>4953.33115630205</v>
      </c>
      <c r="AE54" t="n">
        <v>4323.3</v>
      </c>
      <c r="AF54" t="n">
        <v>5523.4</v>
      </c>
    </row>
    <row r="55">
      <c r="A55" t="s">
        <v>69</v>
      </c>
      <c r="B55" t="s">
        <v>380</v>
      </c>
      <c r="C55" t="s">
        <v>246</v>
      </c>
      <c r="D55" t="s">
        <v>381</v>
      </c>
      <c r="E55" t="s">
        <v>247</v>
      </c>
      <c r="F55" t="n">
        <v>1234.67755852445</v>
      </c>
      <c r="G55" t="n">
        <v>1336.24656178775</v>
      </c>
      <c r="H55" t="n">
        <v>1461.17966307186</v>
      </c>
      <c r="I55" t="n">
        <v>1646.33216242946</v>
      </c>
      <c r="J55" t="n">
        <v>1538.61425549214</v>
      </c>
      <c r="K55" t="n">
        <v>1656.57962270433</v>
      </c>
      <c r="L55" t="n">
        <v>1786.8401759252</v>
      </c>
      <c r="M55" t="n">
        <v>1884.77804415892</v>
      </c>
      <c r="N55" t="n">
        <v>1931.04994072189</v>
      </c>
      <c r="O55" t="n">
        <v>1842.53968801183</v>
      </c>
      <c r="P55" t="n">
        <v>2088.95871373991</v>
      </c>
      <c r="Q55" t="n">
        <v>2142.75890306306</v>
      </c>
      <c r="R55" t="n">
        <v>2068.95115747848</v>
      </c>
      <c r="S55" t="n">
        <v>2274.7693812918</v>
      </c>
      <c r="T55" t="n">
        <v>1432.09779182992</v>
      </c>
      <c r="U55" t="n">
        <v>1788.04163280329</v>
      </c>
      <c r="V55" t="n">
        <v>1804.0797732604</v>
      </c>
      <c r="W55" t="n">
        <v>1528.35959867978</v>
      </c>
      <c r="X55" t="n">
        <v>1177.794609792</v>
      </c>
      <c r="Y55" t="n">
        <v>1467.50662122267</v>
      </c>
      <c r="Z55" t="n">
        <v>1313.22594817201</v>
      </c>
      <c r="AA55" t="n">
        <v>1588.11652827924</v>
      </c>
      <c r="AB55" t="n">
        <v>1858.27818732542</v>
      </c>
      <c r="AC55" t="n">
        <v>1449.44097682511</v>
      </c>
      <c r="AD55" t="n">
        <v>1543.73808018632</v>
      </c>
      <c r="AE55" t="n">
        <v>1199.2</v>
      </c>
      <c r="AF55" t="n">
        <v>1512.4</v>
      </c>
    </row>
    <row r="56">
      <c r="A56" t="s">
        <v>69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69</v>
      </c>
      <c r="B57" t="s">
        <v>384</v>
      </c>
      <c r="C57" t="s">
        <v>246</v>
      </c>
      <c r="D57" t="s">
        <v>385</v>
      </c>
      <c r="E57" t="s">
        <v>247</v>
      </c>
      <c r="F57" t="n">
        <v>295307.046694226</v>
      </c>
      <c r="G57" t="n">
        <v>301834.729367665</v>
      </c>
      <c r="H57" t="n">
        <v>308584.126943578</v>
      </c>
      <c r="I57" t="n">
        <v>320825.564441475</v>
      </c>
      <c r="J57" t="n">
        <v>335615.199188239</v>
      </c>
      <c r="K57" t="n">
        <v>358779.142264272</v>
      </c>
      <c r="L57" t="n">
        <v>367445.57080651</v>
      </c>
      <c r="M57" t="n">
        <v>380733.123053874</v>
      </c>
      <c r="N57" t="n">
        <v>377358.430339531</v>
      </c>
      <c r="O57" t="n">
        <v>383618.162742576</v>
      </c>
      <c r="P57" t="n">
        <v>390045.394880654</v>
      </c>
      <c r="Q57" t="n">
        <v>400223.519499775</v>
      </c>
      <c r="R57" t="n">
        <v>406597.000799725</v>
      </c>
      <c r="S57" t="n">
        <v>393134.494020139</v>
      </c>
      <c r="T57" t="n">
        <v>352309.101928533</v>
      </c>
      <c r="U57" t="n">
        <v>352161.971896359</v>
      </c>
      <c r="V57" t="n">
        <v>346772.26439244</v>
      </c>
      <c r="W57" t="n">
        <v>312646.53307706</v>
      </c>
      <c r="X57" t="n">
        <v>291608.334615786</v>
      </c>
      <c r="Y57" t="n">
        <v>285309.377900732</v>
      </c>
      <c r="Z57" t="n">
        <v>290872.09883625</v>
      </c>
      <c r="AA57" t="n">
        <v>302062.405154657</v>
      </c>
      <c r="AB57" t="n">
        <v>311907.065560366</v>
      </c>
      <c r="AC57" t="n">
        <v>322139.188967505</v>
      </c>
      <c r="AD57" t="n">
        <v>327226.673931317</v>
      </c>
      <c r="AE57" t="n">
        <v>303972.7</v>
      </c>
      <c r="AF57" t="n">
        <v>369458.6</v>
      </c>
    </row>
    <row r="58">
      <c r="A58" t="s">
        <v>69</v>
      </c>
      <c r="B58" t="s">
        <v>386</v>
      </c>
      <c r="C58" t="s">
        <v>246</v>
      </c>
      <c r="D58" t="s">
        <v>387</v>
      </c>
      <c r="E58" t="s">
        <v>247</v>
      </c>
      <c r="F58" t="n">
        <v>295307.046694226</v>
      </c>
      <c r="G58" t="n">
        <v>301834.729367665</v>
      </c>
      <c r="H58" t="n">
        <v>308584.126943578</v>
      </c>
      <c r="I58" t="n">
        <v>320825.564441475</v>
      </c>
      <c r="J58" t="n">
        <v>335615.199188239</v>
      </c>
      <c r="K58" t="n">
        <v>358779.142264272</v>
      </c>
      <c r="L58" t="n">
        <v>367445.57080651</v>
      </c>
      <c r="M58" t="n">
        <v>380733.123053874</v>
      </c>
      <c r="N58" t="n">
        <v>377358.430339531</v>
      </c>
      <c r="O58" t="n">
        <v>383618.162742576</v>
      </c>
      <c r="P58" t="n">
        <v>390045.394880654</v>
      </c>
      <c r="Q58" t="n">
        <v>400223.519499775</v>
      </c>
      <c r="R58" t="n">
        <v>406597.000799725</v>
      </c>
      <c r="S58" t="n">
        <v>393134.494020139</v>
      </c>
      <c r="T58" t="n">
        <v>352309.101928533</v>
      </c>
      <c r="U58" t="n">
        <v>352161.971896359</v>
      </c>
      <c r="V58" t="n">
        <v>346772.26439244</v>
      </c>
      <c r="W58" t="n">
        <v>312646.53307706</v>
      </c>
      <c r="X58" t="n">
        <v>291608.334615786</v>
      </c>
      <c r="Y58" t="n">
        <v>285309.377900732</v>
      </c>
      <c r="Z58" t="n">
        <v>290872.09883625</v>
      </c>
      <c r="AA58" t="n">
        <v>302062.405154657</v>
      </c>
      <c r="AB58" t="n">
        <v>311907.065560366</v>
      </c>
      <c r="AC58" t="n">
        <v>322139.188967505</v>
      </c>
      <c r="AD58" t="n">
        <v>327226.673931317</v>
      </c>
      <c r="AE58" t="n">
        <v>303972.7</v>
      </c>
      <c r="AF58" t="n">
        <v>369458.6</v>
      </c>
    </row>
    <row r="59">
      <c r="A59" t="s">
        <v>69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141</v>
      </c>
      <c r="B2" t="s">
        <v>197</v>
      </c>
      <c r="C2" t="s">
        <v>246</v>
      </c>
      <c r="D2" t="s">
        <v>199</v>
      </c>
      <c r="E2" t="s">
        <v>247</v>
      </c>
      <c r="F2" t="n">
        <v>62.5559473261737</v>
      </c>
      <c r="G2" t="n">
        <v>65.7615961642646</v>
      </c>
      <c r="H2" t="n">
        <v>61.2485454471092</v>
      </c>
      <c r="I2" t="n">
        <v>68.6891094866099</v>
      </c>
      <c r="J2" t="n">
        <v>75.6923287499095</v>
      </c>
      <c r="K2" t="n">
        <v>85.1053491200906</v>
      </c>
      <c r="L2" t="n">
        <v>94.5102739415957</v>
      </c>
      <c r="M2" t="n">
        <v>99.4697239603131</v>
      </c>
      <c r="N2" t="n">
        <v>108.612161824312</v>
      </c>
      <c r="O2" t="n">
        <v>117.599435778085</v>
      </c>
      <c r="P2" t="n">
        <v>125.419347108597</v>
      </c>
      <c r="Q2" t="n">
        <v>133.968296786822</v>
      </c>
      <c r="R2" t="n">
        <v>140.650544896865</v>
      </c>
      <c r="S2" t="n">
        <v>145.763044509433</v>
      </c>
      <c r="T2" t="n">
        <v>157.525952427415</v>
      </c>
      <c r="U2" t="n">
        <v>147.463721986016</v>
      </c>
      <c r="V2" t="n">
        <v>144.091128975295</v>
      </c>
      <c r="W2" t="n">
        <v>126.221114549788</v>
      </c>
      <c r="X2" t="n">
        <v>110.403396553709</v>
      </c>
      <c r="Y2" t="n">
        <v>95.8197776351663</v>
      </c>
      <c r="Z2" t="n">
        <v>86.9597297031475</v>
      </c>
      <c r="AA2" t="n">
        <v>84.2616951300189</v>
      </c>
      <c r="AB2" t="n">
        <v>83.8556146715609</v>
      </c>
      <c r="AC2" t="n">
        <v>84.5838892406688</v>
      </c>
      <c r="AD2" t="n">
        <v>86.9070422535211</v>
      </c>
      <c r="AE2" t="n">
        <v>86.4</v>
      </c>
      <c r="AF2" t="n">
        <v>92.4</v>
      </c>
    </row>
    <row r="3">
      <c r="A3" t="s">
        <v>141</v>
      </c>
      <c r="B3" t="s">
        <v>276</v>
      </c>
      <c r="C3" t="s">
        <v>246</v>
      </c>
      <c r="D3" t="s">
        <v>277</v>
      </c>
      <c r="E3" t="s">
        <v>247</v>
      </c>
      <c r="F3" t="n">
        <v>21.6479704153037</v>
      </c>
      <c r="G3" t="n">
        <v>38.4322999002968</v>
      </c>
      <c r="H3" t="n">
        <v>254.074880388246</v>
      </c>
      <c r="I3" t="n">
        <v>224.733147079392</v>
      </c>
      <c r="J3" t="n">
        <v>202.169578095517</v>
      </c>
      <c r="K3" t="n">
        <v>207.796564364578</v>
      </c>
      <c r="L3" t="n">
        <v>207.890040102033</v>
      </c>
      <c r="M3" t="n">
        <v>188.347243416692</v>
      </c>
      <c r="N3" t="n">
        <v>160.013424734914</v>
      </c>
      <c r="O3" t="n">
        <v>148.862995494899</v>
      </c>
      <c r="P3" t="n">
        <v>136.941934617448</v>
      </c>
      <c r="Q3" t="n">
        <v>140.797986048837</v>
      </c>
      <c r="R3" t="n">
        <v>143.275685879842</v>
      </c>
      <c r="S3" t="n">
        <v>130.560252584642</v>
      </c>
      <c r="T3" t="n">
        <v>121.234520257167</v>
      </c>
      <c r="U3" t="n">
        <v>123.081903422991</v>
      </c>
      <c r="V3" t="n">
        <v>125.636433494034</v>
      </c>
      <c r="W3" t="n">
        <v>115.806964326785</v>
      </c>
      <c r="X3" t="n">
        <v>97.448625281433</v>
      </c>
      <c r="Y3" t="n">
        <v>176.140546139227</v>
      </c>
      <c r="Z3" t="n">
        <v>152.786099501188</v>
      </c>
      <c r="AA3" t="n">
        <v>129.049317421289</v>
      </c>
      <c r="AB3" t="n">
        <v>114.14731454546</v>
      </c>
      <c r="AC3" t="n">
        <v>100.644902451821</v>
      </c>
      <c r="AD3" t="n">
        <v>123.643423137876</v>
      </c>
      <c r="AE3" t="n">
        <v>127.9</v>
      </c>
      <c r="AF3" t="n">
        <v>125.4</v>
      </c>
    </row>
    <row r="4">
      <c r="A4" t="s">
        <v>141</v>
      </c>
      <c r="B4" t="s">
        <v>278</v>
      </c>
      <c r="C4" t="s">
        <v>246</v>
      </c>
      <c r="D4" t="s">
        <v>279</v>
      </c>
      <c r="E4" t="s">
        <v>247</v>
      </c>
      <c r="F4" t="n">
        <v>2111.48344922214</v>
      </c>
      <c r="G4" t="n">
        <v>2155.53214873507</v>
      </c>
      <c r="H4" t="n">
        <v>2240.94995254339</v>
      </c>
      <c r="I4" t="n">
        <v>2460.19481446904</v>
      </c>
      <c r="J4" t="n">
        <v>2725.16351178359</v>
      </c>
      <c r="K4" t="n">
        <v>3026.66669604643</v>
      </c>
      <c r="L4" t="n">
        <v>3366.09287580275</v>
      </c>
      <c r="M4" t="n">
        <v>3550.6640948723</v>
      </c>
      <c r="N4" t="n">
        <v>3506.51310765915</v>
      </c>
      <c r="O4" t="n">
        <v>3678.65275303108</v>
      </c>
      <c r="P4" t="n">
        <v>3868.198792647</v>
      </c>
      <c r="Q4" t="n">
        <v>4093.868842867</v>
      </c>
      <c r="R4" t="n">
        <v>4360.28789259969</v>
      </c>
      <c r="S4" t="n">
        <v>4570.43999301468</v>
      </c>
      <c r="T4" t="n">
        <v>4335.79497948699</v>
      </c>
      <c r="U4" t="n">
        <v>4254.49449912797</v>
      </c>
      <c r="V4" t="n">
        <v>4189.4368107367</v>
      </c>
      <c r="W4" t="n">
        <v>4062.84658931995</v>
      </c>
      <c r="X4" t="n">
        <v>3885.38549193498</v>
      </c>
      <c r="Y4" t="n">
        <v>3724.65252587368</v>
      </c>
      <c r="Z4" t="n">
        <v>3728.14370574562</v>
      </c>
      <c r="AA4" t="n">
        <v>3802.33355825573</v>
      </c>
      <c r="AB4" t="n">
        <v>4095.84204733291</v>
      </c>
      <c r="AC4" t="n">
        <v>4366.69645322175</v>
      </c>
      <c r="AD4" t="n">
        <v>4544.74813719292</v>
      </c>
      <c r="AE4" t="n">
        <v>4488.5</v>
      </c>
      <c r="AF4" t="n">
        <v>4513.5</v>
      </c>
    </row>
    <row r="5">
      <c r="A5" t="s">
        <v>141</v>
      </c>
      <c r="B5" t="s">
        <v>280</v>
      </c>
      <c r="C5" t="s">
        <v>246</v>
      </c>
      <c r="D5" t="s">
        <v>281</v>
      </c>
      <c r="E5" t="s">
        <v>247</v>
      </c>
      <c r="F5" t="n">
        <v>254.410939748883</v>
      </c>
      <c r="G5" t="n">
        <v>251.649743172267</v>
      </c>
      <c r="H5" t="n">
        <v>263.997714594565</v>
      </c>
      <c r="I5" t="n">
        <v>295.654828121965</v>
      </c>
      <c r="J5" t="n">
        <v>362.134613382034</v>
      </c>
      <c r="K5" t="n">
        <v>398.749331909581</v>
      </c>
      <c r="L5" t="n">
        <v>442.401890350208</v>
      </c>
      <c r="M5" t="n">
        <v>469.157030226584</v>
      </c>
      <c r="N5" t="n">
        <v>467.706496413323</v>
      </c>
      <c r="O5" t="n">
        <v>492.718047563527</v>
      </c>
      <c r="P5" t="n">
        <v>516.90911421201</v>
      </c>
      <c r="Q5" t="n">
        <v>552.346590678897</v>
      </c>
      <c r="R5" t="n">
        <v>588.775675161416</v>
      </c>
      <c r="S5" t="n">
        <v>639.520481331542</v>
      </c>
      <c r="T5" t="n">
        <v>633.960484706848</v>
      </c>
      <c r="U5" t="n">
        <v>620.238895459829</v>
      </c>
      <c r="V5" t="n">
        <v>608.063706822087</v>
      </c>
      <c r="W5" t="n">
        <v>591.480151181484</v>
      </c>
      <c r="X5" t="n">
        <v>537.021348072702</v>
      </c>
      <c r="Y5" t="n">
        <v>515.69559056801</v>
      </c>
      <c r="Z5" t="n">
        <v>507.077026646946</v>
      </c>
      <c r="AA5" t="n">
        <v>531.534451189901</v>
      </c>
      <c r="AB5" t="n">
        <v>573.497697336472</v>
      </c>
      <c r="AC5" t="n">
        <v>541.192357022825</v>
      </c>
      <c r="AD5" t="n">
        <v>642.679110912875</v>
      </c>
      <c r="AE5" t="n">
        <v>681.7</v>
      </c>
      <c r="AF5"/>
    </row>
    <row r="6">
      <c r="A6" t="s">
        <v>141</v>
      </c>
      <c r="B6" t="s">
        <v>282</v>
      </c>
      <c r="C6" t="s">
        <v>246</v>
      </c>
      <c r="D6" t="s">
        <v>283</v>
      </c>
      <c r="E6" t="s">
        <v>247</v>
      </c>
      <c r="F6" t="n">
        <v>117.188139545182</v>
      </c>
      <c r="G6" t="n">
        <v>129.733828450263</v>
      </c>
      <c r="H6" t="n">
        <v>122.850382872946</v>
      </c>
      <c r="I6" t="n">
        <v>152.974614688534</v>
      </c>
      <c r="J6" t="n">
        <v>173.384569820294</v>
      </c>
      <c r="K6" t="n">
        <v>199.657997982768</v>
      </c>
      <c r="L6" t="n">
        <v>226.142291036063</v>
      </c>
      <c r="M6" t="n">
        <v>236.31445573073</v>
      </c>
      <c r="N6" t="n">
        <v>238.308670547023</v>
      </c>
      <c r="O6" t="n">
        <v>248.578956428539</v>
      </c>
      <c r="P6" t="n">
        <v>264.871023134551</v>
      </c>
      <c r="Q6" t="n">
        <v>283.367312706128</v>
      </c>
      <c r="R6" t="n">
        <v>299.479934732632</v>
      </c>
      <c r="S6" t="n">
        <v>295.403837322283</v>
      </c>
      <c r="T6" t="n">
        <v>290.329415576869</v>
      </c>
      <c r="U6" t="n">
        <v>285.834438519506</v>
      </c>
      <c r="V6" t="n">
        <v>282.473044068141</v>
      </c>
      <c r="W6" t="n">
        <v>306.162876038712</v>
      </c>
      <c r="X6" t="n">
        <v>305.31035149701</v>
      </c>
      <c r="Y6" t="n">
        <v>300.57017666784</v>
      </c>
      <c r="Z6" t="n">
        <v>302.424874672687</v>
      </c>
      <c r="AA6" t="n">
        <v>307.088726406844</v>
      </c>
      <c r="AB6" t="n">
        <v>301.514508600779</v>
      </c>
      <c r="AC6" t="n">
        <v>320.93690374661</v>
      </c>
      <c r="AD6" t="n">
        <v>332.436615287826</v>
      </c>
      <c r="AE6" t="n">
        <v>322.2</v>
      </c>
      <c r="AF6"/>
    </row>
    <row r="7">
      <c r="A7" t="s">
        <v>141</v>
      </c>
      <c r="B7" t="s">
        <v>284</v>
      </c>
      <c r="C7" t="s">
        <v>246</v>
      </c>
      <c r="D7" t="s">
        <v>285</v>
      </c>
      <c r="E7" t="s">
        <v>247</v>
      </c>
      <c r="F7" t="n">
        <v>579.714036818888</v>
      </c>
      <c r="G7" t="n">
        <v>499.684571131973</v>
      </c>
      <c r="H7" t="n">
        <v>421.235145834593</v>
      </c>
      <c r="I7" t="n">
        <v>370.46463071723</v>
      </c>
      <c r="J7" t="n">
        <v>382.980327700921</v>
      </c>
      <c r="K7" t="n">
        <v>393.41247911027</v>
      </c>
      <c r="L7" t="n">
        <v>425.124248407921</v>
      </c>
      <c r="M7" t="n">
        <v>446.22970754874</v>
      </c>
      <c r="N7" t="n">
        <v>440.064811142134</v>
      </c>
      <c r="O7" t="n">
        <v>455.757634534927</v>
      </c>
      <c r="P7" t="n">
        <v>489.447110919719</v>
      </c>
      <c r="Q7" t="n">
        <v>489.447110919719</v>
      </c>
      <c r="R7" t="n">
        <v>533.727350203629</v>
      </c>
      <c r="S7" t="n">
        <v>541.88450775291</v>
      </c>
      <c r="T7" t="n">
        <v>520.122077722672</v>
      </c>
      <c r="U7" t="n">
        <v>511.12661828534</v>
      </c>
      <c r="V7" t="n">
        <v>504.515722609764</v>
      </c>
      <c r="W7" t="n">
        <v>447.756293293568</v>
      </c>
      <c r="X7" t="n">
        <v>436.77560324375</v>
      </c>
      <c r="Y7" t="n">
        <v>385.263454625316</v>
      </c>
      <c r="Z7" t="n">
        <v>359.506464457731</v>
      </c>
      <c r="AA7" t="n">
        <v>378.056956570136</v>
      </c>
      <c r="AB7" t="n">
        <v>377.144754798251</v>
      </c>
      <c r="AC7" t="n">
        <v>401.235499047479</v>
      </c>
      <c r="AD7" t="n">
        <v>403.134089736978</v>
      </c>
      <c r="AE7" t="n">
        <v>393</v>
      </c>
      <c r="AF7"/>
    </row>
    <row r="8">
      <c r="A8" t="s">
        <v>141</v>
      </c>
      <c r="B8" t="s">
        <v>286</v>
      </c>
      <c r="C8" t="s">
        <v>246</v>
      </c>
      <c r="D8" t="s">
        <v>287</v>
      </c>
      <c r="E8" t="s">
        <v>247</v>
      </c>
      <c r="F8" t="n">
        <v>4.66247554883706</v>
      </c>
      <c r="G8" t="n">
        <v>5.50172114762773</v>
      </c>
      <c r="H8" t="n">
        <v>7.73970941106952</v>
      </c>
      <c r="I8" t="n">
        <v>7.18687302456456</v>
      </c>
      <c r="J8" t="n">
        <v>7.58067428618453</v>
      </c>
      <c r="K8" t="n">
        <v>11.6171372177893</v>
      </c>
      <c r="L8" t="n">
        <v>14.086922295587</v>
      </c>
      <c r="M8" t="n">
        <v>15.013693499244</v>
      </c>
      <c r="N8" t="n">
        <v>14.9248550761716</v>
      </c>
      <c r="O8" t="n">
        <v>15.2979764530759</v>
      </c>
      <c r="P8" t="n">
        <v>14.4154008884754</v>
      </c>
      <c r="Q8" t="n">
        <v>15.8467172887495</v>
      </c>
      <c r="R8" t="n">
        <v>17.3257442356995</v>
      </c>
      <c r="S8" t="n">
        <v>29.7332126883616</v>
      </c>
      <c r="T8" t="n">
        <v>26.6285398775287</v>
      </c>
      <c r="U8" t="n">
        <v>24.8077850141079</v>
      </c>
      <c r="V8" t="n">
        <v>23.0929611652065</v>
      </c>
      <c r="W8" t="n">
        <v>20.2063410195557</v>
      </c>
      <c r="X8" t="n">
        <v>21.7767820314382</v>
      </c>
      <c r="Y8" t="n">
        <v>22.8339073727702</v>
      </c>
      <c r="Z8" t="n">
        <v>19.7250655238954</v>
      </c>
      <c r="AA8" t="n">
        <v>16.4714464684075</v>
      </c>
      <c r="AB8" t="n">
        <v>15.0738691923002</v>
      </c>
      <c r="AC8" t="n">
        <v>12.6128293241695</v>
      </c>
      <c r="AD8" t="n">
        <v>10.1111111111111</v>
      </c>
      <c r="AE8" t="n">
        <v>9.1</v>
      </c>
      <c r="AF8"/>
    </row>
    <row r="9">
      <c r="A9" t="s">
        <v>141</v>
      </c>
      <c r="B9" t="s">
        <v>288</v>
      </c>
      <c r="C9" t="s">
        <v>246</v>
      </c>
      <c r="D9" t="s">
        <v>289</v>
      </c>
      <c r="E9" t="s">
        <v>247</v>
      </c>
      <c r="F9" t="n">
        <v>97.6573950725983</v>
      </c>
      <c r="G9" t="n">
        <v>90.7022830332816</v>
      </c>
      <c r="H9" t="n">
        <v>94.7249819640079</v>
      </c>
      <c r="I9" t="n">
        <v>100.291489868267</v>
      </c>
      <c r="J9" t="n">
        <v>110.822096304435</v>
      </c>
      <c r="K9" t="n">
        <v>127.299724404098</v>
      </c>
      <c r="L9" t="n">
        <v>154.871984829361</v>
      </c>
      <c r="M9" t="n">
        <v>165.819669314557</v>
      </c>
      <c r="N9" t="n">
        <v>163.912652307105</v>
      </c>
      <c r="O9" t="n">
        <v>178.675267709547</v>
      </c>
      <c r="P9" t="n">
        <v>185.782239142251</v>
      </c>
      <c r="Q9" t="n">
        <v>201.081952953966</v>
      </c>
      <c r="R9" t="n">
        <v>212.916631833012</v>
      </c>
      <c r="S9" t="n">
        <v>213.82410815409</v>
      </c>
      <c r="T9" t="n">
        <v>190.832268567629</v>
      </c>
      <c r="U9" t="n">
        <v>188.407902179292</v>
      </c>
      <c r="V9" t="n">
        <v>186.898781582662</v>
      </c>
      <c r="W9" t="n">
        <v>171.088612747875</v>
      </c>
      <c r="X9" t="n">
        <v>162.662178578871</v>
      </c>
      <c r="Y9" t="n">
        <v>172.794878901213</v>
      </c>
      <c r="Z9" t="n">
        <v>165.808857265283</v>
      </c>
      <c r="AA9" t="n">
        <v>162.181788512605</v>
      </c>
      <c r="AB9" t="n">
        <v>167.858151110546</v>
      </c>
      <c r="AC9" t="n">
        <v>162.872265433995</v>
      </c>
      <c r="AD9" t="n">
        <v>158.125340599455</v>
      </c>
      <c r="AE9" t="n">
        <v>148.8</v>
      </c>
      <c r="AF9"/>
    </row>
    <row r="10">
      <c r="A10" t="s">
        <v>141</v>
      </c>
      <c r="B10" t="s">
        <v>290</v>
      </c>
      <c r="C10" t="s">
        <v>246</v>
      </c>
      <c r="D10" t="s">
        <v>291</v>
      </c>
      <c r="E10" t="s">
        <v>247</v>
      </c>
      <c r="F10" t="n">
        <v>128.026676519611</v>
      </c>
      <c r="G10" t="n">
        <v>122.215941945432</v>
      </c>
      <c r="H10" t="n">
        <v>122.981586060987</v>
      </c>
      <c r="I10" t="n">
        <v>134.007521363007</v>
      </c>
      <c r="J10" t="n">
        <v>150.933732955195</v>
      </c>
      <c r="K10" t="n">
        <v>171.406127584756</v>
      </c>
      <c r="L10" t="n">
        <v>205.201889123799</v>
      </c>
      <c r="M10" t="n">
        <v>221.327589050347</v>
      </c>
      <c r="N10" t="n">
        <v>216.790328102206</v>
      </c>
      <c r="O10" t="n">
        <v>238.783549793734</v>
      </c>
      <c r="P10" t="n">
        <v>244.68808853549</v>
      </c>
      <c r="Q10" t="n">
        <v>267.273080118732</v>
      </c>
      <c r="R10" t="n">
        <v>283.08996529484</v>
      </c>
      <c r="S10" t="n">
        <v>279.687441673508</v>
      </c>
      <c r="T10" t="n">
        <v>249.31031148742</v>
      </c>
      <c r="U10" t="n">
        <v>246.30935403433</v>
      </c>
      <c r="V10" t="n">
        <v>244.684315883303</v>
      </c>
      <c r="W10" t="n">
        <v>239.60319257239</v>
      </c>
      <c r="X10" t="n">
        <v>241.41594480814</v>
      </c>
      <c r="Y10" t="n">
        <v>258.228840964421</v>
      </c>
      <c r="Z10" t="n">
        <v>259.538539227977</v>
      </c>
      <c r="AA10" t="n">
        <v>268.55605237208</v>
      </c>
      <c r="AB10" t="n">
        <v>274.841622491774</v>
      </c>
      <c r="AC10" t="n">
        <v>269.751962816</v>
      </c>
      <c r="AD10" t="n">
        <v>263.73872</v>
      </c>
      <c r="AE10" t="n">
        <v>253.4</v>
      </c>
      <c r="AF10"/>
    </row>
    <row r="11">
      <c r="A11" t="s">
        <v>141</v>
      </c>
      <c r="B11" t="s">
        <v>292</v>
      </c>
      <c r="C11" t="s">
        <v>246</v>
      </c>
      <c r="D11" t="s">
        <v>293</v>
      </c>
      <c r="E11" t="s">
        <v>247</v>
      </c>
      <c r="F11" t="n">
        <v>30.3774238691477</v>
      </c>
      <c r="G11" t="n">
        <v>31.5201482780185</v>
      </c>
      <c r="H11" t="n">
        <v>28.2726178493741</v>
      </c>
      <c r="I11" t="n">
        <v>33.7204977007486</v>
      </c>
      <c r="J11" t="n">
        <v>40.1054440109495</v>
      </c>
      <c r="K11" t="n">
        <v>44.1059870544357</v>
      </c>
      <c r="L11" t="n">
        <v>50.3403776296408</v>
      </c>
      <c r="M11" t="n">
        <v>55.5155566382954</v>
      </c>
      <c r="N11" t="n">
        <v>52.889208934363</v>
      </c>
      <c r="O11" t="n">
        <v>60.1186691484126</v>
      </c>
      <c r="P11" t="n">
        <v>58.9182963867139</v>
      </c>
      <c r="Q11" t="n">
        <v>66.2050114875442</v>
      </c>
      <c r="R11" t="n">
        <v>70.1880772193152</v>
      </c>
      <c r="S11" t="n">
        <v>65.879277648501</v>
      </c>
      <c r="T11" t="n">
        <v>58.4920792357095</v>
      </c>
      <c r="U11" t="n">
        <v>57.9152342728327</v>
      </c>
      <c r="V11" t="n">
        <v>57.7991716790996</v>
      </c>
      <c r="W11" t="n">
        <v>68.523627361745</v>
      </c>
      <c r="X11" t="n">
        <v>78.7542155837163</v>
      </c>
      <c r="Y11" t="n">
        <v>85.4337796961518</v>
      </c>
      <c r="Z11" t="n">
        <v>93.7262027573365</v>
      </c>
      <c r="AA11" t="n">
        <v>106.375092952464</v>
      </c>
      <c r="AB11" t="n">
        <v>106.983530090419</v>
      </c>
      <c r="AC11" t="n">
        <v>106.879662585477</v>
      </c>
      <c r="AD11" t="n">
        <v>105.613565891473</v>
      </c>
      <c r="AE11" t="n">
        <v>104.6</v>
      </c>
      <c r="AF11"/>
    </row>
    <row r="12">
      <c r="A12" t="s">
        <v>141</v>
      </c>
      <c r="B12" t="s">
        <v>294</v>
      </c>
      <c r="C12" t="s">
        <v>246</v>
      </c>
      <c r="D12" t="s">
        <v>295</v>
      </c>
      <c r="E12" t="s">
        <v>247</v>
      </c>
      <c r="F12" t="n">
        <v>138.342842734479</v>
      </c>
      <c r="G12" t="n">
        <v>224.164881349678</v>
      </c>
      <c r="H12" t="n">
        <v>397.526710203974</v>
      </c>
      <c r="I12" t="n">
        <v>385.75162992542</v>
      </c>
      <c r="J12" t="n">
        <v>383.649168407529</v>
      </c>
      <c r="K12" t="n">
        <v>381.141001773066</v>
      </c>
      <c r="L12" t="n">
        <v>380.581186348185</v>
      </c>
      <c r="M12" t="n">
        <v>374.077941707763</v>
      </c>
      <c r="N12" t="n">
        <v>343.063479631628</v>
      </c>
      <c r="O12" t="n">
        <v>351.62579609498</v>
      </c>
      <c r="P12" t="n">
        <v>375.227527573483</v>
      </c>
      <c r="Q12" t="n">
        <v>387.603380062741</v>
      </c>
      <c r="R12" t="n">
        <v>416.095722841278</v>
      </c>
      <c r="S12" t="n">
        <v>436.945835314806</v>
      </c>
      <c r="T12" t="n">
        <v>404.060039187073</v>
      </c>
      <c r="U12" t="n">
        <v>395.755065501241</v>
      </c>
      <c r="V12" t="n">
        <v>389.027693344421</v>
      </c>
      <c r="W12" t="n">
        <v>382.258069910353</v>
      </c>
      <c r="X12" t="n">
        <v>366.699196699617</v>
      </c>
      <c r="Y12" t="n">
        <v>361.097446338753</v>
      </c>
      <c r="Z12" t="n">
        <v>342.660748927499</v>
      </c>
      <c r="AA12" t="n">
        <v>342.764365724877</v>
      </c>
      <c r="AB12" t="n">
        <v>347.527797182319</v>
      </c>
      <c r="AC12" t="n">
        <v>338.180068029178</v>
      </c>
      <c r="AD12" t="n">
        <v>359.593216441506</v>
      </c>
      <c r="AE12" t="n">
        <v>352.6</v>
      </c>
      <c r="AF12"/>
    </row>
    <row r="13">
      <c r="A13" t="s">
        <v>141</v>
      </c>
      <c r="B13" t="s">
        <v>296</v>
      </c>
      <c r="C13" t="s">
        <v>246</v>
      </c>
      <c r="D13" t="s">
        <v>297</v>
      </c>
      <c r="E13" t="s">
        <v>247</v>
      </c>
      <c r="F13" t="n">
        <v>201.765189191473</v>
      </c>
      <c r="G13" t="n">
        <v>228.400857731602</v>
      </c>
      <c r="H13" t="n">
        <v>210.228260173392</v>
      </c>
      <c r="I13" t="n">
        <v>297.258238847324</v>
      </c>
      <c r="J13" t="n">
        <v>340.210001887237</v>
      </c>
      <c r="K13" t="n">
        <v>388.76843329786</v>
      </c>
      <c r="L13" t="n">
        <v>437.656040460826</v>
      </c>
      <c r="M13" t="n">
        <v>463.289641452502</v>
      </c>
      <c r="N13" t="n">
        <v>458.755587415973</v>
      </c>
      <c r="O13" t="n">
        <v>487.100842454323</v>
      </c>
      <c r="P13" t="n">
        <v>518.200896242722</v>
      </c>
      <c r="Q13" t="n">
        <v>555.215245974346</v>
      </c>
      <c r="R13" t="n">
        <v>576.391897176078</v>
      </c>
      <c r="S13" t="n">
        <v>627.390000543996</v>
      </c>
      <c r="T13" t="n">
        <v>572.245466957246</v>
      </c>
      <c r="U13" t="n">
        <v>561.748724870346</v>
      </c>
      <c r="V13" t="n">
        <v>553.165324985893</v>
      </c>
      <c r="W13" t="n">
        <v>508.704464511711</v>
      </c>
      <c r="X13" t="n">
        <v>497.191454837095</v>
      </c>
      <c r="Y13" t="n">
        <v>484.799383465993</v>
      </c>
      <c r="Z13" t="n">
        <v>516.224596708893</v>
      </c>
      <c r="AA13" t="n">
        <v>537.569893160525</v>
      </c>
      <c r="AB13" t="n">
        <v>675.104271934815</v>
      </c>
      <c r="AC13" t="n">
        <v>735.759794213266</v>
      </c>
      <c r="AD13" t="n">
        <v>774.578375470683</v>
      </c>
      <c r="AE13" t="n">
        <v>753.6</v>
      </c>
      <c r="AF13"/>
    </row>
    <row r="14">
      <c r="A14" t="s">
        <v>141</v>
      </c>
      <c r="B14" t="s">
        <v>298</v>
      </c>
      <c r="C14" t="s">
        <v>246</v>
      </c>
      <c r="D14" t="s">
        <v>299</v>
      </c>
      <c r="E14" t="s">
        <v>247</v>
      </c>
      <c r="F14" t="n">
        <v>29.2762193163376</v>
      </c>
      <c r="G14" t="n">
        <v>41.157801831085</v>
      </c>
      <c r="H14" t="n">
        <v>45.6564452870408</v>
      </c>
      <c r="I14" t="n">
        <v>65.7490544732798</v>
      </c>
      <c r="J14" t="n">
        <v>79.9813193135324</v>
      </c>
      <c r="K14" t="n">
        <v>87.9191638182674</v>
      </c>
      <c r="L14" t="n">
        <v>109.78216523535</v>
      </c>
      <c r="M14" t="n">
        <v>116.006927181684</v>
      </c>
      <c r="N14" t="n">
        <v>119.997783159787</v>
      </c>
      <c r="O14" t="n">
        <v>126.373557522758</v>
      </c>
      <c r="P14" t="n">
        <v>136.279323314328</v>
      </c>
      <c r="Q14" t="n">
        <v>145.954114969467</v>
      </c>
      <c r="R14" t="n">
        <v>153.698180023116</v>
      </c>
      <c r="S14" t="n">
        <v>154.945914325887</v>
      </c>
      <c r="T14" t="n">
        <v>146.593361131757</v>
      </c>
      <c r="U14" t="n">
        <v>144.053948576719</v>
      </c>
      <c r="V14" t="n">
        <v>142.312764669667</v>
      </c>
      <c r="W14" t="n">
        <v>140.392671813013</v>
      </c>
      <c r="X14" t="n">
        <v>145.513377167895</v>
      </c>
      <c r="Y14" t="n">
        <v>133.333368560508</v>
      </c>
      <c r="Z14" t="n">
        <v>132.242260798147</v>
      </c>
      <c r="AA14" t="n">
        <v>116.074711672355</v>
      </c>
      <c r="AB14" t="n">
        <v>124.184735195314</v>
      </c>
      <c r="AC14" t="n">
        <v>124.60006875784</v>
      </c>
      <c r="AD14" t="n">
        <v>117.748119122257</v>
      </c>
      <c r="AE14" t="n">
        <v>129.3</v>
      </c>
      <c r="AF14"/>
    </row>
    <row r="15">
      <c r="A15" t="s">
        <v>141</v>
      </c>
      <c r="B15" t="s">
        <v>300</v>
      </c>
      <c r="C15" t="s">
        <v>246</v>
      </c>
      <c r="D15" t="s">
        <v>301</v>
      </c>
      <c r="E15" t="s">
        <v>247</v>
      </c>
      <c r="F15" t="n">
        <v>150.341707427079</v>
      </c>
      <c r="G15" t="n">
        <v>145.118211591015</v>
      </c>
      <c r="H15" t="n">
        <v>155.722636532821</v>
      </c>
      <c r="I15" t="n">
        <v>161.556354638582</v>
      </c>
      <c r="J15" t="n">
        <v>191.866927676037</v>
      </c>
      <c r="K15" t="n">
        <v>208.808155877318</v>
      </c>
      <c r="L15" t="n">
        <v>244.324185961808</v>
      </c>
      <c r="M15" t="n">
        <v>253.265171195387</v>
      </c>
      <c r="N15" t="n">
        <v>258.969749595569</v>
      </c>
      <c r="O15" t="n">
        <v>268.279740593502</v>
      </c>
      <c r="P15" t="n">
        <v>290.253509368845</v>
      </c>
      <c r="Q15" t="n">
        <v>311.43838089344</v>
      </c>
      <c r="R15" t="n">
        <v>325.609310323959</v>
      </c>
      <c r="S15" t="n">
        <v>331.722976094993</v>
      </c>
      <c r="T15" t="n">
        <v>328.822665921485</v>
      </c>
      <c r="U15" t="n">
        <v>320.870067271438</v>
      </c>
      <c r="V15" t="n">
        <v>314.262555048002</v>
      </c>
      <c r="W15" t="n">
        <v>304.448900242124</v>
      </c>
      <c r="X15" t="n">
        <v>302.850463594021</v>
      </c>
      <c r="Y15" t="n">
        <v>288.957252426301</v>
      </c>
      <c r="Z15" t="n">
        <v>290.920721865211</v>
      </c>
      <c r="AA15" t="n">
        <v>278.073795401078</v>
      </c>
      <c r="AB15" t="n">
        <v>298.138887051739</v>
      </c>
      <c r="AC15" t="n">
        <v>324.298705832044</v>
      </c>
      <c r="AD15" t="n">
        <v>318.289269475599</v>
      </c>
      <c r="AE15" t="n">
        <v>334.3</v>
      </c>
      <c r="AF15"/>
    </row>
    <row r="16">
      <c r="A16" t="s">
        <v>141</v>
      </c>
      <c r="B16" t="s">
        <v>302</v>
      </c>
      <c r="C16" t="s">
        <v>246</v>
      </c>
      <c r="D16" t="s">
        <v>303</v>
      </c>
      <c r="E16" t="s">
        <v>247</v>
      </c>
      <c r="F16" t="n">
        <v>120.925454298208</v>
      </c>
      <c r="G16" t="n">
        <v>103.853625456108</v>
      </c>
      <c r="H16" t="n">
        <v>109.957052480158</v>
      </c>
      <c r="I16" t="n">
        <v>95.7781328179004</v>
      </c>
      <c r="J16" t="n">
        <v>111.857673363971</v>
      </c>
      <c r="K16" t="n">
        <v>120.862316121357</v>
      </c>
      <c r="L16" t="n">
        <v>134.539575913381</v>
      </c>
      <c r="M16" t="n">
        <v>137.264190230063</v>
      </c>
      <c r="N16" t="n">
        <v>138.982253217132</v>
      </c>
      <c r="O16" t="n">
        <v>141.923174616266</v>
      </c>
      <c r="P16" t="n">
        <v>153.991132542175</v>
      </c>
      <c r="Q16" t="n">
        <v>165.501580833206</v>
      </c>
      <c r="R16" t="n">
        <v>171.932989414808</v>
      </c>
      <c r="S16" t="n">
        <v>176.79368536802</v>
      </c>
      <c r="T16" t="n">
        <v>182.224208126765</v>
      </c>
      <c r="U16" t="n">
        <v>176.81388735484</v>
      </c>
      <c r="V16" t="n">
        <v>171.950637015021</v>
      </c>
      <c r="W16" t="n">
        <v>164.062993115249</v>
      </c>
      <c r="X16" t="n">
        <v>157.355680612809</v>
      </c>
      <c r="Y16" t="n">
        <v>155.633593820877</v>
      </c>
      <c r="Z16" t="n">
        <v>158.687371415119</v>
      </c>
      <c r="AA16" t="n">
        <v>162.001990139195</v>
      </c>
      <c r="AB16" t="n">
        <v>173.957108861162</v>
      </c>
      <c r="AC16" t="n">
        <v>199.697778907444</v>
      </c>
      <c r="AD16" t="n">
        <v>200.541275333663</v>
      </c>
      <c r="AE16" t="n">
        <v>205</v>
      </c>
      <c r="AF16"/>
    </row>
    <row r="17">
      <c r="A17" t="s">
        <v>141</v>
      </c>
      <c r="B17" t="s">
        <v>304</v>
      </c>
      <c r="C17" t="s">
        <v>246</v>
      </c>
      <c r="D17" t="s">
        <v>305</v>
      </c>
      <c r="E17" t="s">
        <v>247</v>
      </c>
      <c r="F17" t="n">
        <v>206.093846421387</v>
      </c>
      <c r="G17" t="n">
        <v>195.25180743106</v>
      </c>
      <c r="H17" t="n">
        <v>200.988883065665</v>
      </c>
      <c r="I17" t="n">
        <v>241.374939662935</v>
      </c>
      <c r="J17" t="n">
        <v>271.296625798597</v>
      </c>
      <c r="K17" t="n">
        <v>334.458811405809</v>
      </c>
      <c r="L17" t="n">
        <v>381.918954981376</v>
      </c>
      <c r="M17" t="n">
        <v>416.108000766392</v>
      </c>
      <c r="N17" t="n">
        <v>412.483366613375</v>
      </c>
      <c r="O17" t="n">
        <v>436.05927694297</v>
      </c>
      <c r="P17" t="n">
        <v>445.551859736184</v>
      </c>
      <c r="Q17" t="n">
        <v>481.91919903368</v>
      </c>
      <c r="R17" t="n">
        <v>511.139444717398</v>
      </c>
      <c r="S17" t="n">
        <v>548.619984416437</v>
      </c>
      <c r="T17" t="n">
        <v>498.965103642344</v>
      </c>
      <c r="U17" t="n">
        <v>491.127351956578</v>
      </c>
      <c r="V17" t="n">
        <v>485.215741158895</v>
      </c>
      <c r="W17" t="n">
        <v>544.5424449826</v>
      </c>
      <c r="X17" t="n">
        <v>531.008806917474</v>
      </c>
      <c r="Y17" t="n">
        <v>513.236706888796</v>
      </c>
      <c r="Z17" t="n">
        <v>523.272366194592</v>
      </c>
      <c r="AA17" t="n">
        <v>521.200000387881</v>
      </c>
      <c r="AB17" t="n">
        <v>602.795877539231</v>
      </c>
      <c r="AC17" t="n">
        <v>785.203177377054</v>
      </c>
      <c r="AD17" t="n">
        <v>782.038311688312</v>
      </c>
      <c r="AE17" t="n">
        <v>749.2</v>
      </c>
      <c r="AF17"/>
    </row>
    <row r="18">
      <c r="A18" t="s">
        <v>141</v>
      </c>
      <c r="B18" t="s">
        <v>306</v>
      </c>
      <c r="C18" t="s">
        <v>246</v>
      </c>
      <c r="D18" t="s">
        <v>307</v>
      </c>
      <c r="E18" t="s">
        <v>247</v>
      </c>
      <c r="F18" t="n">
        <v>109.453376352715</v>
      </c>
      <c r="G18" t="n">
        <v>116.597852615947</v>
      </c>
      <c r="H18" t="n">
        <v>106.059016307192</v>
      </c>
      <c r="I18" t="n">
        <v>126.987995525145</v>
      </c>
      <c r="J18" t="n">
        <v>132.600724609129</v>
      </c>
      <c r="K18" t="n">
        <v>154.483357436374</v>
      </c>
      <c r="L18" t="n">
        <v>173.712101624829</v>
      </c>
      <c r="M18" t="n">
        <v>189.178325656573</v>
      </c>
      <c r="N18" t="n">
        <v>183.368626596102</v>
      </c>
      <c r="O18" t="n">
        <v>187.557733330385</v>
      </c>
      <c r="P18" t="n">
        <v>191.060679257046</v>
      </c>
      <c r="Q18" t="n">
        <v>199.073572668154</v>
      </c>
      <c r="R18" t="n">
        <v>224.240085906591</v>
      </c>
      <c r="S18" t="n">
        <v>249.747679096168</v>
      </c>
      <c r="T18" t="n">
        <v>266.800668322589</v>
      </c>
      <c r="U18" t="n">
        <v>257.107218435436</v>
      </c>
      <c r="V18" t="n">
        <v>248.057415620471</v>
      </c>
      <c r="W18" t="n">
        <v>220.859127556534</v>
      </c>
      <c r="X18" t="n">
        <v>201.66325939614</v>
      </c>
      <c r="Y18" t="n">
        <v>185.064573160434</v>
      </c>
      <c r="Z18" t="n">
        <v>184.409863585574</v>
      </c>
      <c r="AA18" t="n">
        <v>183.684656256866</v>
      </c>
      <c r="AB18" t="n">
        <v>181.85997424107</v>
      </c>
      <c r="AC18" t="n">
        <v>183.833326331635</v>
      </c>
      <c r="AD18" t="n">
        <v>175.923114355231</v>
      </c>
      <c r="AE18" t="n">
        <v>166.6</v>
      </c>
      <c r="AF18"/>
    </row>
    <row r="19">
      <c r="A19" t="s">
        <v>141</v>
      </c>
      <c r="B19" t="s">
        <v>308</v>
      </c>
      <c r="C19" t="s">
        <v>246</v>
      </c>
      <c r="D19" t="s">
        <v>309</v>
      </c>
      <c r="E19" t="s">
        <v>247</v>
      </c>
      <c r="F19" t="n">
        <v>221.60904433502</v>
      </c>
      <c r="G19" t="n">
        <v>237.309126909205</v>
      </c>
      <c r="H19" t="n">
        <v>231.665741787221</v>
      </c>
      <c r="I19" t="n">
        <v>287.039504458313</v>
      </c>
      <c r="J19" t="n">
        <v>328.574160786835</v>
      </c>
      <c r="K19" t="n">
        <v>384.138899820994</v>
      </c>
      <c r="L19" t="n">
        <v>434.884786538483</v>
      </c>
      <c r="M19" t="n">
        <v>466.641270409224</v>
      </c>
      <c r="N19" t="n">
        <v>471.991413229695</v>
      </c>
      <c r="O19" t="n">
        <v>496.818047420132</v>
      </c>
      <c r="P19" t="n">
        <v>517.514633416503</v>
      </c>
      <c r="Q19" t="n">
        <v>550.262144369938</v>
      </c>
      <c r="R19" t="n">
        <v>584.337764562412</v>
      </c>
      <c r="S19" t="n">
        <v>589.550007566071</v>
      </c>
      <c r="T19" t="n">
        <v>544.330216173595</v>
      </c>
      <c r="U19" t="n">
        <v>539.370224799265</v>
      </c>
      <c r="V19" t="n">
        <v>536.702372074451</v>
      </c>
      <c r="W19" t="n">
        <v>496.641534798078</v>
      </c>
      <c r="X19" t="n">
        <v>443.448977196825</v>
      </c>
      <c r="Y19" t="n">
        <v>408.649652698629</v>
      </c>
      <c r="Z19" t="n">
        <v>422.176763466015</v>
      </c>
      <c r="AA19" t="n">
        <v>437.199004129223</v>
      </c>
      <c r="AB19" t="n">
        <v>448.242965067829</v>
      </c>
      <c r="AC19" t="n">
        <v>453.64223173068</v>
      </c>
      <c r="AD19" t="n">
        <v>482.225594855305</v>
      </c>
      <c r="AE19" t="n">
        <v>472.8</v>
      </c>
      <c r="AF19"/>
    </row>
    <row r="20">
      <c r="A20" t="s">
        <v>141</v>
      </c>
      <c r="B20" t="s">
        <v>310</v>
      </c>
      <c r="C20" t="s">
        <v>246</v>
      </c>
      <c r="D20" t="s">
        <v>311</v>
      </c>
      <c r="E20" t="s">
        <v>247</v>
      </c>
      <c r="F20" t="n">
        <v>157.430915120408</v>
      </c>
      <c r="G20" t="n">
        <v>138.987921440844</v>
      </c>
      <c r="H20" t="n">
        <v>121.877303876943</v>
      </c>
      <c r="I20" t="n">
        <v>105.030942954957</v>
      </c>
      <c r="J20" t="n">
        <v>109.032121734193</v>
      </c>
      <c r="K20" t="n">
        <v>104.72294780536</v>
      </c>
      <c r="L20" t="n">
        <v>110.038360116051</v>
      </c>
      <c r="M20" t="n">
        <v>113.901008031083</v>
      </c>
      <c r="N20" t="n">
        <v>119.43282450393</v>
      </c>
      <c r="O20" t="n">
        <v>130.947861766859</v>
      </c>
      <c r="P20" t="n">
        <v>132.648483348247</v>
      </c>
      <c r="Q20" t="n">
        <v>140.549176713817</v>
      </c>
      <c r="R20" t="n">
        <v>145.5994911676</v>
      </c>
      <c r="S20" t="n">
        <v>146.731680056929</v>
      </c>
      <c r="T20" t="n">
        <v>132.601962718113</v>
      </c>
      <c r="U20" t="n">
        <v>129.952227581261</v>
      </c>
      <c r="V20" t="n">
        <v>128.330720285238</v>
      </c>
      <c r="W20" t="n">
        <v>123.035247191818</v>
      </c>
      <c r="X20" t="n">
        <v>128.037545304288</v>
      </c>
      <c r="Y20" t="n">
        <v>118.999600929867</v>
      </c>
      <c r="Z20" t="n">
        <v>114.31371920827</v>
      </c>
      <c r="AA20" t="n">
        <v>123.218592262538</v>
      </c>
      <c r="AB20" t="n">
        <v>162.231057740397</v>
      </c>
      <c r="AC20" t="n">
        <v>195.155030406022</v>
      </c>
      <c r="AD20" t="n">
        <v>201.378893537889</v>
      </c>
      <c r="AE20" t="n">
        <v>218</v>
      </c>
      <c r="AF20" t="n">
        <v>238.9</v>
      </c>
    </row>
    <row r="21">
      <c r="A21" t="s">
        <v>141</v>
      </c>
      <c r="B21" t="s">
        <v>312</v>
      </c>
      <c r="C21" t="s">
        <v>246</v>
      </c>
      <c r="D21" t="s">
        <v>313</v>
      </c>
      <c r="E21" t="s">
        <v>247</v>
      </c>
      <c r="F21" t="n">
        <v>210.204849383824</v>
      </c>
      <c r="G21" t="n">
        <v>192.402174186915</v>
      </c>
      <c r="H21" t="n">
        <v>170.194560051908</v>
      </c>
      <c r="I21" t="n">
        <v>163.503633272459</v>
      </c>
      <c r="J21" t="n">
        <v>172.214482075094</v>
      </c>
      <c r="K21" t="n">
        <v>174.922572358162</v>
      </c>
      <c r="L21" t="n">
        <v>185.931032911903</v>
      </c>
      <c r="M21" t="n">
        <v>192.62191144041</v>
      </c>
      <c r="N21" t="n">
        <v>201.237298251539</v>
      </c>
      <c r="O21" t="n">
        <v>223.121259763527</v>
      </c>
      <c r="P21" t="n">
        <v>227.623706709428</v>
      </c>
      <c r="Q21" t="n">
        <v>243.741420067108</v>
      </c>
      <c r="R21" t="n">
        <v>254.170585372141</v>
      </c>
      <c r="S21" t="n">
        <v>252.697461159106</v>
      </c>
      <c r="T21" t="n">
        <v>233.84485286603</v>
      </c>
      <c r="U21" t="n">
        <v>229.465304118416</v>
      </c>
      <c r="V21" t="n">
        <v>226.104448654055</v>
      </c>
      <c r="W21" t="n">
        <v>257.438963472514</v>
      </c>
      <c r="X21" t="n">
        <v>277.250153876274</v>
      </c>
      <c r="Y21" t="n">
        <v>298.891816373024</v>
      </c>
      <c r="Z21" t="n">
        <v>321.464091451176</v>
      </c>
      <c r="AA21" t="n">
        <v>343.116039602415</v>
      </c>
      <c r="AB21" t="n">
        <v>407.887427875959</v>
      </c>
      <c r="AC21" t="n">
        <v>459.197942103288</v>
      </c>
      <c r="AD21" t="n">
        <v>476.181831071501</v>
      </c>
      <c r="AE21" t="n">
        <v>500.3</v>
      </c>
      <c r="AF21" t="n">
        <v>521.7</v>
      </c>
    </row>
    <row r="22">
      <c r="A22" t="s">
        <v>141</v>
      </c>
      <c r="B22" t="s">
        <v>314</v>
      </c>
      <c r="C22" t="s">
        <v>246</v>
      </c>
      <c r="D22" t="s">
        <v>315</v>
      </c>
      <c r="E22" t="s">
        <v>247</v>
      </c>
      <c r="F22" t="n">
        <v>52.6523890992552</v>
      </c>
      <c r="G22" t="n">
        <v>53.320082439282</v>
      </c>
      <c r="H22" t="n">
        <v>48.2374127103576</v>
      </c>
      <c r="I22" t="n">
        <v>58.4324040464019</v>
      </c>
      <c r="J22" t="n">
        <v>63.1430781290449</v>
      </c>
      <c r="K22" t="n">
        <v>70.1701297491294</v>
      </c>
      <c r="L22" t="n">
        <v>75.862121656971</v>
      </c>
      <c r="M22" t="n">
        <v>78.6892814702743</v>
      </c>
      <c r="N22" t="n">
        <v>81.7715805140408</v>
      </c>
      <c r="O22" t="n">
        <v>92.1356529280297</v>
      </c>
      <c r="P22" t="n">
        <v>94.9367368389796</v>
      </c>
      <c r="Q22" t="n">
        <v>103.151416149253</v>
      </c>
      <c r="R22" t="n">
        <v>108.529487898432</v>
      </c>
      <c r="S22" t="n">
        <v>105.921151198678</v>
      </c>
      <c r="T22" t="n">
        <v>101.205483508326</v>
      </c>
      <c r="U22" t="n">
        <v>99.4764604415554</v>
      </c>
      <c r="V22" t="n">
        <v>97.7373614827869</v>
      </c>
      <c r="W22" t="n">
        <v>134.374780723739</v>
      </c>
      <c r="X22" t="n">
        <v>149.186909606055</v>
      </c>
      <c r="Y22" t="n">
        <v>179.886020969034</v>
      </c>
      <c r="Z22" t="n">
        <v>207.158007168099</v>
      </c>
      <c r="AA22" t="n">
        <v>219.904597904305</v>
      </c>
      <c r="AB22" t="n">
        <v>245.65645030988</v>
      </c>
      <c r="AC22" t="n">
        <v>264.041732214679</v>
      </c>
      <c r="AD22" t="n">
        <v>274.801722900215</v>
      </c>
      <c r="AE22" t="n">
        <v>282.3</v>
      </c>
      <c r="AF22" t="n">
        <v>282.8</v>
      </c>
    </row>
    <row r="23">
      <c r="A23" t="s">
        <v>141</v>
      </c>
      <c r="B23" t="s">
        <v>316</v>
      </c>
      <c r="C23" t="s">
        <v>246</v>
      </c>
      <c r="D23" t="s">
        <v>317</v>
      </c>
      <c r="E23" t="s">
        <v>247</v>
      </c>
      <c r="F23" t="n">
        <v>226.442957456956</v>
      </c>
      <c r="G23" t="n">
        <v>227.013822055587</v>
      </c>
      <c r="H23" t="n">
        <v>229.788116551842</v>
      </c>
      <c r="I23" t="n">
        <v>284.598232876912</v>
      </c>
      <c r="J23" t="n">
        <v>342.659075321024</v>
      </c>
      <c r="K23" t="n">
        <v>398.130523989796</v>
      </c>
      <c r="L23" t="n">
        <v>435.350317586781</v>
      </c>
      <c r="M23" t="n">
        <v>472.383364082799</v>
      </c>
      <c r="N23" t="n">
        <v>499.674610261095</v>
      </c>
      <c r="O23" t="n">
        <v>519.650180060225</v>
      </c>
      <c r="P23" t="n">
        <v>511.249368835233</v>
      </c>
      <c r="Q23" t="n">
        <v>515.617243833418</v>
      </c>
      <c r="R23" t="n">
        <v>583.13343005681</v>
      </c>
      <c r="S23" t="n">
        <v>595.59838872495</v>
      </c>
      <c r="T23" t="n">
        <v>554.005647003191</v>
      </c>
      <c r="U23" t="n">
        <v>551.122003202425</v>
      </c>
      <c r="V23" t="n">
        <v>551.122003202425</v>
      </c>
      <c r="W23" t="n">
        <v>539.160714844633</v>
      </c>
      <c r="X23" t="n">
        <v>581.159394490498</v>
      </c>
      <c r="Y23" t="n">
        <v>816.036569126999</v>
      </c>
      <c r="Z23" t="n">
        <v>813.526694683308</v>
      </c>
      <c r="AA23" t="n">
        <v>798.705148328395</v>
      </c>
      <c r="AB23" t="n">
        <v>893.284651233636</v>
      </c>
      <c r="AC23" t="n">
        <v>915.928378439326</v>
      </c>
      <c r="AD23" t="n">
        <v>883.118688771665</v>
      </c>
      <c r="AE23" t="n">
        <v>807</v>
      </c>
      <c r="AF23" t="n">
        <v>862.3</v>
      </c>
    </row>
    <row r="24">
      <c r="A24" t="s">
        <v>141</v>
      </c>
      <c r="B24" t="s">
        <v>318</v>
      </c>
      <c r="C24" t="s">
        <v>246</v>
      </c>
      <c r="D24" t="s">
        <v>319</v>
      </c>
      <c r="E24" t="s">
        <v>247</v>
      </c>
      <c r="F24" t="n">
        <v>1041.88321140224</v>
      </c>
      <c r="G24" t="n">
        <v>1072.31982155822</v>
      </c>
      <c r="H24" t="n">
        <v>1102.25525717611</v>
      </c>
      <c r="I24" t="n">
        <v>1260.54084467936</v>
      </c>
      <c r="J24" t="n">
        <v>1395.94190555989</v>
      </c>
      <c r="K24" t="n">
        <v>1685.1378293897</v>
      </c>
      <c r="L24" t="n">
        <v>1895.71011598416</v>
      </c>
      <c r="M24" t="n">
        <v>2011.38375685017</v>
      </c>
      <c r="N24" t="n">
        <v>2058.42571844745</v>
      </c>
      <c r="O24" t="n">
        <v>2179.56551728809</v>
      </c>
      <c r="P24" t="n">
        <v>2262.92977509218</v>
      </c>
      <c r="Q24" t="n">
        <v>2386.81772309705</v>
      </c>
      <c r="R24" t="n">
        <v>2574.00647123477</v>
      </c>
      <c r="S24" t="n">
        <v>2680.82252925159</v>
      </c>
      <c r="T24" t="n">
        <v>2467.12063864711</v>
      </c>
      <c r="U24" t="n">
        <v>2431.71956194392</v>
      </c>
      <c r="V24" t="n">
        <v>2408.17818795973</v>
      </c>
      <c r="W24" t="n">
        <v>2525.73835061393</v>
      </c>
      <c r="X24" t="n">
        <v>2407.86061343025</v>
      </c>
      <c r="Y24" t="n">
        <v>2379.20458358047</v>
      </c>
      <c r="Z24" t="n">
        <v>2323.99857086475</v>
      </c>
      <c r="AA24" t="n">
        <v>2263.17067765132</v>
      </c>
      <c r="AB24" t="n">
        <v>2398.37913678459</v>
      </c>
      <c r="AC24" t="n">
        <v>2544.40897682959</v>
      </c>
      <c r="AD24" t="n">
        <v>2536.07529900332</v>
      </c>
      <c r="AE24" t="n">
        <v>2440.6</v>
      </c>
      <c r="AF24" t="n">
        <v>2456.9</v>
      </c>
    </row>
    <row r="25">
      <c r="A25" t="s">
        <v>141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141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141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141</v>
      </c>
      <c r="B28" t="s">
        <v>326</v>
      </c>
      <c r="C28" t="s">
        <v>246</v>
      </c>
      <c r="D28" t="s">
        <v>327</v>
      </c>
      <c r="E28" t="s">
        <v>247</v>
      </c>
      <c r="F28" t="n">
        <v>171.503994371038</v>
      </c>
      <c r="G28" t="n">
        <v>241.83776342775</v>
      </c>
      <c r="H28" t="n">
        <v>286.051869760802</v>
      </c>
      <c r="I28" t="n">
        <v>276.724091399037</v>
      </c>
      <c r="J28" t="n">
        <v>310.475817349625</v>
      </c>
      <c r="K28" t="n">
        <v>353.926376144837</v>
      </c>
      <c r="L28" t="n">
        <v>392.743505719383</v>
      </c>
      <c r="M28" t="n">
        <v>424.788812161569</v>
      </c>
      <c r="N28" t="n">
        <v>431.771890414439</v>
      </c>
      <c r="O28" t="n">
        <v>441.950253991074</v>
      </c>
      <c r="P28" t="n">
        <v>466.647474067045</v>
      </c>
      <c r="Q28" t="n">
        <v>519.040061932893</v>
      </c>
      <c r="R28" t="n">
        <v>545.481117065528</v>
      </c>
      <c r="S28" t="n">
        <v>575.955555381338</v>
      </c>
      <c r="T28" t="n">
        <v>559.516949813266</v>
      </c>
      <c r="U28" t="n">
        <v>548.446540253894</v>
      </c>
      <c r="V28" t="n">
        <v>535.80524761535</v>
      </c>
      <c r="W28" t="n">
        <v>522.266264731829</v>
      </c>
      <c r="X28" t="n">
        <v>515.44482780472</v>
      </c>
      <c r="Y28" t="n">
        <v>471.494673208204</v>
      </c>
      <c r="Z28" t="n">
        <v>508.040419511941</v>
      </c>
      <c r="AA28" t="n">
        <v>476.747699403312</v>
      </c>
      <c r="AB28" t="n">
        <v>451.303584465989</v>
      </c>
      <c r="AC28" t="n">
        <v>420.351117683281</v>
      </c>
      <c r="AD28" t="n">
        <v>417.080313303718</v>
      </c>
      <c r="AE28" t="n">
        <v>433.5</v>
      </c>
      <c r="AF28" t="n">
        <v>532.8</v>
      </c>
    </row>
    <row r="29">
      <c r="A29" t="s">
        <v>141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141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141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141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141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141</v>
      </c>
      <c r="B34" t="s">
        <v>338</v>
      </c>
      <c r="C34" t="s">
        <v>246</v>
      </c>
      <c r="D34" t="s">
        <v>339</v>
      </c>
      <c r="E34" t="s">
        <v>247</v>
      </c>
      <c r="F34" t="n">
        <v>280.55399948504</v>
      </c>
      <c r="G34" t="n">
        <v>277.322686482841</v>
      </c>
      <c r="H34" t="n">
        <v>300.926650494302</v>
      </c>
      <c r="I34" t="n">
        <v>383.639135104837</v>
      </c>
      <c r="J34" t="n">
        <v>411.749329880446</v>
      </c>
      <c r="K34" t="n">
        <v>468.694452688358</v>
      </c>
      <c r="L34" t="n">
        <v>513.63392477823</v>
      </c>
      <c r="M34" t="n">
        <v>574.565561986062</v>
      </c>
      <c r="N34" t="n">
        <v>578.190009625148</v>
      </c>
      <c r="O34" t="n">
        <v>635.989997433778</v>
      </c>
      <c r="P34" t="n">
        <v>676.2640340406</v>
      </c>
      <c r="Q34" t="n">
        <v>722.089547103277</v>
      </c>
      <c r="R34" t="n">
        <v>762.808478564688</v>
      </c>
      <c r="S34" t="n">
        <v>738.230981927934</v>
      </c>
      <c r="T34" t="n">
        <v>696.291533544013</v>
      </c>
      <c r="U34" t="n">
        <v>689.488884019407</v>
      </c>
      <c r="V34" t="n">
        <v>686.705881460297</v>
      </c>
      <c r="W34" t="n">
        <v>610.555648178598</v>
      </c>
      <c r="X34" t="n">
        <v>568.352814057683</v>
      </c>
      <c r="Y34" t="n">
        <v>523.539551993999</v>
      </c>
      <c r="Z34" t="n">
        <v>504.448195128204</v>
      </c>
      <c r="AA34" t="n">
        <v>533.042917218034</v>
      </c>
      <c r="AB34" t="n">
        <v>550.371878975503</v>
      </c>
      <c r="AC34" t="n">
        <v>650.581098449344</v>
      </c>
      <c r="AD34" t="n">
        <v>627.903579615588</v>
      </c>
      <c r="AE34" t="n">
        <v>574.7</v>
      </c>
      <c r="AF34" t="n">
        <v>582.9</v>
      </c>
    </row>
    <row r="35">
      <c r="A35" t="s">
        <v>141</v>
      </c>
      <c r="B35" t="s">
        <v>340</v>
      </c>
      <c r="C35" t="s">
        <v>246</v>
      </c>
      <c r="D35" t="s">
        <v>341</v>
      </c>
      <c r="E35" t="s">
        <v>247</v>
      </c>
      <c r="F35" t="n">
        <v>1390.41564052997</v>
      </c>
      <c r="G35" t="n">
        <v>1603.09653888987</v>
      </c>
      <c r="H35" t="n">
        <v>1810.25004701751</v>
      </c>
      <c r="I35" t="n">
        <v>1946.79096296504</v>
      </c>
      <c r="J35" t="n">
        <v>2194.49339116464</v>
      </c>
      <c r="K35" t="n">
        <v>2750.63762199077</v>
      </c>
      <c r="L35" t="n">
        <v>2768.35599560679</v>
      </c>
      <c r="M35" t="n">
        <v>2905.31845154651</v>
      </c>
      <c r="N35" t="n">
        <v>3019.97941436454</v>
      </c>
      <c r="O35" t="n">
        <v>3351.92992241071</v>
      </c>
      <c r="P35" t="n">
        <v>3725.76596671846</v>
      </c>
      <c r="Q35" t="n">
        <v>3873.97759582384</v>
      </c>
      <c r="R35" t="n">
        <v>4229.56682923802</v>
      </c>
      <c r="S35" t="n">
        <v>4259.92609512001</v>
      </c>
      <c r="T35" t="n">
        <v>4184.62009780828</v>
      </c>
      <c r="U35" t="n">
        <v>4029.0575837005</v>
      </c>
      <c r="V35" t="n">
        <v>3892.68377186444</v>
      </c>
      <c r="W35" t="n">
        <v>3623.16858476158</v>
      </c>
      <c r="X35" t="n">
        <v>3351.41495539686</v>
      </c>
      <c r="Y35" t="n">
        <v>3203.83722047484</v>
      </c>
      <c r="Z35" t="n">
        <v>3124.74225044575</v>
      </c>
      <c r="AA35" t="n">
        <v>3034.59050917937</v>
      </c>
      <c r="AB35" t="n">
        <v>3018.98172700122</v>
      </c>
      <c r="AC35" t="n">
        <v>2922.07767941144</v>
      </c>
      <c r="AD35" t="n">
        <v>2821.85840090172</v>
      </c>
      <c r="AE35" t="n">
        <v>2787.6</v>
      </c>
      <c r="AF35" t="n">
        <v>2801.1</v>
      </c>
    </row>
    <row r="36">
      <c r="A36" t="s">
        <v>141</v>
      </c>
      <c r="B36" t="s">
        <v>342</v>
      </c>
      <c r="C36" t="s">
        <v>246</v>
      </c>
      <c r="D36" t="s">
        <v>343</v>
      </c>
      <c r="E36" t="s">
        <v>247</v>
      </c>
      <c r="F36" t="n">
        <v>50.1792303248307</v>
      </c>
      <c r="G36" t="n">
        <v>67.2857861173867</v>
      </c>
      <c r="H36" t="n">
        <v>66.807904113712</v>
      </c>
      <c r="I36" t="n">
        <v>120.536514323472</v>
      </c>
      <c r="J36" t="n">
        <v>133.640483930422</v>
      </c>
      <c r="K36" t="n">
        <v>158.604085204747</v>
      </c>
      <c r="L36" t="n">
        <v>178.371319809924</v>
      </c>
      <c r="M36" t="n">
        <v>193.5338237642</v>
      </c>
      <c r="N36" t="n">
        <v>194.983515327976</v>
      </c>
      <c r="O36" t="n">
        <v>200.972770065013</v>
      </c>
      <c r="P36" t="n">
        <v>216.462963680168</v>
      </c>
      <c r="Q36" t="n">
        <v>220.723636513047</v>
      </c>
      <c r="R36" t="n">
        <v>241.248570580229</v>
      </c>
      <c r="S36" t="n">
        <v>259.597053413092</v>
      </c>
      <c r="T36" t="n">
        <v>237.843110389649</v>
      </c>
      <c r="U36" t="n">
        <v>231.963324335421</v>
      </c>
      <c r="V36" t="n">
        <v>227.210452622401</v>
      </c>
      <c r="W36" t="n">
        <v>278.854317287939</v>
      </c>
      <c r="X36" t="n">
        <v>284.393058502215</v>
      </c>
      <c r="Y36" t="n">
        <v>291.069457452286</v>
      </c>
      <c r="Z36" t="n">
        <v>276.237892741341</v>
      </c>
      <c r="AA36" t="n">
        <v>257.89801764186</v>
      </c>
      <c r="AB36" t="n">
        <v>245.129785727174</v>
      </c>
      <c r="AC36" t="n">
        <v>247.413926043141</v>
      </c>
      <c r="AD36" t="n">
        <v>267.557174071377</v>
      </c>
      <c r="AE36" t="n">
        <v>278.3</v>
      </c>
      <c r="AF36"/>
    </row>
    <row r="37">
      <c r="A37" t="s">
        <v>141</v>
      </c>
      <c r="B37" t="s">
        <v>344</v>
      </c>
      <c r="C37" t="s">
        <v>246</v>
      </c>
      <c r="D37" t="s">
        <v>345</v>
      </c>
      <c r="E37" t="s">
        <v>247</v>
      </c>
      <c r="F37" t="n">
        <v>533.50428301645</v>
      </c>
      <c r="G37" t="n">
        <v>764.064878850267</v>
      </c>
      <c r="H37" t="n">
        <v>946.736542212892</v>
      </c>
      <c r="I37" t="n">
        <v>902.196420423883</v>
      </c>
      <c r="J37" t="n">
        <v>1001.07274470328</v>
      </c>
      <c r="K37" t="n">
        <v>1375.27181153348</v>
      </c>
      <c r="L37" t="n">
        <v>1370.88929237</v>
      </c>
      <c r="M37" t="n">
        <v>1381.81571520324</v>
      </c>
      <c r="N37" t="n">
        <v>1343.29346666527</v>
      </c>
      <c r="O37" t="n">
        <v>1495.33751375225</v>
      </c>
      <c r="P37" t="n">
        <v>1827.29044711931</v>
      </c>
      <c r="Q37" t="n">
        <v>1879.57001568202</v>
      </c>
      <c r="R37" t="n">
        <v>2042.90809948721</v>
      </c>
      <c r="S37" t="n">
        <v>1977.31844718583</v>
      </c>
      <c r="T37" t="n">
        <v>1891.25347992845</v>
      </c>
      <c r="U37" t="n">
        <v>1798.18997027587</v>
      </c>
      <c r="V37" t="n">
        <v>1720.14393325822</v>
      </c>
      <c r="W37" t="n">
        <v>1480.51740251509</v>
      </c>
      <c r="X37" t="n">
        <v>1321.50991874368</v>
      </c>
      <c r="Y37" t="n">
        <v>1213.67333044479</v>
      </c>
      <c r="Z37" t="n">
        <v>1009.75788145151</v>
      </c>
      <c r="AA37" t="n">
        <v>951.93307666395</v>
      </c>
      <c r="AB37" t="n">
        <v>869.116622225184</v>
      </c>
      <c r="AC37" t="n">
        <v>887.710129501186</v>
      </c>
      <c r="AD37" t="n">
        <v>848.040649029063</v>
      </c>
      <c r="AE37" t="n">
        <v>777.7</v>
      </c>
      <c r="AF37"/>
    </row>
    <row r="38">
      <c r="A38" t="s">
        <v>141</v>
      </c>
      <c r="B38" t="s">
        <v>346</v>
      </c>
      <c r="C38" t="s">
        <v>246</v>
      </c>
      <c r="D38" t="s">
        <v>347</v>
      </c>
      <c r="E38" t="s">
        <v>247</v>
      </c>
      <c r="F38" t="n">
        <v>806.819677428825</v>
      </c>
      <c r="G38" t="n">
        <v>771.810876427315</v>
      </c>
      <c r="H38" t="n">
        <v>796.775883088305</v>
      </c>
      <c r="I38" t="n">
        <v>924.10933390809</v>
      </c>
      <c r="J38" t="n">
        <v>1059.84289725074</v>
      </c>
      <c r="K38" t="n">
        <v>1216.8083684533</v>
      </c>
      <c r="L38" t="n">
        <v>1219.14013368489</v>
      </c>
      <c r="M38" t="n">
        <v>1330.02244087499</v>
      </c>
      <c r="N38" t="n">
        <v>1481.77118446992</v>
      </c>
      <c r="O38" t="n">
        <v>1655.70004446193</v>
      </c>
      <c r="P38" t="n">
        <v>1682.09048168573</v>
      </c>
      <c r="Q38" t="n">
        <v>1773.76716739585</v>
      </c>
      <c r="R38" t="n">
        <v>1945.50178923763</v>
      </c>
      <c r="S38" t="n">
        <v>2023.1043470684</v>
      </c>
      <c r="T38" t="n">
        <v>2055.62197788588</v>
      </c>
      <c r="U38" t="n">
        <v>1998.998674035</v>
      </c>
      <c r="V38" t="n">
        <v>1945.41989655608</v>
      </c>
      <c r="W38" t="n">
        <v>1863.8483263415</v>
      </c>
      <c r="X38" t="n">
        <v>1745.54596802499</v>
      </c>
      <c r="Y38" t="n">
        <v>1699.11728916676</v>
      </c>
      <c r="Z38" t="n">
        <v>1838.76478692799</v>
      </c>
      <c r="AA38" t="n">
        <v>1824.77587477047</v>
      </c>
      <c r="AB38" t="n">
        <v>1904.74411322825</v>
      </c>
      <c r="AC38" t="n">
        <v>1786.96343683364</v>
      </c>
      <c r="AD38" t="n">
        <v>1706.26050105362</v>
      </c>
      <c r="AE38" t="n">
        <v>1731.6</v>
      </c>
      <c r="AF38"/>
    </row>
    <row r="39">
      <c r="A39" t="s">
        <v>141</v>
      </c>
      <c r="B39" t="s">
        <v>348</v>
      </c>
      <c r="C39" t="s">
        <v>246</v>
      </c>
      <c r="D39" t="s">
        <v>349</v>
      </c>
      <c r="E39" t="s">
        <v>247</v>
      </c>
      <c r="F39" t="n">
        <v>568.650797005066</v>
      </c>
      <c r="G39" t="n">
        <v>570.35136426642</v>
      </c>
      <c r="H39" t="n">
        <v>532.353272043474</v>
      </c>
      <c r="I39" t="n">
        <v>641.592313109317</v>
      </c>
      <c r="J39" t="n">
        <v>726.488476015322</v>
      </c>
      <c r="K39" t="n">
        <v>792.225025805576</v>
      </c>
      <c r="L39" t="n">
        <v>860.233130683771</v>
      </c>
      <c r="M39" t="n">
        <v>909.504172947693</v>
      </c>
      <c r="N39" t="n">
        <v>963.475343333274</v>
      </c>
      <c r="O39" t="n">
        <v>1065.18706111115</v>
      </c>
      <c r="P39" t="n">
        <v>1117.34853924597</v>
      </c>
      <c r="Q39" t="n">
        <v>1153.42204897741</v>
      </c>
      <c r="R39" t="n">
        <v>1161.97859236745</v>
      </c>
      <c r="S39" t="n">
        <v>1414.86720317598</v>
      </c>
      <c r="T39" t="n">
        <v>1231.96532441859</v>
      </c>
      <c r="U39" t="n">
        <v>1423.86562053207</v>
      </c>
      <c r="V39" t="n">
        <v>1341.75298231942</v>
      </c>
      <c r="W39" t="n">
        <v>1183.56784262788</v>
      </c>
      <c r="X39" t="n">
        <v>1082.53026362641</v>
      </c>
      <c r="Y39" t="n">
        <v>934.731326250014</v>
      </c>
      <c r="Z39" t="n">
        <v>851.600458999488</v>
      </c>
      <c r="AA39" t="n">
        <v>814.714005245526</v>
      </c>
      <c r="AB39" t="n">
        <v>760.190291497287</v>
      </c>
      <c r="AC39" t="n">
        <v>692.16779956686</v>
      </c>
      <c r="AD39" t="n">
        <v>651.768490326673</v>
      </c>
      <c r="AE39" t="n">
        <v>639.1</v>
      </c>
      <c r="AF39" t="n">
        <v>658.5</v>
      </c>
    </row>
    <row r="40">
      <c r="A40" t="s">
        <v>141</v>
      </c>
      <c r="B40" t="s">
        <v>350</v>
      </c>
      <c r="C40" t="s">
        <v>246</v>
      </c>
      <c r="D40" t="s">
        <v>351</v>
      </c>
      <c r="E40" t="s">
        <v>247</v>
      </c>
      <c r="F40" t="n">
        <v>64.0666878735961</v>
      </c>
      <c r="G40" t="n">
        <v>63.3085022182873</v>
      </c>
      <c r="H40" t="n">
        <v>60.7342107124232</v>
      </c>
      <c r="I40" t="n">
        <v>69.651907803119</v>
      </c>
      <c r="J40" t="n">
        <v>81.526659993049</v>
      </c>
      <c r="K40" t="n">
        <v>90.3295386180654</v>
      </c>
      <c r="L40" t="n">
        <v>97.3065884598315</v>
      </c>
      <c r="M40" t="n">
        <v>99.9390372297593</v>
      </c>
      <c r="N40" t="n">
        <v>106.547325017597</v>
      </c>
      <c r="O40" t="n">
        <v>116.138483508485</v>
      </c>
      <c r="P40" t="n">
        <v>143.600291732762</v>
      </c>
      <c r="Q40" t="n">
        <v>142.665799595672</v>
      </c>
      <c r="R40" t="n">
        <v>135.366119857143</v>
      </c>
      <c r="S40" t="n">
        <v>129.254271636168</v>
      </c>
      <c r="T40" t="n">
        <v>116.087247703138</v>
      </c>
      <c r="U40" t="n">
        <v>139.373865415188</v>
      </c>
      <c r="V40" t="n">
        <v>133.92413856451</v>
      </c>
      <c r="W40" t="n">
        <v>148.929960324477</v>
      </c>
      <c r="X40" t="n">
        <v>150.315851150689</v>
      </c>
      <c r="Y40" t="n">
        <v>138.894001529203</v>
      </c>
      <c r="Z40" t="n">
        <v>132.78397475337</v>
      </c>
      <c r="AA40" t="n">
        <v>165.021145829324</v>
      </c>
      <c r="AB40" t="n">
        <v>169.278448117305</v>
      </c>
      <c r="AC40" t="n">
        <v>163.774302258276</v>
      </c>
      <c r="AD40" t="n">
        <v>272.50019126554</v>
      </c>
      <c r="AE40" t="n">
        <v>317.9</v>
      </c>
      <c r="AF40" t="n">
        <v>362.1</v>
      </c>
    </row>
    <row r="41">
      <c r="A41" t="s">
        <v>141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141</v>
      </c>
      <c r="B42" t="s">
        <v>354</v>
      </c>
      <c r="C42" t="s">
        <v>246</v>
      </c>
      <c r="D42" t="s">
        <v>355</v>
      </c>
      <c r="E42" t="s">
        <v>247</v>
      </c>
      <c r="F42" t="n">
        <v>1075.03166883459</v>
      </c>
      <c r="G42" t="n">
        <v>1035.18045506465</v>
      </c>
      <c r="H42" t="n">
        <v>1048.09032679063</v>
      </c>
      <c r="I42" t="n">
        <v>1191.85909511701</v>
      </c>
      <c r="J42" t="n">
        <v>1341.46693283321</v>
      </c>
      <c r="K42" t="n">
        <v>1564.56013303904</v>
      </c>
      <c r="L42" t="n">
        <v>1763.35876249486</v>
      </c>
      <c r="M42" t="n">
        <v>1889.47442230582</v>
      </c>
      <c r="N42" t="n">
        <v>1933.52107278743</v>
      </c>
      <c r="O42" t="n">
        <v>1970.12638420674</v>
      </c>
      <c r="P42" t="n">
        <v>2054.98444824162</v>
      </c>
      <c r="Q42" t="n">
        <v>2220.01505933739</v>
      </c>
      <c r="R42" t="n">
        <v>2330.90299028149</v>
      </c>
      <c r="S42" t="n">
        <v>2405.65861366386</v>
      </c>
      <c r="T42" t="n">
        <v>2316.34080239489</v>
      </c>
      <c r="U42" t="n">
        <v>2280.71188567728</v>
      </c>
      <c r="V42" t="n">
        <v>2228.99611461561</v>
      </c>
      <c r="W42" t="n">
        <v>2026.50367948554</v>
      </c>
      <c r="X42" t="n">
        <v>2017.76507506201</v>
      </c>
      <c r="Y42" t="n">
        <v>2000.3148325807</v>
      </c>
      <c r="Z42" t="n">
        <v>1946.31418674041</v>
      </c>
      <c r="AA42" t="n">
        <v>2076.86975931776</v>
      </c>
      <c r="AB42" t="n">
        <v>2041.59986490811</v>
      </c>
      <c r="AC42" t="n">
        <v>1929.43546089444</v>
      </c>
      <c r="AD42" t="n">
        <v>1820.67990022623</v>
      </c>
      <c r="AE42" t="n">
        <v>1747.2</v>
      </c>
      <c r="AF42" t="n">
        <v>1779.7</v>
      </c>
    </row>
    <row r="43">
      <c r="A43" t="s">
        <v>141</v>
      </c>
      <c r="B43" t="s">
        <v>356</v>
      </c>
      <c r="C43" t="s">
        <v>246</v>
      </c>
      <c r="D43" t="s">
        <v>357</v>
      </c>
      <c r="E43" t="s">
        <v>247</v>
      </c>
      <c r="F43" t="n">
        <v>1245.92180610527</v>
      </c>
      <c r="G43" t="n">
        <v>1207.50089093342</v>
      </c>
      <c r="H43" t="n">
        <v>1229.39808003888</v>
      </c>
      <c r="I43" t="n">
        <v>1398.39559525329</v>
      </c>
      <c r="J43" t="n">
        <v>1578.32369603083</v>
      </c>
      <c r="K43" t="n">
        <v>1843.7170909866</v>
      </c>
      <c r="L43" t="n">
        <v>2075.97658697363</v>
      </c>
      <c r="M43" t="n">
        <v>2227.51666175997</v>
      </c>
      <c r="N43" t="n">
        <v>2277.63329441196</v>
      </c>
      <c r="O43" t="n">
        <v>2320.89092888028</v>
      </c>
      <c r="P43" t="n">
        <v>2415.43760094646</v>
      </c>
      <c r="Q43" t="n">
        <v>2608.09898935442</v>
      </c>
      <c r="R43" t="n">
        <v>2745.30515271462</v>
      </c>
      <c r="S43" t="n">
        <v>2858.11194887386</v>
      </c>
      <c r="T43" t="n">
        <v>2742.09065956273</v>
      </c>
      <c r="U43" t="n">
        <v>2700.23812163979</v>
      </c>
      <c r="V43" t="n">
        <v>2640.63994255516</v>
      </c>
      <c r="W43" t="n">
        <v>2470.31246227928</v>
      </c>
      <c r="X43" t="n">
        <v>2472.1240105434</v>
      </c>
      <c r="Y43" t="n">
        <v>2467.81548540629</v>
      </c>
      <c r="Z43" t="n">
        <v>2446.32491646345</v>
      </c>
      <c r="AA43" t="n">
        <v>2586.8254072184</v>
      </c>
      <c r="AB43" t="n">
        <v>2527.53639048032</v>
      </c>
      <c r="AC43" t="n">
        <v>2412.56812059243</v>
      </c>
      <c r="AD43" t="n">
        <v>2317.63080659071</v>
      </c>
      <c r="AE43" t="n">
        <v>2232.9</v>
      </c>
      <c r="AF43" t="n">
        <v>2235.1</v>
      </c>
    </row>
    <row r="44">
      <c r="A44" t="s">
        <v>141</v>
      </c>
      <c r="B44" t="s">
        <v>358</v>
      </c>
      <c r="C44" t="s">
        <v>246</v>
      </c>
      <c r="D44" t="s">
        <v>359</v>
      </c>
      <c r="E44" t="s">
        <v>247</v>
      </c>
      <c r="F44" t="n">
        <v>7419.74798708307</v>
      </c>
      <c r="G44" t="n">
        <v>7778.74045668766</v>
      </c>
      <c r="H44" t="n">
        <v>8346.3175753346</v>
      </c>
      <c r="I44" t="n">
        <v>9345.12437858793</v>
      </c>
      <c r="J44" t="n">
        <v>10399.5835469614</v>
      </c>
      <c r="K44" t="n">
        <v>12079.1015589396</v>
      </c>
      <c r="L44" t="n">
        <v>13126.0179180919</v>
      </c>
      <c r="M44" t="n">
        <v>13898.2086136413</v>
      </c>
      <c r="N44" t="n">
        <v>14152.8849830038</v>
      </c>
      <c r="O44" t="n">
        <v>15030.7453733453</v>
      </c>
      <c r="P44" t="n">
        <v>15911.7388184272</v>
      </c>
      <c r="Q44" t="n">
        <v>16778.6733038265</v>
      </c>
      <c r="R44" t="n">
        <v>17918.2789382512</v>
      </c>
      <c r="S44" t="n">
        <v>18659.6171799797</v>
      </c>
      <c r="T44" t="n">
        <v>17695.0625978143</v>
      </c>
      <c r="U44" t="n">
        <v>17530.9759926852</v>
      </c>
      <c r="V44" t="n">
        <v>17132.9769610729</v>
      </c>
      <c r="W44" t="n">
        <v>16415.7794281873</v>
      </c>
      <c r="X44" t="n">
        <v>15720.8910205692</v>
      </c>
      <c r="Y44" t="n">
        <v>15490.1402749116</v>
      </c>
      <c r="Z44" t="n">
        <v>15262.230181066</v>
      </c>
      <c r="AA44" t="n">
        <v>15277.5661898841</v>
      </c>
      <c r="AB44" t="n">
        <v>15739.4416194669</v>
      </c>
      <c r="AC44" t="n">
        <v>16009.6867436147</v>
      </c>
      <c r="AD44" t="n">
        <v>15946.6045671686</v>
      </c>
      <c r="AE44" t="n">
        <v>15593.9</v>
      </c>
      <c r="AF44" t="n">
        <v>15975.2</v>
      </c>
    </row>
    <row r="45">
      <c r="A45" t="s">
        <v>141</v>
      </c>
      <c r="B45" t="s">
        <v>360</v>
      </c>
      <c r="C45" t="s">
        <v>246</v>
      </c>
      <c r="D45" t="s">
        <v>361</v>
      </c>
      <c r="E45" t="s">
        <v>247</v>
      </c>
      <c r="F45" t="n">
        <v>7356.81830265198</v>
      </c>
      <c r="G45" t="n">
        <v>7712.5802350194</v>
      </c>
      <c r="H45" t="n">
        <v>8284.99419180348</v>
      </c>
      <c r="I45" t="n">
        <v>9276.34734279426</v>
      </c>
      <c r="J45" t="n">
        <v>10323.825322158</v>
      </c>
      <c r="K45" t="n">
        <v>11994.0121349419</v>
      </c>
      <c r="L45" t="n">
        <v>13031.5028994995</v>
      </c>
      <c r="M45" t="n">
        <v>13798.7375638544</v>
      </c>
      <c r="N45" t="n">
        <v>14044.3379521024</v>
      </c>
      <c r="O45" t="n">
        <v>14913.2284185673</v>
      </c>
      <c r="P45" t="n">
        <v>15786.4099076287</v>
      </c>
      <c r="Q45" t="n">
        <v>16644.8062711126</v>
      </c>
      <c r="R45" t="n">
        <v>17777.7286540529</v>
      </c>
      <c r="S45" t="n">
        <v>18513.956288019</v>
      </c>
      <c r="T45" t="n">
        <v>17537.6992861024</v>
      </c>
      <c r="U45" t="n">
        <v>17383.6474086698</v>
      </c>
      <c r="V45" t="n">
        <v>16989.017831529</v>
      </c>
      <c r="W45" t="n">
        <v>16289.655193734</v>
      </c>
      <c r="X45" t="n">
        <v>15610.5509842768</v>
      </c>
      <c r="Y45" t="n">
        <v>15394.346722175</v>
      </c>
      <c r="Z45" t="n">
        <v>15175.2768931957</v>
      </c>
      <c r="AA45" t="n">
        <v>15193.306925148</v>
      </c>
      <c r="AB45" t="n">
        <v>15655.5836833556</v>
      </c>
      <c r="AC45" t="n">
        <v>15925.0992644188</v>
      </c>
      <c r="AD45" t="n">
        <v>15859.6967132223</v>
      </c>
      <c r="AE45" t="n">
        <v>15507.5</v>
      </c>
      <c r="AF45" t="n">
        <v>15882.8</v>
      </c>
    </row>
    <row r="46">
      <c r="A46" t="s">
        <v>141</v>
      </c>
      <c r="B46" t="s">
        <v>362</v>
      </c>
      <c r="C46" t="s">
        <v>246</v>
      </c>
      <c r="D46" t="s">
        <v>363</v>
      </c>
      <c r="E46" t="s">
        <v>247</v>
      </c>
      <c r="F46" t="n">
        <v>170.915149854563</v>
      </c>
      <c r="G46" t="n">
        <v>172.341027078044</v>
      </c>
      <c r="H46" t="n">
        <v>181.326083398252</v>
      </c>
      <c r="I46" t="n">
        <v>206.557334878383</v>
      </c>
      <c r="J46" t="n">
        <v>236.880432004425</v>
      </c>
      <c r="K46" t="n">
        <v>279.184089349269</v>
      </c>
      <c r="L46" t="n">
        <v>312.648893381452</v>
      </c>
      <c r="M46" t="n">
        <v>338.075158807052</v>
      </c>
      <c r="N46" t="n">
        <v>344.146194893911</v>
      </c>
      <c r="O46" t="n">
        <v>350.799117744663</v>
      </c>
      <c r="P46" t="n">
        <v>360.490805133223</v>
      </c>
      <c r="Q46" t="n">
        <v>388.124970598767</v>
      </c>
      <c r="R46" t="n">
        <v>414.443990193757</v>
      </c>
      <c r="S46" t="n">
        <v>452.491307326298</v>
      </c>
      <c r="T46" t="n">
        <v>425.788883048832</v>
      </c>
      <c r="U46" t="n">
        <v>419.564573442812</v>
      </c>
      <c r="V46" t="n">
        <v>411.681072201002</v>
      </c>
      <c r="W46" t="n">
        <v>443.817228206832</v>
      </c>
      <c r="X46" t="n">
        <v>454.364013034599</v>
      </c>
      <c r="Y46" t="n">
        <v>467.502768566768</v>
      </c>
      <c r="Z46" t="n">
        <v>500.007627417187</v>
      </c>
      <c r="AA46" t="n">
        <v>509.953904299087</v>
      </c>
      <c r="AB46" t="n">
        <v>485.935805070374</v>
      </c>
      <c r="AC46" t="n">
        <v>483.131730110575</v>
      </c>
      <c r="AD46" t="n">
        <v>496.950563439065</v>
      </c>
      <c r="AE46" t="n">
        <v>485.7</v>
      </c>
      <c r="AF46" t="n">
        <v>455.4</v>
      </c>
    </row>
    <row r="47">
      <c r="A47" t="s">
        <v>141</v>
      </c>
      <c r="B47" t="s">
        <v>364</v>
      </c>
      <c r="C47" t="s">
        <v>246</v>
      </c>
      <c r="D47" t="s">
        <v>365</v>
      </c>
      <c r="E47" t="s">
        <v>247</v>
      </c>
      <c r="F47" t="n">
        <v>598.688342198938</v>
      </c>
      <c r="G47" t="n">
        <v>625.370043118986</v>
      </c>
      <c r="H47" t="n">
        <v>659.970629103286</v>
      </c>
      <c r="I47" t="n">
        <v>742.105285249643</v>
      </c>
      <c r="J47" t="n">
        <v>861.242893535276</v>
      </c>
      <c r="K47" t="n">
        <v>908.355314947362</v>
      </c>
      <c r="L47" t="n">
        <v>957.101285705793</v>
      </c>
      <c r="M47" t="n">
        <v>1008.78606124737</v>
      </c>
      <c r="N47" t="n">
        <v>1157.69397793118</v>
      </c>
      <c r="O47" t="n">
        <v>1245.81934383248</v>
      </c>
      <c r="P47" t="n">
        <v>1365.21490938006</v>
      </c>
      <c r="Q47" t="n">
        <v>1509.56799366868</v>
      </c>
      <c r="R47" t="n">
        <v>1696.46180257708</v>
      </c>
      <c r="S47" t="n">
        <v>1955.91271073098</v>
      </c>
      <c r="T47" t="n">
        <v>2195.83993037357</v>
      </c>
      <c r="U47" t="n">
        <v>2142.60605054817</v>
      </c>
      <c r="V47" t="n">
        <v>2043.69691746464</v>
      </c>
      <c r="W47" t="n">
        <v>1795.8495931287</v>
      </c>
      <c r="X47" t="n">
        <v>1570.02291887556</v>
      </c>
      <c r="Y47" t="n">
        <v>1324.31298556817</v>
      </c>
      <c r="Z47" t="n">
        <v>1160.6694005651</v>
      </c>
      <c r="AA47" t="n">
        <v>1095.69844135126</v>
      </c>
      <c r="AB47" t="n">
        <v>1074.51622192267</v>
      </c>
      <c r="AC47" t="n">
        <v>1045.85137780411</v>
      </c>
      <c r="AD47" t="n">
        <v>1031.40038045069</v>
      </c>
      <c r="AE47" t="n">
        <v>1038.9</v>
      </c>
      <c r="AF47" t="n">
        <v>1113.9</v>
      </c>
    </row>
    <row r="48">
      <c r="A48" t="s">
        <v>141</v>
      </c>
      <c r="B48" t="s">
        <v>366</v>
      </c>
      <c r="C48" t="s">
        <v>246</v>
      </c>
      <c r="D48" t="s">
        <v>367</v>
      </c>
      <c r="E48" t="s">
        <v>247</v>
      </c>
      <c r="F48" t="n">
        <v>951.705631441669</v>
      </c>
      <c r="G48" t="n">
        <v>949.81563912424</v>
      </c>
      <c r="H48" t="n">
        <v>955.421793856966</v>
      </c>
      <c r="I48" t="n">
        <v>1066.1017764395</v>
      </c>
      <c r="J48" t="n">
        <v>1227.89149663976</v>
      </c>
      <c r="K48" t="n">
        <v>1318.5585902735</v>
      </c>
      <c r="L48" t="n">
        <v>1419.09602122463</v>
      </c>
      <c r="M48" t="n">
        <v>1508.51441011804</v>
      </c>
      <c r="N48" t="n">
        <v>1674.64718670066</v>
      </c>
      <c r="O48" t="n">
        <v>1797.37591423376</v>
      </c>
      <c r="P48" t="n">
        <v>1962.3457261119</v>
      </c>
      <c r="Q48" t="n">
        <v>2168.17389704693</v>
      </c>
      <c r="R48" t="n">
        <v>2387.55843887442</v>
      </c>
      <c r="S48" t="n">
        <v>2658.05886795142</v>
      </c>
      <c r="T48" t="n">
        <v>2898.79100215999</v>
      </c>
      <c r="U48" t="n">
        <v>2863.871363403</v>
      </c>
      <c r="V48" t="n">
        <v>2771.10312877036</v>
      </c>
      <c r="W48" t="n">
        <v>2490.19091158849</v>
      </c>
      <c r="X48" t="n">
        <v>2257.96776700443</v>
      </c>
      <c r="Y48" t="n">
        <v>2024.3180324196</v>
      </c>
      <c r="Z48" t="n">
        <v>1966.93235281557</v>
      </c>
      <c r="AA48" t="n">
        <v>1927.45278130452</v>
      </c>
      <c r="AB48" t="n">
        <v>2098.64002154343</v>
      </c>
      <c r="AC48" t="n">
        <v>2106.11810139848</v>
      </c>
      <c r="AD48" t="n">
        <v>2249.05774714829</v>
      </c>
      <c r="AE48" t="n">
        <v>2559</v>
      </c>
      <c r="AF48" t="n">
        <v>2770.9</v>
      </c>
    </row>
    <row r="49">
      <c r="A49" t="s">
        <v>141</v>
      </c>
      <c r="B49" t="s">
        <v>368</v>
      </c>
      <c r="C49" t="s">
        <v>246</v>
      </c>
      <c r="D49" t="s">
        <v>369</v>
      </c>
      <c r="E49" t="s">
        <v>247</v>
      </c>
      <c r="F49" t="n">
        <v>53.5367153961065</v>
      </c>
      <c r="G49" t="n">
        <v>61.0623390905769</v>
      </c>
      <c r="H49" t="n">
        <v>66.996296807843</v>
      </c>
      <c r="I49" t="n">
        <v>84.4285259350596</v>
      </c>
      <c r="J49" t="n">
        <v>97.4483460673938</v>
      </c>
      <c r="K49" t="n">
        <v>110.093548543698</v>
      </c>
      <c r="L49" t="n">
        <v>122.409098041807</v>
      </c>
      <c r="M49" t="n">
        <v>143.423131038976</v>
      </c>
      <c r="N49" t="n">
        <v>146.868187283907</v>
      </c>
      <c r="O49" t="n">
        <v>167.306155093642</v>
      </c>
      <c r="P49" t="n">
        <v>177.000717246619</v>
      </c>
      <c r="Q49" t="n">
        <v>205.374878026611</v>
      </c>
      <c r="R49" t="n">
        <v>212.897767331615</v>
      </c>
      <c r="S49" t="n">
        <v>217.996436586497</v>
      </c>
      <c r="T49" t="n">
        <v>214.248300405587</v>
      </c>
      <c r="U49" t="n">
        <v>209.520539201803</v>
      </c>
      <c r="V49" t="n">
        <v>202.331677314414</v>
      </c>
      <c r="W49" t="n">
        <v>184.512053559856</v>
      </c>
      <c r="X49" t="n">
        <v>165.123373566846</v>
      </c>
      <c r="Y49" t="n">
        <v>170.616714761829</v>
      </c>
      <c r="Z49" t="n">
        <v>183.052971464418</v>
      </c>
      <c r="AA49" t="n">
        <v>170.828720964813</v>
      </c>
      <c r="AB49" t="n">
        <v>213.282596459627</v>
      </c>
      <c r="AC49" t="n">
        <v>250.767999245375</v>
      </c>
      <c r="AD49" t="n">
        <v>247.70856635597</v>
      </c>
      <c r="AE49" t="n">
        <v>456.7</v>
      </c>
      <c r="AF49" t="n">
        <v>408.8</v>
      </c>
    </row>
    <row r="50">
      <c r="A50" t="s">
        <v>141</v>
      </c>
      <c r="B50" t="s">
        <v>370</v>
      </c>
      <c r="C50" t="s">
        <v>246</v>
      </c>
      <c r="D50" t="s">
        <v>371</v>
      </c>
      <c r="E50" t="s">
        <v>247</v>
      </c>
      <c r="F50" t="n">
        <v>300.473893054687</v>
      </c>
      <c r="G50" t="n">
        <v>264.044168129095</v>
      </c>
      <c r="H50" t="n">
        <v>228.851030182153</v>
      </c>
      <c r="I50" t="n">
        <v>240.058138244571</v>
      </c>
      <c r="J50" t="n">
        <v>269.690001847738</v>
      </c>
      <c r="K50" t="n">
        <v>300.892974531758</v>
      </c>
      <c r="L50" t="n">
        <v>340.651165335272</v>
      </c>
      <c r="M50" t="n">
        <v>357.523483706886</v>
      </c>
      <c r="N50" t="n">
        <v>370.946486139311</v>
      </c>
      <c r="O50" t="n">
        <v>385.125815650536</v>
      </c>
      <c r="P50" t="n">
        <v>421.046877697443</v>
      </c>
      <c r="Q50" t="n">
        <v>454.2272022986</v>
      </c>
      <c r="R50" t="n">
        <v>479.067752424305</v>
      </c>
      <c r="S50" t="n">
        <v>484.62117562487</v>
      </c>
      <c r="T50" t="n">
        <v>488.8531469689</v>
      </c>
      <c r="U50" t="n">
        <v>511.571729170568</v>
      </c>
      <c r="V50" t="n">
        <v>524.90598775049</v>
      </c>
      <c r="W50" t="n">
        <v>509.676607061404</v>
      </c>
      <c r="X50" t="n">
        <v>522.783490328925</v>
      </c>
      <c r="Y50" t="n">
        <v>529.354640732813</v>
      </c>
      <c r="Z50" t="n">
        <v>623.289996394592</v>
      </c>
      <c r="AA50" t="n">
        <v>661.01489807195</v>
      </c>
      <c r="AB50" t="n">
        <v>810.835480705034</v>
      </c>
      <c r="AC50" t="n">
        <v>809.485126970834</v>
      </c>
      <c r="AD50" t="n">
        <v>969.841883519207</v>
      </c>
      <c r="AE50" t="n">
        <v>1063.4</v>
      </c>
      <c r="AF50" t="n">
        <v>1248.2</v>
      </c>
    </row>
    <row r="51">
      <c r="A51" t="s">
        <v>141</v>
      </c>
      <c r="B51" t="s">
        <v>372</v>
      </c>
      <c r="C51" t="s">
        <v>246</v>
      </c>
      <c r="D51" t="s">
        <v>373</v>
      </c>
      <c r="E51" t="s">
        <v>247</v>
      </c>
      <c r="F51" t="n">
        <v>283.356475016371</v>
      </c>
      <c r="G51" t="n">
        <v>249.768551685014</v>
      </c>
      <c r="H51" t="n">
        <v>217.052793478858</v>
      </c>
      <c r="I51" t="n">
        <v>227.886591764478</v>
      </c>
      <c r="J51" t="n">
        <v>255.120841746876</v>
      </c>
      <c r="K51" t="n">
        <v>284.31477212373</v>
      </c>
      <c r="L51" t="n">
        <v>320.985499214189</v>
      </c>
      <c r="M51" t="n">
        <v>336.064089899529</v>
      </c>
      <c r="N51" t="n">
        <v>349.666252199834</v>
      </c>
      <c r="O51" t="n">
        <v>362.606282213216</v>
      </c>
      <c r="P51" t="n">
        <v>396.816309390297</v>
      </c>
      <c r="Q51" t="n">
        <v>428.012560128528</v>
      </c>
      <c r="R51" t="n">
        <v>450.267923089243</v>
      </c>
      <c r="S51" t="n">
        <v>455.481193781945</v>
      </c>
      <c r="T51" t="n">
        <v>460.438647709489</v>
      </c>
      <c r="U51" t="n">
        <v>485.236821371197</v>
      </c>
      <c r="V51" t="n">
        <v>498.921798646962</v>
      </c>
      <c r="W51" t="n">
        <v>481.207931078538</v>
      </c>
      <c r="X51" t="n">
        <v>487.069821711831</v>
      </c>
      <c r="Y51" t="n">
        <v>480.174783315557</v>
      </c>
      <c r="Z51" t="n">
        <v>570.296203678804</v>
      </c>
      <c r="AA51" t="n">
        <v>599.417270957333</v>
      </c>
      <c r="AB51" t="n">
        <v>746.382952879573</v>
      </c>
      <c r="AC51" t="n">
        <v>747.421615491429</v>
      </c>
      <c r="AD51" t="n">
        <v>905.239926962873</v>
      </c>
      <c r="AE51" t="n">
        <v>999.2</v>
      </c>
      <c r="AF51"/>
    </row>
    <row r="52">
      <c r="A52" t="s">
        <v>141</v>
      </c>
      <c r="B52" t="s">
        <v>374</v>
      </c>
      <c r="C52" t="s">
        <v>246</v>
      </c>
      <c r="D52" t="s">
        <v>375</v>
      </c>
      <c r="E52" t="s">
        <v>247</v>
      </c>
      <c r="F52" t="n">
        <v>17.1232529499915</v>
      </c>
      <c r="G52" t="n">
        <v>14.285144726236</v>
      </c>
      <c r="H52" t="n">
        <v>11.8090529736884</v>
      </c>
      <c r="I52" t="n">
        <v>12.1839435442817</v>
      </c>
      <c r="J52" t="n">
        <v>14.5807848972552</v>
      </c>
      <c r="K52" t="n">
        <v>16.5919276417041</v>
      </c>
      <c r="L52" t="n">
        <v>19.685337879988</v>
      </c>
      <c r="M52" t="n">
        <v>21.4835177824869</v>
      </c>
      <c r="N52" t="n">
        <v>21.3014540724658</v>
      </c>
      <c r="O52" t="n">
        <v>22.5432428748965</v>
      </c>
      <c r="P52" t="n">
        <v>24.2541139859378</v>
      </c>
      <c r="Q52" t="n">
        <v>26.2404422865103</v>
      </c>
      <c r="R52" t="n">
        <v>28.8320909074002</v>
      </c>
      <c r="S52" t="n">
        <v>29.1726274141805</v>
      </c>
      <c r="T52" t="n">
        <v>28.4463379349893</v>
      </c>
      <c r="U52" t="n">
        <v>26.3733254538969</v>
      </c>
      <c r="V52" t="n">
        <v>26.0263080137141</v>
      </c>
      <c r="W52" t="n">
        <v>28.5050040150202</v>
      </c>
      <c r="X52" t="n">
        <v>35.7376169740552</v>
      </c>
      <c r="Y52" t="n">
        <v>49.1930450516362</v>
      </c>
      <c r="Z52" t="n">
        <v>53.0106871288141</v>
      </c>
      <c r="AA52" t="n">
        <v>61.6210335704806</v>
      </c>
      <c r="AB52" t="n">
        <v>64.4635194682952</v>
      </c>
      <c r="AC52" t="n">
        <v>62.0721308428585</v>
      </c>
      <c r="AD52" t="n">
        <v>64.6056872037915</v>
      </c>
      <c r="AE52" t="n">
        <v>64.2</v>
      </c>
      <c r="AF52"/>
    </row>
    <row r="53">
      <c r="A53" t="s">
        <v>141</v>
      </c>
      <c r="B53" t="s">
        <v>376</v>
      </c>
      <c r="C53" t="s">
        <v>246</v>
      </c>
      <c r="D53" t="s">
        <v>377</v>
      </c>
      <c r="E53" t="s">
        <v>247</v>
      </c>
      <c r="F53" t="n">
        <v>71.0392118538123</v>
      </c>
      <c r="G53" t="n">
        <v>103.519707113176</v>
      </c>
      <c r="H53" t="n">
        <v>106.957630965643</v>
      </c>
      <c r="I53" t="n">
        <v>192.561363752569</v>
      </c>
      <c r="J53" t="n">
        <v>215.556749870477</v>
      </c>
      <c r="K53" t="n">
        <v>234.287749975393</v>
      </c>
      <c r="L53" t="n">
        <v>262.700379694079</v>
      </c>
      <c r="M53" t="n">
        <v>275.684854048586</v>
      </c>
      <c r="N53" t="n">
        <v>277.314518210449</v>
      </c>
      <c r="O53" t="n">
        <v>275.415103702158</v>
      </c>
      <c r="P53" t="n">
        <v>304.274771929107</v>
      </c>
      <c r="Q53" t="n">
        <v>309.674870270511</v>
      </c>
      <c r="R53" t="n">
        <v>335.660070896538</v>
      </c>
      <c r="S53" t="n">
        <v>338.490256991787</v>
      </c>
      <c r="T53" t="n">
        <v>322.423446078187</v>
      </c>
      <c r="U53" t="n">
        <v>317.120808066176</v>
      </c>
      <c r="V53" t="n">
        <v>308.308675922472</v>
      </c>
      <c r="W53" t="n">
        <v>281.008749258279</v>
      </c>
      <c r="X53" t="n">
        <v>263.425721716521</v>
      </c>
      <c r="Y53" t="n">
        <v>272.044968234853</v>
      </c>
      <c r="Z53" t="n">
        <v>276.191662495954</v>
      </c>
      <c r="AA53" t="n">
        <v>280.648038288572</v>
      </c>
      <c r="AB53" t="n">
        <v>275.884420448354</v>
      </c>
      <c r="AC53" t="n">
        <v>277.546374788404</v>
      </c>
      <c r="AD53" t="n">
        <v>297.378650904033</v>
      </c>
      <c r="AE53" t="n">
        <v>291.5</v>
      </c>
      <c r="AF53" t="n">
        <v>409.2</v>
      </c>
    </row>
    <row r="54">
      <c r="A54" t="s">
        <v>141</v>
      </c>
      <c r="B54" t="s">
        <v>378</v>
      </c>
      <c r="C54" t="s">
        <v>246</v>
      </c>
      <c r="D54" t="s">
        <v>379</v>
      </c>
      <c r="E54" t="s">
        <v>247</v>
      </c>
      <c r="F54" t="n">
        <v>87.9594053972309</v>
      </c>
      <c r="G54" t="n">
        <v>126.809725923654</v>
      </c>
      <c r="H54" t="n">
        <v>129.772123439579</v>
      </c>
      <c r="I54" t="n">
        <v>236.205967971968</v>
      </c>
      <c r="J54" t="n">
        <v>264.606685543534</v>
      </c>
      <c r="K54" t="n">
        <v>292.960980132258</v>
      </c>
      <c r="L54" t="n">
        <v>330.419731408711</v>
      </c>
      <c r="M54" t="n">
        <v>342.46579396078</v>
      </c>
      <c r="N54" t="n">
        <v>347.898884293315</v>
      </c>
      <c r="O54" t="n">
        <v>347.613877015085</v>
      </c>
      <c r="P54" t="n">
        <v>378.179924821583</v>
      </c>
      <c r="Q54" t="n">
        <v>387.634422942123</v>
      </c>
      <c r="R54" t="n">
        <v>418.361541833877</v>
      </c>
      <c r="S54" t="n">
        <v>436.595491004222</v>
      </c>
      <c r="T54" t="n">
        <v>411.339897973532</v>
      </c>
      <c r="U54" t="n">
        <v>402.693459535187</v>
      </c>
      <c r="V54" t="n">
        <v>390.979162469215</v>
      </c>
      <c r="W54" t="n">
        <v>378.792798963681</v>
      </c>
      <c r="X54" t="n">
        <v>371.545215865896</v>
      </c>
      <c r="Y54" t="n">
        <v>398.053372218277</v>
      </c>
      <c r="Z54" t="n">
        <v>400.236280757999</v>
      </c>
      <c r="AA54" t="n">
        <v>411.017055997271</v>
      </c>
      <c r="AB54" t="n">
        <v>437.681458002028</v>
      </c>
      <c r="AC54" t="n">
        <v>440.486442423118</v>
      </c>
      <c r="AD54" t="n">
        <v>459.688486140725</v>
      </c>
      <c r="AE54" t="n">
        <v>475.4</v>
      </c>
      <c r="AF54" t="n">
        <v>592.6</v>
      </c>
    </row>
    <row r="55">
      <c r="A55" t="s">
        <v>141</v>
      </c>
      <c r="B55" t="s">
        <v>380</v>
      </c>
      <c r="C55" t="s">
        <v>246</v>
      </c>
      <c r="D55" t="s">
        <v>381</v>
      </c>
      <c r="E55" t="s">
        <v>247</v>
      </c>
      <c r="F55" t="n">
        <v>16.9092947706186</v>
      </c>
      <c r="G55" t="n">
        <v>23.2740293191098</v>
      </c>
      <c r="H55" t="n">
        <v>22.7951398269471</v>
      </c>
      <c r="I55" t="n">
        <v>43.6121890077541</v>
      </c>
      <c r="J55" t="n">
        <v>49.0136986555035</v>
      </c>
      <c r="K55" t="n">
        <v>58.6360198639458</v>
      </c>
      <c r="L55" t="n">
        <v>67.6784585393079</v>
      </c>
      <c r="M55" t="n">
        <v>66.7371726069114</v>
      </c>
      <c r="N55" t="n">
        <v>70.5403764732483</v>
      </c>
      <c r="O55" t="n">
        <v>72.1565306512068</v>
      </c>
      <c r="P55" t="n">
        <v>73.855507134684</v>
      </c>
      <c r="Q55" t="n">
        <v>77.9123589350399</v>
      </c>
      <c r="R55" t="n">
        <v>82.647364174186</v>
      </c>
      <c r="S55" t="n">
        <v>98.0658024837734</v>
      </c>
      <c r="T55" t="n">
        <v>88.8759122386849</v>
      </c>
      <c r="U55" t="n">
        <v>85.5329790935204</v>
      </c>
      <c r="V55" t="n">
        <v>82.6315890292897</v>
      </c>
      <c r="W55" t="n">
        <v>97.7581367477662</v>
      </c>
      <c r="X55" t="n">
        <v>108.098964735262</v>
      </c>
      <c r="Y55" t="n">
        <v>125.98972061368</v>
      </c>
      <c r="Z55" t="n">
        <v>124.024542995789</v>
      </c>
      <c r="AA55" t="n">
        <v>130.350209486377</v>
      </c>
      <c r="AB55" t="n">
        <v>161.796563525892</v>
      </c>
      <c r="AC55" t="n">
        <v>162.939634944508</v>
      </c>
      <c r="AD55" t="n">
        <v>162.30644983462</v>
      </c>
      <c r="AE55" t="n">
        <v>183.9</v>
      </c>
      <c r="AF55" t="n">
        <v>183.4</v>
      </c>
    </row>
    <row r="56">
      <c r="A56" t="s">
        <v>141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141</v>
      </c>
      <c r="B57" t="s">
        <v>384</v>
      </c>
      <c r="C57" t="s">
        <v>246</v>
      </c>
      <c r="D57" t="s">
        <v>385</v>
      </c>
      <c r="E57" t="s">
        <v>247</v>
      </c>
      <c r="F57" t="n">
        <v>8435.01315151183</v>
      </c>
      <c r="G57" t="n">
        <v>8790.98740348362</v>
      </c>
      <c r="H57" t="n">
        <v>9361.20070842306</v>
      </c>
      <c r="I57" t="n">
        <v>10479.5313923855</v>
      </c>
      <c r="J57" t="n">
        <v>11707.7029714714</v>
      </c>
      <c r="K57" t="n">
        <v>13486.0337280796</v>
      </c>
      <c r="L57" t="n">
        <v>14640.2127805856</v>
      </c>
      <c r="M57" t="n">
        <v>15504.3567302762</v>
      </c>
      <c r="N57" t="n">
        <v>15932.4558198808</v>
      </c>
      <c r="O57" t="n">
        <v>16942.6292322613</v>
      </c>
      <c r="P57" t="n">
        <v>18016.2405614649</v>
      </c>
      <c r="Q57" t="n">
        <v>19088.424457804</v>
      </c>
      <c r="R57" t="n">
        <v>20440.3104781108</v>
      </c>
      <c r="S57" t="n">
        <v>21446.4104245557</v>
      </c>
      <c r="T57" t="n">
        <v>20710.1660219574</v>
      </c>
      <c r="U57" t="n">
        <v>20534.1001511571</v>
      </c>
      <c r="V57" t="n">
        <v>20037.8844266918</v>
      </c>
      <c r="W57" t="n">
        <v>19054.7801995088</v>
      </c>
      <c r="X57" t="n">
        <v>18129.1596857595</v>
      </c>
      <c r="Y57" t="n">
        <v>17653.3323985809</v>
      </c>
      <c r="Z57" t="n">
        <v>17362.0358853819</v>
      </c>
      <c r="AA57" t="n">
        <v>17370.1184321829</v>
      </c>
      <c r="AB57" t="n">
        <v>18007.3373130443</v>
      </c>
      <c r="AC57" t="n">
        <v>18279.5557413376</v>
      </c>
      <c r="AD57" t="n">
        <v>18468.0634950945</v>
      </c>
      <c r="AE57" t="n">
        <v>18470.8</v>
      </c>
      <c r="AF57" t="n">
        <v>19108.2</v>
      </c>
    </row>
    <row r="58">
      <c r="A58" t="s">
        <v>141</v>
      </c>
      <c r="B58" t="s">
        <v>386</v>
      </c>
      <c r="C58" t="s">
        <v>246</v>
      </c>
      <c r="D58" t="s">
        <v>387</v>
      </c>
      <c r="E58" t="s">
        <v>247</v>
      </c>
      <c r="F58" t="n">
        <v>8435.01315151183</v>
      </c>
      <c r="G58" t="n">
        <v>8790.98740348362</v>
      </c>
      <c r="H58" t="n">
        <v>9361.20070842306</v>
      </c>
      <c r="I58" t="n">
        <v>10479.5313923855</v>
      </c>
      <c r="J58" t="n">
        <v>11707.7029714714</v>
      </c>
      <c r="K58" t="n">
        <v>13486.0337280796</v>
      </c>
      <c r="L58" t="n">
        <v>14640.2127805856</v>
      </c>
      <c r="M58" t="n">
        <v>15504.3567302762</v>
      </c>
      <c r="N58" t="n">
        <v>15932.4558198808</v>
      </c>
      <c r="O58" t="n">
        <v>16942.6292322613</v>
      </c>
      <c r="P58" t="n">
        <v>18016.2405614649</v>
      </c>
      <c r="Q58" t="n">
        <v>19088.424457804</v>
      </c>
      <c r="R58" t="n">
        <v>20440.3104781108</v>
      </c>
      <c r="S58" t="n">
        <v>21446.4104245557</v>
      </c>
      <c r="T58" t="n">
        <v>20710.1660219574</v>
      </c>
      <c r="U58" t="n">
        <v>20534.1001511571</v>
      </c>
      <c r="V58" t="n">
        <v>20037.8844266918</v>
      </c>
      <c r="W58" t="n">
        <v>19054.7801995088</v>
      </c>
      <c r="X58" t="n">
        <v>18129.1596857595</v>
      </c>
      <c r="Y58" t="n">
        <v>17653.3323985809</v>
      </c>
      <c r="Z58" t="n">
        <v>17362.0358853819</v>
      </c>
      <c r="AA58" t="n">
        <v>17370.1184321829</v>
      </c>
      <c r="AB58" t="n">
        <v>18007.3373130443</v>
      </c>
      <c r="AC58" t="n">
        <v>18279.5557413376</v>
      </c>
      <c r="AD58" t="n">
        <v>18468.0634950945</v>
      </c>
      <c r="AE58" t="n">
        <v>18470.8</v>
      </c>
      <c r="AF58" t="n">
        <v>19108.2</v>
      </c>
    </row>
    <row r="59">
      <c r="A59" t="s">
        <v>141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142</v>
      </c>
      <c r="B2" t="s">
        <v>197</v>
      </c>
      <c r="C2" t="s">
        <v>246</v>
      </c>
      <c r="D2" t="s">
        <v>199</v>
      </c>
      <c r="E2" t="s">
        <v>247</v>
      </c>
      <c r="F2" t="n">
        <v>4.73080372815418</v>
      </c>
      <c r="G2" t="n">
        <v>5.57811185856986</v>
      </c>
      <c r="H2" t="n">
        <v>7.29445396889904</v>
      </c>
      <c r="I2" t="n">
        <v>8.01667713413657</v>
      </c>
      <c r="J2" t="n">
        <v>8.53150961064075</v>
      </c>
      <c r="K2" t="n">
        <v>9.95342787908088</v>
      </c>
      <c r="L2" t="n">
        <v>10.9933382545072</v>
      </c>
      <c r="M2" t="n">
        <v>11.5063607063842</v>
      </c>
      <c r="N2" t="n">
        <v>12.8008262858525</v>
      </c>
      <c r="O2" t="n">
        <v>14.8489584915889</v>
      </c>
      <c r="P2" t="n">
        <v>16.1368783607573</v>
      </c>
      <c r="Q2" t="n">
        <v>16.7605258336368</v>
      </c>
      <c r="R2" t="n">
        <v>16.5103687316422</v>
      </c>
      <c r="S2" t="n">
        <v>17.7935580113035</v>
      </c>
      <c r="T2" t="n">
        <v>17.9671536992187</v>
      </c>
      <c r="U2" t="n">
        <v>18.9082903215587</v>
      </c>
      <c r="V2" t="n">
        <v>19.7072321661316</v>
      </c>
      <c r="W2" t="n">
        <v>19.7984693520859</v>
      </c>
      <c r="X2" t="n">
        <v>19.3464495038648</v>
      </c>
      <c r="Y2" t="n">
        <v>18.591466108592</v>
      </c>
      <c r="Z2" t="n">
        <v>18.2994535519126</v>
      </c>
      <c r="AA2" t="n">
        <v>18.6929901874376</v>
      </c>
      <c r="AB2" t="n">
        <v>18.4962218696751</v>
      </c>
      <c r="AC2" t="n">
        <v>18.2994535519126</v>
      </c>
      <c r="AD2" t="n">
        <v>18.2</v>
      </c>
      <c r="AE2" t="n">
        <v>17.6</v>
      </c>
      <c r="AF2" t="n">
        <v>17</v>
      </c>
    </row>
    <row r="3">
      <c r="A3" t="s">
        <v>142</v>
      </c>
      <c r="B3" t="s">
        <v>276</v>
      </c>
      <c r="C3" t="s">
        <v>246</v>
      </c>
      <c r="D3" t="s">
        <v>277</v>
      </c>
      <c r="E3" t="s">
        <v>247</v>
      </c>
      <c r="F3" t="n">
        <v>31.5880488255182</v>
      </c>
      <c r="G3" t="n">
        <v>29.5733213377859</v>
      </c>
      <c r="H3" t="n">
        <v>26.8053750056778</v>
      </c>
      <c r="I3" t="n">
        <v>23.9333705407838</v>
      </c>
      <c r="J3" t="n">
        <v>24.1584492606031</v>
      </c>
      <c r="K3" t="n">
        <v>27.2068340253479</v>
      </c>
      <c r="L3" t="n">
        <v>27.2068340253479</v>
      </c>
      <c r="M3" t="n">
        <v>23.7873958691567</v>
      </c>
      <c r="N3" t="n">
        <v>21.0958556637781</v>
      </c>
      <c r="O3" t="n">
        <v>26.7755091117183</v>
      </c>
      <c r="P3" t="n">
        <v>29.750565679687</v>
      </c>
      <c r="Q3" t="n">
        <v>29.5150730753623</v>
      </c>
      <c r="R3" t="n">
        <v>28.1696566388786</v>
      </c>
      <c r="S3" t="n">
        <v>25.0684100364332</v>
      </c>
      <c r="T3" t="n">
        <v>22.6227114962934</v>
      </c>
      <c r="U3" t="n">
        <v>24.5079374543179</v>
      </c>
      <c r="V3" t="n">
        <v>26.1950780761731</v>
      </c>
      <c r="W3" t="n">
        <v>39.6120692859203</v>
      </c>
      <c r="X3" t="n">
        <v>49.4924252405319</v>
      </c>
      <c r="Y3" t="n">
        <v>140.717469087325</v>
      </c>
      <c r="Z3" t="n">
        <v>157.63485765724</v>
      </c>
      <c r="AA3" t="n">
        <v>210.707900185054</v>
      </c>
      <c r="AB3" t="n">
        <v>227.402525187996</v>
      </c>
      <c r="AC3" t="n">
        <v>399.584367673954</v>
      </c>
      <c r="AD3" t="n">
        <v>646.280810453678</v>
      </c>
      <c r="AE3" t="n">
        <v>683.3</v>
      </c>
      <c r="AF3" t="n">
        <v>782.8</v>
      </c>
    </row>
    <row r="4">
      <c r="A4" t="s">
        <v>142</v>
      </c>
      <c r="B4" t="s">
        <v>278</v>
      </c>
      <c r="C4" t="s">
        <v>246</v>
      </c>
      <c r="D4" t="s">
        <v>279</v>
      </c>
      <c r="E4" t="s">
        <v>247</v>
      </c>
      <c r="F4" t="n">
        <v>587.713457732683</v>
      </c>
      <c r="G4" t="n">
        <v>669.591061228638</v>
      </c>
      <c r="H4" t="n">
        <v>882.220268339981</v>
      </c>
      <c r="I4" t="n">
        <v>1005.56576733834</v>
      </c>
      <c r="J4" t="n">
        <v>1055.75111986724</v>
      </c>
      <c r="K4" t="n">
        <v>1171.38966486562</v>
      </c>
      <c r="L4" t="n">
        <v>1296.19629261011</v>
      </c>
      <c r="M4" t="n">
        <v>1269.79311581781</v>
      </c>
      <c r="N4" t="n">
        <v>1279.49392981551</v>
      </c>
      <c r="O4" t="n">
        <v>1373.38823936489</v>
      </c>
      <c r="P4" t="n">
        <v>1401.97508382325</v>
      </c>
      <c r="Q4" t="n">
        <v>1492.31378482808</v>
      </c>
      <c r="R4" t="n">
        <v>1546.93320995516</v>
      </c>
      <c r="S4" t="n">
        <v>1544.43426481876</v>
      </c>
      <c r="T4" t="n">
        <v>1412.76207308998</v>
      </c>
      <c r="U4" t="n">
        <v>1488.64394072687</v>
      </c>
      <c r="V4" t="n">
        <v>1551.72886980059</v>
      </c>
      <c r="W4" t="n">
        <v>1511.15123753771</v>
      </c>
      <c r="X4" t="n">
        <v>1440.91782170012</v>
      </c>
      <c r="Y4" t="n">
        <v>1393.34123877278</v>
      </c>
      <c r="Z4" t="n">
        <v>1371.73222728023</v>
      </c>
      <c r="AA4" t="n">
        <v>1453.23793972349</v>
      </c>
      <c r="AB4" t="n">
        <v>1422.89832411689</v>
      </c>
      <c r="AC4" t="n">
        <v>1424.77497746676</v>
      </c>
      <c r="AD4" t="n">
        <v>1426.07185988568</v>
      </c>
      <c r="AE4" t="n">
        <v>1368.7</v>
      </c>
      <c r="AF4" t="n">
        <v>1283.9</v>
      </c>
    </row>
    <row r="5">
      <c r="A5" t="s">
        <v>142</v>
      </c>
      <c r="B5" t="s">
        <v>280</v>
      </c>
      <c r="C5" t="s">
        <v>246</v>
      </c>
      <c r="D5" t="s">
        <v>281</v>
      </c>
      <c r="E5" t="s">
        <v>247</v>
      </c>
      <c r="F5" t="n">
        <v>60.0147453113099</v>
      </c>
      <c r="G5" t="n">
        <v>74.211781836566</v>
      </c>
      <c r="H5" t="n">
        <v>92.6922548525077</v>
      </c>
      <c r="I5" t="n">
        <v>104.187265920315</v>
      </c>
      <c r="J5" t="n">
        <v>121.241507446942</v>
      </c>
      <c r="K5" t="n">
        <v>136.614415636655</v>
      </c>
      <c r="L5" t="n">
        <v>152.646851190708</v>
      </c>
      <c r="M5" t="n">
        <v>147.620223645445</v>
      </c>
      <c r="N5" t="n">
        <v>151.672543510222</v>
      </c>
      <c r="O5" t="n">
        <v>168.590431486629</v>
      </c>
      <c r="P5" t="n">
        <v>175.449897505525</v>
      </c>
      <c r="Q5" t="n">
        <v>191.834628773914</v>
      </c>
      <c r="R5" t="n">
        <v>201.089808232304</v>
      </c>
      <c r="S5" t="n">
        <v>204.105293788487</v>
      </c>
      <c r="T5" t="n">
        <v>193.685504015501</v>
      </c>
      <c r="U5" t="n">
        <v>199.020244685852</v>
      </c>
      <c r="V5" t="n">
        <v>202.763572172107</v>
      </c>
      <c r="W5" t="n">
        <v>205.231839281506</v>
      </c>
      <c r="X5" t="n">
        <v>200.518033785641</v>
      </c>
      <c r="Y5" t="n">
        <v>198.531770243424</v>
      </c>
      <c r="Z5" t="n">
        <v>210.457361562823</v>
      </c>
      <c r="AA5" t="n">
        <v>239.376679010514</v>
      </c>
      <c r="AB5" t="n">
        <v>235.622525563383</v>
      </c>
      <c r="AC5" t="n">
        <v>227.22859653032</v>
      </c>
      <c r="AD5" t="n">
        <v>249.472660194175</v>
      </c>
      <c r="AE5" t="n">
        <v>258.3</v>
      </c>
      <c r="AF5"/>
    </row>
    <row r="6">
      <c r="A6" t="s">
        <v>142</v>
      </c>
      <c r="B6" t="s">
        <v>282</v>
      </c>
      <c r="C6" t="s">
        <v>246</v>
      </c>
      <c r="D6" t="s">
        <v>283</v>
      </c>
      <c r="E6" t="s">
        <v>247</v>
      </c>
      <c r="F6" t="n">
        <v>46.4856362045807</v>
      </c>
      <c r="G6" t="n">
        <v>54.6044567472664</v>
      </c>
      <c r="H6" t="n">
        <v>73.7741064564131</v>
      </c>
      <c r="I6" t="n">
        <v>94.6217146490711</v>
      </c>
      <c r="J6" t="n">
        <v>100.442293310449</v>
      </c>
      <c r="K6" t="n">
        <v>115.778153664728</v>
      </c>
      <c r="L6" t="n">
        <v>134.043025364118</v>
      </c>
      <c r="M6" t="n">
        <v>130.41223031556</v>
      </c>
      <c r="N6" t="n">
        <v>131.065016785437</v>
      </c>
      <c r="O6" t="n">
        <v>134.824474522253</v>
      </c>
      <c r="P6" t="n">
        <v>136.122331864766</v>
      </c>
      <c r="Q6" t="n">
        <v>145.150052836189</v>
      </c>
      <c r="R6" t="n">
        <v>166.042225269953</v>
      </c>
      <c r="S6" t="n">
        <v>149.136107787921</v>
      </c>
      <c r="T6" t="n">
        <v>140.198456204861</v>
      </c>
      <c r="U6" t="n">
        <v>145.709943426674</v>
      </c>
      <c r="V6" t="n">
        <v>150.079458254035</v>
      </c>
      <c r="W6" t="n">
        <v>149.164897265284</v>
      </c>
      <c r="X6" t="n">
        <v>146.44456479236</v>
      </c>
      <c r="Y6" t="n">
        <v>136.132899700392</v>
      </c>
      <c r="Z6" t="n">
        <v>130.167305676165</v>
      </c>
      <c r="AA6" t="n">
        <v>130.167305676165</v>
      </c>
      <c r="AB6" t="n">
        <v>132.93471991985</v>
      </c>
      <c r="AC6" t="n">
        <v>141.230794565665</v>
      </c>
      <c r="AD6" t="n">
        <v>138.438095238095</v>
      </c>
      <c r="AE6" t="n">
        <v>126.4</v>
      </c>
      <c r="AF6"/>
    </row>
    <row r="7">
      <c r="A7" t="s">
        <v>142</v>
      </c>
      <c r="B7" t="s">
        <v>284</v>
      </c>
      <c r="C7" t="s">
        <v>246</v>
      </c>
      <c r="D7" t="s">
        <v>285</v>
      </c>
      <c r="E7" t="s">
        <v>247</v>
      </c>
      <c r="F7" t="n">
        <v>49.7139957336011</v>
      </c>
      <c r="G7" t="n">
        <v>68.9281693720187</v>
      </c>
      <c r="H7" t="n">
        <v>78.8370457665272</v>
      </c>
      <c r="I7" t="n">
        <v>96.78786009069</v>
      </c>
      <c r="J7" t="n">
        <v>99.5425914932711</v>
      </c>
      <c r="K7" t="n">
        <v>117.372247743971</v>
      </c>
      <c r="L7" t="n">
        <v>134.258171632635</v>
      </c>
      <c r="M7" t="n">
        <v>141.437357216078</v>
      </c>
      <c r="N7" t="n">
        <v>147.231002160925</v>
      </c>
      <c r="O7" t="n">
        <v>147.746310668489</v>
      </c>
      <c r="P7" t="n">
        <v>159.715439035337</v>
      </c>
      <c r="Q7" t="n">
        <v>161.362798671753</v>
      </c>
      <c r="R7" t="n">
        <v>160.18435361103</v>
      </c>
      <c r="S7" t="n">
        <v>150.792156438571</v>
      </c>
      <c r="T7" t="n">
        <v>137.219110998398</v>
      </c>
      <c r="U7" t="n">
        <v>147.628836660345</v>
      </c>
      <c r="V7" t="n">
        <v>156.983711644857</v>
      </c>
      <c r="W7" t="n">
        <v>145.927233700138</v>
      </c>
      <c r="X7" t="n">
        <v>131.878338530249</v>
      </c>
      <c r="Y7" t="n">
        <v>117.120073960149</v>
      </c>
      <c r="Z7" t="n">
        <v>104.693800448922</v>
      </c>
      <c r="AA7" t="n">
        <v>112.71669338777</v>
      </c>
      <c r="AB7" t="n">
        <v>106.388738671264</v>
      </c>
      <c r="AC7" t="n">
        <v>105.104566338184</v>
      </c>
      <c r="AD7" t="n">
        <v>99.2211038961039</v>
      </c>
      <c r="AE7" t="n">
        <v>92.7</v>
      </c>
      <c r="AF7"/>
    </row>
    <row r="8">
      <c r="A8" t="s">
        <v>142</v>
      </c>
      <c r="B8" t="s">
        <v>286</v>
      </c>
      <c r="C8" t="s">
        <v>246</v>
      </c>
      <c r="D8" t="s">
        <v>287</v>
      </c>
      <c r="E8" t="s">
        <v>247</v>
      </c>
      <c r="F8" t="n">
        <v>22.7820717906996</v>
      </c>
      <c r="G8" t="n">
        <v>19.7540749071256</v>
      </c>
      <c r="H8" t="n">
        <v>19.1730727039749</v>
      </c>
      <c r="I8" t="n">
        <v>18.1446320225356</v>
      </c>
      <c r="J8" t="n">
        <v>15.3071998544025</v>
      </c>
      <c r="K8" t="n">
        <v>19.0203324923516</v>
      </c>
      <c r="L8" t="n">
        <v>21.7375228484018</v>
      </c>
      <c r="M8" t="n">
        <v>20.0311643995511</v>
      </c>
      <c r="N8" t="n">
        <v>19.5957043039087</v>
      </c>
      <c r="O8" t="n">
        <v>17.7540027715865</v>
      </c>
      <c r="P8" t="n">
        <v>15.9173817952155</v>
      </c>
      <c r="Q8" t="n">
        <v>16.7053709929984</v>
      </c>
      <c r="R8" t="n">
        <v>16.8749686680542</v>
      </c>
      <c r="S8" t="n">
        <v>18.005765537563</v>
      </c>
      <c r="T8" t="n">
        <v>16.7700757457695</v>
      </c>
      <c r="U8" t="n">
        <v>18.5947990134439</v>
      </c>
      <c r="V8" t="n">
        <v>20.1219081111663</v>
      </c>
      <c r="W8" t="n">
        <v>20.0300272522112</v>
      </c>
      <c r="X8" t="n">
        <v>18.7495688890562</v>
      </c>
      <c r="Y8" t="n">
        <v>16.5605329273897</v>
      </c>
      <c r="Z8" t="n">
        <v>15.7719361213235</v>
      </c>
      <c r="AA8" t="n">
        <v>14.9733570772059</v>
      </c>
      <c r="AB8" t="n">
        <v>13.4859375</v>
      </c>
      <c r="AC8" t="n">
        <v>12.6</v>
      </c>
      <c r="AD8" t="n">
        <v>12.8</v>
      </c>
      <c r="AE8" t="n">
        <v>12.3</v>
      </c>
      <c r="AF8"/>
    </row>
    <row r="9">
      <c r="A9" t="s">
        <v>142</v>
      </c>
      <c r="B9" t="s">
        <v>288</v>
      </c>
      <c r="C9" t="s">
        <v>246</v>
      </c>
      <c r="D9" t="s">
        <v>289</v>
      </c>
      <c r="E9" t="s">
        <v>247</v>
      </c>
      <c r="F9" t="n">
        <v>15.5801915443231</v>
      </c>
      <c r="G9" t="n">
        <v>21.054312897734</v>
      </c>
      <c r="H9" t="n">
        <v>40.6149076506962</v>
      </c>
      <c r="I9" t="n">
        <v>52.2916936002714</v>
      </c>
      <c r="J9" t="n">
        <v>55.9690278900233</v>
      </c>
      <c r="K9" t="n">
        <v>62.0115680131027</v>
      </c>
      <c r="L9" t="n">
        <v>65.8403694279553</v>
      </c>
      <c r="M9" t="n">
        <v>64.0708634186933</v>
      </c>
      <c r="N9" t="n">
        <v>64.7931955880134</v>
      </c>
      <c r="O9" t="n">
        <v>71.2578228122143</v>
      </c>
      <c r="P9" t="n">
        <v>70.115870523557</v>
      </c>
      <c r="Q9" t="n">
        <v>85.3925127046672</v>
      </c>
      <c r="R9" t="n">
        <v>87.7458496689691</v>
      </c>
      <c r="S9" t="n">
        <v>92.5632688664812</v>
      </c>
      <c r="T9" t="n">
        <v>80.3263872410729</v>
      </c>
      <c r="U9" t="n">
        <v>83.7628102246482</v>
      </c>
      <c r="V9" t="n">
        <v>86.2552211558811</v>
      </c>
      <c r="W9" t="n">
        <v>78.4055396538644</v>
      </c>
      <c r="X9" t="n">
        <v>71.9773718531434</v>
      </c>
      <c r="Y9" t="n">
        <v>73.7744415840366</v>
      </c>
      <c r="Z9" t="n">
        <v>68.9864314679866</v>
      </c>
      <c r="AA9" t="n">
        <v>67.8976929512751</v>
      </c>
      <c r="AB9" t="n">
        <v>58.7063022024126</v>
      </c>
      <c r="AC9" t="n">
        <v>52.4903407927454</v>
      </c>
      <c r="AD9" t="n">
        <v>47.5102325581395</v>
      </c>
      <c r="AE9" t="n">
        <v>43.1</v>
      </c>
      <c r="AF9"/>
    </row>
    <row r="10">
      <c r="A10" t="s">
        <v>142</v>
      </c>
      <c r="B10" t="s">
        <v>290</v>
      </c>
      <c r="C10" t="s">
        <v>246</v>
      </c>
      <c r="D10" t="s">
        <v>291</v>
      </c>
      <c r="E10" t="s">
        <v>247</v>
      </c>
      <c r="F10" t="n">
        <v>42.5521218166932</v>
      </c>
      <c r="G10" t="n">
        <v>47.7568441546028</v>
      </c>
      <c r="H10" t="n">
        <v>77.9078069566878</v>
      </c>
      <c r="I10" t="n">
        <v>86.7015053165379</v>
      </c>
      <c r="J10" t="n">
        <v>89.7953568231603</v>
      </c>
      <c r="K10" t="n">
        <v>97.28460730799</v>
      </c>
      <c r="L10" t="n">
        <v>103.223930319838</v>
      </c>
      <c r="M10" t="n">
        <v>99.7535978984986</v>
      </c>
      <c r="N10" t="n">
        <v>98.2356083652606</v>
      </c>
      <c r="O10" t="n">
        <v>110.726299032496</v>
      </c>
      <c r="P10" t="n">
        <v>106.233278645346</v>
      </c>
      <c r="Q10" t="n">
        <v>125.427344477285</v>
      </c>
      <c r="R10" t="n">
        <v>128.537808113786</v>
      </c>
      <c r="S10" t="n">
        <v>128.365736081505</v>
      </c>
      <c r="T10" t="n">
        <v>111.500802750171</v>
      </c>
      <c r="U10" t="n">
        <v>116.654923062197</v>
      </c>
      <c r="V10" t="n">
        <v>120.748078257362</v>
      </c>
      <c r="W10" t="n">
        <v>113.720412327039</v>
      </c>
      <c r="X10" t="n">
        <v>105.843281855341</v>
      </c>
      <c r="Y10" t="n">
        <v>108.113379053311</v>
      </c>
      <c r="Z10" t="n">
        <v>105.767338278194</v>
      </c>
      <c r="AA10" t="n">
        <v>109.926727985764</v>
      </c>
      <c r="AB10" t="n">
        <v>102.809170058628</v>
      </c>
      <c r="AC10" t="n">
        <v>96.3959300837613</v>
      </c>
      <c r="AD10" t="n">
        <v>91.910080183276</v>
      </c>
      <c r="AE10" t="n">
        <v>87.5</v>
      </c>
      <c r="AF10"/>
    </row>
    <row r="11">
      <c r="A11" t="s">
        <v>142</v>
      </c>
      <c r="B11" t="s">
        <v>292</v>
      </c>
      <c r="C11" t="s">
        <v>246</v>
      </c>
      <c r="D11" t="s">
        <v>293</v>
      </c>
      <c r="E11" t="s">
        <v>247</v>
      </c>
      <c r="F11" t="n">
        <v>27.031583344451</v>
      </c>
      <c r="G11" t="n">
        <v>26.749269158086</v>
      </c>
      <c r="H11" t="n">
        <v>37.334541445243</v>
      </c>
      <c r="I11" t="n">
        <v>34.4177803948334</v>
      </c>
      <c r="J11" t="n">
        <v>33.8269172120895</v>
      </c>
      <c r="K11" t="n">
        <v>35.2679742233668</v>
      </c>
      <c r="L11" t="n">
        <v>37.3780239632264</v>
      </c>
      <c r="M11" t="n">
        <v>35.6756585153963</v>
      </c>
      <c r="N11" t="n">
        <v>33.4323615296411</v>
      </c>
      <c r="O11" t="n">
        <v>39.4575343767413</v>
      </c>
      <c r="P11" t="n">
        <v>36.1059291401069</v>
      </c>
      <c r="Q11" t="n">
        <v>40.0219735153896</v>
      </c>
      <c r="R11" t="n">
        <v>40.7786915020252</v>
      </c>
      <c r="S11" t="n">
        <v>35.7888938076845</v>
      </c>
      <c r="T11" t="n">
        <v>31.1625246081546</v>
      </c>
      <c r="U11" t="n">
        <v>32.8794681127361</v>
      </c>
      <c r="V11" t="n">
        <v>34.479009804707</v>
      </c>
      <c r="W11" t="n">
        <v>35.299938609581</v>
      </c>
      <c r="X11" t="n">
        <v>33.8517359999572</v>
      </c>
      <c r="Y11" t="n">
        <v>34.3245256088951</v>
      </c>
      <c r="Z11" t="n">
        <v>36.7692923901555</v>
      </c>
      <c r="AA11" t="n">
        <v>42.022048445892</v>
      </c>
      <c r="AB11" t="n">
        <v>44.0984320161596</v>
      </c>
      <c r="AC11" t="n">
        <v>43.9011235955056</v>
      </c>
      <c r="AD11" t="n">
        <v>44.4</v>
      </c>
      <c r="AE11" t="n">
        <v>44.4</v>
      </c>
      <c r="AF11"/>
    </row>
    <row r="12">
      <c r="A12" t="s">
        <v>142</v>
      </c>
      <c r="B12" t="s">
        <v>294</v>
      </c>
      <c r="C12" t="s">
        <v>246</v>
      </c>
      <c r="D12" t="s">
        <v>295</v>
      </c>
      <c r="E12" t="s">
        <v>247</v>
      </c>
      <c r="F12" t="n">
        <v>67.823365503788</v>
      </c>
      <c r="G12" t="n">
        <v>70.6135672491971</v>
      </c>
      <c r="H12" t="n">
        <v>83.9259610748654</v>
      </c>
      <c r="I12" t="n">
        <v>93.2185478721696</v>
      </c>
      <c r="J12" t="n">
        <v>100.211798869762</v>
      </c>
      <c r="K12" t="n">
        <v>106.493958466583</v>
      </c>
      <c r="L12" t="n">
        <v>115.374726734468</v>
      </c>
      <c r="M12" t="n">
        <v>111.013990746426</v>
      </c>
      <c r="N12" t="n">
        <v>115.64258710328</v>
      </c>
      <c r="O12" t="n">
        <v>129.53734168848</v>
      </c>
      <c r="P12" t="n">
        <v>131.745797249306</v>
      </c>
      <c r="Q12" t="n">
        <v>135.977964442324</v>
      </c>
      <c r="R12" t="n">
        <v>137.491633805318</v>
      </c>
      <c r="S12" t="n">
        <v>140.504913193663</v>
      </c>
      <c r="T12" t="n">
        <v>123.269877141887</v>
      </c>
      <c r="U12" t="n">
        <v>129.201272903945</v>
      </c>
      <c r="V12" t="n">
        <v>134.365762103413</v>
      </c>
      <c r="W12" t="n">
        <v>133.81770325051</v>
      </c>
      <c r="X12" t="n">
        <v>130.103061521823</v>
      </c>
      <c r="Y12" t="n">
        <v>122.817290076601</v>
      </c>
      <c r="Z12" t="n">
        <v>117.243575479176</v>
      </c>
      <c r="AA12" t="n">
        <v>115.857249417766</v>
      </c>
      <c r="AB12" t="n">
        <v>110.91453399892</v>
      </c>
      <c r="AC12" t="n">
        <v>101.819937628242</v>
      </c>
      <c r="AD12" t="n">
        <v>101.220996818664</v>
      </c>
      <c r="AE12" t="n">
        <v>94.6</v>
      </c>
      <c r="AF12"/>
    </row>
    <row r="13">
      <c r="A13" t="s">
        <v>142</v>
      </c>
      <c r="B13" t="s">
        <v>296</v>
      </c>
      <c r="C13" t="s">
        <v>246</v>
      </c>
      <c r="D13" t="s">
        <v>297</v>
      </c>
      <c r="E13" t="s">
        <v>247</v>
      </c>
      <c r="F13" t="n">
        <v>57.6806836977836</v>
      </c>
      <c r="G13" t="n">
        <v>75.5495448185344</v>
      </c>
      <c r="H13" t="n">
        <v>120.228605773419</v>
      </c>
      <c r="I13" t="n">
        <v>143.777030991814</v>
      </c>
      <c r="J13" t="n">
        <v>159.39688433288</v>
      </c>
      <c r="K13" t="n">
        <v>171.960931246108</v>
      </c>
      <c r="L13" t="n">
        <v>190.992477880082</v>
      </c>
      <c r="M13" t="n">
        <v>188.259793548464</v>
      </c>
      <c r="N13" t="n">
        <v>186.380087468487</v>
      </c>
      <c r="O13" t="n">
        <v>207.913748993829</v>
      </c>
      <c r="P13" t="n">
        <v>208.370534967452</v>
      </c>
      <c r="Q13" t="n">
        <v>210.328168704463</v>
      </c>
      <c r="R13" t="n">
        <v>209.823986118675</v>
      </c>
      <c r="S13" t="n">
        <v>213.094417403543</v>
      </c>
      <c r="T13" t="n">
        <v>190.009917528888</v>
      </c>
      <c r="U13" t="n">
        <v>204.275700572667</v>
      </c>
      <c r="V13" t="n">
        <v>216.825972372556</v>
      </c>
      <c r="W13" t="n">
        <v>204.501127627169</v>
      </c>
      <c r="X13" t="n">
        <v>193.999963038965</v>
      </c>
      <c r="Y13" t="n">
        <v>199.669713541809</v>
      </c>
      <c r="Z13" t="n">
        <v>209.340604755429</v>
      </c>
      <c r="AA13" t="n">
        <v>208.252350193846</v>
      </c>
      <c r="AB13" t="n">
        <v>193.539405585556</v>
      </c>
      <c r="AC13" t="n">
        <v>178.925205571953</v>
      </c>
      <c r="AD13" t="n">
        <v>167.854582484725</v>
      </c>
      <c r="AE13" t="n">
        <v>147.7</v>
      </c>
      <c r="AF13"/>
    </row>
    <row r="14">
      <c r="A14" t="s">
        <v>142</v>
      </c>
      <c r="B14" t="s">
        <v>298</v>
      </c>
      <c r="C14" t="s">
        <v>246</v>
      </c>
      <c r="D14" t="s">
        <v>299</v>
      </c>
      <c r="E14" t="s">
        <v>247</v>
      </c>
      <c r="F14" t="n">
        <v>30.9855559677074</v>
      </c>
      <c r="G14" t="n">
        <v>35.7960989033332</v>
      </c>
      <c r="H14" t="n">
        <v>39.5980893680159</v>
      </c>
      <c r="I14" t="n">
        <v>44.556966121285</v>
      </c>
      <c r="J14" t="n">
        <v>46.9293836185913</v>
      </c>
      <c r="K14" t="n">
        <v>44.4355516388594</v>
      </c>
      <c r="L14" t="n">
        <v>52.5557539688033</v>
      </c>
      <c r="M14" t="n">
        <v>50.8580259613841</v>
      </c>
      <c r="N14" t="n">
        <v>51.0750587890998</v>
      </c>
      <c r="O14" t="n">
        <v>55.3374377959599</v>
      </c>
      <c r="P14" t="n">
        <v>56.6314356536371</v>
      </c>
      <c r="Q14" t="n">
        <v>65.0009986576967</v>
      </c>
      <c r="R14" t="n">
        <v>72.6432349339892</v>
      </c>
      <c r="S14" t="n">
        <v>66.3675471822955</v>
      </c>
      <c r="T14" t="n">
        <v>60.6913753838097</v>
      </c>
      <c r="U14" t="n">
        <v>63.7817424472003</v>
      </c>
      <c r="V14" t="n">
        <v>66.2690527376203</v>
      </c>
      <c r="W14" t="n">
        <v>60.7086507885215</v>
      </c>
      <c r="X14" t="n">
        <v>55.2882355395464</v>
      </c>
      <c r="Y14" t="n">
        <v>48.2241509305754</v>
      </c>
      <c r="Z14" t="n">
        <v>42.8659119382892</v>
      </c>
      <c r="AA14" t="n">
        <v>41.77944873248</v>
      </c>
      <c r="AB14" t="n">
        <v>42.6683731735966</v>
      </c>
      <c r="AC14" t="n">
        <v>48.7920748790665</v>
      </c>
      <c r="AD14" t="n">
        <v>51.5858951175407</v>
      </c>
      <c r="AE14" t="n">
        <v>55.5</v>
      </c>
      <c r="AF14"/>
    </row>
    <row r="15">
      <c r="A15" t="s">
        <v>142</v>
      </c>
      <c r="B15" t="s">
        <v>300</v>
      </c>
      <c r="C15" t="s">
        <v>246</v>
      </c>
      <c r="D15" t="s">
        <v>301</v>
      </c>
      <c r="E15" t="s">
        <v>247</v>
      </c>
      <c r="F15" t="n">
        <v>42.6310436842135</v>
      </c>
      <c r="G15" t="n">
        <v>57.6689492766482</v>
      </c>
      <c r="H15" t="n">
        <v>79.1958104922759</v>
      </c>
      <c r="I15" t="n">
        <v>91.9315508117362</v>
      </c>
      <c r="J15" t="n">
        <v>93.1225668546412</v>
      </c>
      <c r="K15" t="n">
        <v>98.1275256595324</v>
      </c>
      <c r="L15" t="n">
        <v>117.873617612526</v>
      </c>
      <c r="M15" t="n">
        <v>112.028033311591</v>
      </c>
      <c r="N15" t="n">
        <v>112.825127985865</v>
      </c>
      <c r="O15" t="n">
        <v>120.410629410502</v>
      </c>
      <c r="P15" t="n">
        <v>126.286179768302</v>
      </c>
      <c r="Q15" t="n">
        <v>135.463498422272</v>
      </c>
      <c r="R15" t="n">
        <v>145.98738736123</v>
      </c>
      <c r="S15" t="n">
        <v>134.611746787628</v>
      </c>
      <c r="T15" t="n">
        <v>127.25973981093</v>
      </c>
      <c r="U15" t="n">
        <v>134.56857621899</v>
      </c>
      <c r="V15" t="n">
        <v>140.624607445259</v>
      </c>
      <c r="W15" t="n">
        <v>129.111481689506</v>
      </c>
      <c r="X15" t="n">
        <v>113.810050830091</v>
      </c>
      <c r="Y15" t="n">
        <v>102.287373484638</v>
      </c>
      <c r="Z15" t="n">
        <v>91.8339360798085</v>
      </c>
      <c r="AA15" t="n">
        <v>86.6880689718881</v>
      </c>
      <c r="AB15" t="n">
        <v>83.0307616150354</v>
      </c>
      <c r="AC15" t="n">
        <v>85.9961459584295</v>
      </c>
      <c r="AD15" t="n">
        <v>86.3952</v>
      </c>
      <c r="AE15" t="n">
        <v>87.8</v>
      </c>
      <c r="AF15"/>
    </row>
    <row r="16">
      <c r="A16" t="s">
        <v>142</v>
      </c>
      <c r="B16" t="s">
        <v>302</v>
      </c>
      <c r="C16" t="s">
        <v>246</v>
      </c>
      <c r="D16" t="s">
        <v>303</v>
      </c>
      <c r="E16" t="s">
        <v>247</v>
      </c>
      <c r="F16" t="n">
        <v>11.5851707212107</v>
      </c>
      <c r="G16" t="n">
        <v>21.8199227693968</v>
      </c>
      <c r="H16" t="n">
        <v>39.5937671444684</v>
      </c>
      <c r="I16" t="n">
        <v>47.3802964901338</v>
      </c>
      <c r="J16" t="n">
        <v>46.1845792285531</v>
      </c>
      <c r="K16" t="n">
        <v>53.7171547534736</v>
      </c>
      <c r="L16" t="n">
        <v>65.3520940390361</v>
      </c>
      <c r="M16" t="n">
        <v>61.1980449287228</v>
      </c>
      <c r="N16" t="n">
        <v>61.7788092934082</v>
      </c>
      <c r="O16" t="n">
        <v>65.1002506532689</v>
      </c>
      <c r="P16" t="n">
        <v>69.6901625677179</v>
      </c>
      <c r="Q16" t="n">
        <v>70.4767332513265</v>
      </c>
      <c r="R16" t="n">
        <v>73.3464445453924</v>
      </c>
      <c r="S16" t="n">
        <v>68.2493418031331</v>
      </c>
      <c r="T16" t="n">
        <v>66.5825840984294</v>
      </c>
      <c r="U16" t="n">
        <v>70.8032136208395</v>
      </c>
      <c r="V16" t="n">
        <v>74.3746241439588</v>
      </c>
      <c r="W16" t="n">
        <v>68.4209904378537</v>
      </c>
      <c r="X16" t="n">
        <v>58.5298923506839</v>
      </c>
      <c r="Y16" t="n">
        <v>54.0785898579943</v>
      </c>
      <c r="Z16" t="n">
        <v>48.9842299438354</v>
      </c>
      <c r="AA16" t="n">
        <v>44.9187371752175</v>
      </c>
      <c r="AB16" t="n">
        <v>40.3674994878607</v>
      </c>
      <c r="AC16" t="n">
        <v>37.2014210966559</v>
      </c>
      <c r="AD16" t="n">
        <v>34.8077639751553</v>
      </c>
      <c r="AE16" t="n">
        <v>32.3</v>
      </c>
      <c r="AF16"/>
    </row>
    <row r="17">
      <c r="A17" t="s">
        <v>142</v>
      </c>
      <c r="B17" t="s">
        <v>304</v>
      </c>
      <c r="C17" t="s">
        <v>246</v>
      </c>
      <c r="D17" t="s">
        <v>305</v>
      </c>
      <c r="E17" t="s">
        <v>247</v>
      </c>
      <c r="F17" t="n">
        <v>82.6409524318689</v>
      </c>
      <c r="G17" t="n">
        <v>79.7425101310078</v>
      </c>
      <c r="H17" t="n">
        <v>98.5096833899736</v>
      </c>
      <c r="I17" t="n">
        <v>99.0219922931904</v>
      </c>
      <c r="J17" t="n">
        <v>104.448873252202</v>
      </c>
      <c r="K17" t="n">
        <v>122.881027355531</v>
      </c>
      <c r="L17" t="n">
        <v>133.284451757411</v>
      </c>
      <c r="M17" t="n">
        <v>133.136440150795</v>
      </c>
      <c r="N17" t="n">
        <v>129.949278362637</v>
      </c>
      <c r="O17" t="n">
        <v>141.876634223683</v>
      </c>
      <c r="P17" t="n">
        <v>146.300744323131</v>
      </c>
      <c r="Q17" t="n">
        <v>156.504122414337</v>
      </c>
      <c r="R17" t="n">
        <v>161.726541999745</v>
      </c>
      <c r="S17" t="n">
        <v>181.133727039715</v>
      </c>
      <c r="T17" t="n">
        <v>159.926972350014</v>
      </c>
      <c r="U17" t="n">
        <v>167.936239139757</v>
      </c>
      <c r="V17" t="n">
        <v>174.179222007405</v>
      </c>
      <c r="W17" t="n">
        <v>173.081453801476</v>
      </c>
      <c r="X17" t="n">
        <v>170.089474767716</v>
      </c>
      <c r="Y17" t="n">
        <v>171.886860763593</v>
      </c>
      <c r="Z17" t="n">
        <v>170.909119803618</v>
      </c>
      <c r="AA17" t="n">
        <v>222.498720856738</v>
      </c>
      <c r="AB17" t="n">
        <v>245.124034833733</v>
      </c>
      <c r="AC17" t="n">
        <v>284.727071887853</v>
      </c>
      <c r="AD17" t="n">
        <v>282.831551787689</v>
      </c>
      <c r="AE17" t="n">
        <v>272.1</v>
      </c>
      <c r="AF17"/>
    </row>
    <row r="18">
      <c r="A18" t="s">
        <v>142</v>
      </c>
      <c r="B18" t="s">
        <v>306</v>
      </c>
      <c r="C18" t="s">
        <v>246</v>
      </c>
      <c r="D18" t="s">
        <v>307</v>
      </c>
      <c r="E18" t="s">
        <v>247</v>
      </c>
      <c r="F18" t="n">
        <v>53.2606632969858</v>
      </c>
      <c r="G18" t="n">
        <v>51.4645838602522</v>
      </c>
      <c r="H18" t="n">
        <v>67.9587352212409</v>
      </c>
      <c r="I18" t="n">
        <v>67.302481340349</v>
      </c>
      <c r="J18" t="n">
        <v>66.2659194715208</v>
      </c>
      <c r="K18" t="n">
        <v>73.9148998905192</v>
      </c>
      <c r="L18" t="n">
        <v>77.5278481540069</v>
      </c>
      <c r="M18" t="n">
        <v>74.5715908364089</v>
      </c>
      <c r="N18" t="n">
        <v>73.1973326153693</v>
      </c>
      <c r="O18" t="n">
        <v>74.3743751498879</v>
      </c>
      <c r="P18" t="n">
        <v>76.0508467208894</v>
      </c>
      <c r="Q18" t="n">
        <v>86.8704517182943</v>
      </c>
      <c r="R18" t="n">
        <v>86.8704517182943</v>
      </c>
      <c r="S18" t="n">
        <v>91.1795019027335</v>
      </c>
      <c r="T18" t="n">
        <v>92.4057392001766</v>
      </c>
      <c r="U18" t="n">
        <v>96.6216435026055</v>
      </c>
      <c r="V18" t="n">
        <v>99.8304803716957</v>
      </c>
      <c r="W18" t="n">
        <v>103.213014963044</v>
      </c>
      <c r="X18" t="n">
        <v>106.384617705544</v>
      </c>
      <c r="Y18" t="n">
        <v>103.734467086544</v>
      </c>
      <c r="Z18" t="n">
        <v>100.703582562809</v>
      </c>
      <c r="AA18" t="n">
        <v>102.089865901924</v>
      </c>
      <c r="AB18" t="n">
        <v>89.8351288527092</v>
      </c>
      <c r="AC18" t="n">
        <v>84.7016929182686</v>
      </c>
      <c r="AD18" t="n">
        <v>79.0150068212824</v>
      </c>
      <c r="AE18" t="n">
        <v>73.5</v>
      </c>
      <c r="AF18"/>
    </row>
    <row r="19">
      <c r="A19" t="s">
        <v>142</v>
      </c>
      <c r="B19" t="s">
        <v>308</v>
      </c>
      <c r="C19" t="s">
        <v>246</v>
      </c>
      <c r="D19" t="s">
        <v>309</v>
      </c>
      <c r="E19" t="s">
        <v>247</v>
      </c>
      <c r="F19" t="n">
        <v>61.8378778065181</v>
      </c>
      <c r="G19" t="n">
        <v>69.3548675398793</v>
      </c>
      <c r="H19" t="n">
        <v>89.8591592918145</v>
      </c>
      <c r="I19" t="n">
        <v>109.762816724529</v>
      </c>
      <c r="J19" t="n">
        <v>105.895834021497</v>
      </c>
      <c r="K19" t="n">
        <v>111.884216904602</v>
      </c>
      <c r="L19" t="n">
        <v>115.199304812887</v>
      </c>
      <c r="M19" t="n">
        <v>111.499905172139</v>
      </c>
      <c r="N19" t="n">
        <v>113.673392602395</v>
      </c>
      <c r="O19" t="n">
        <v>119.563205690602</v>
      </c>
      <c r="P19" t="n">
        <v>119.715709779493</v>
      </c>
      <c r="Q19" t="n">
        <v>126.619368010552</v>
      </c>
      <c r="R19" t="n">
        <v>132.259991452511</v>
      </c>
      <c r="S19" t="n">
        <v>133.467057867332</v>
      </c>
      <c r="T19" t="n">
        <v>120.505690042946</v>
      </c>
      <c r="U19" t="n">
        <v>128.424635388625</v>
      </c>
      <c r="V19" t="n">
        <v>135.197898601349</v>
      </c>
      <c r="W19" t="n">
        <v>133.36966467841</v>
      </c>
      <c r="X19" t="n">
        <v>123.124408316302</v>
      </c>
      <c r="Y19" t="n">
        <v>116.49972839152</v>
      </c>
      <c r="Z19" t="n">
        <v>114.835446557356</v>
      </c>
      <c r="AA19" t="n">
        <v>110.670430360975</v>
      </c>
      <c r="AB19" t="n">
        <v>109.186912527718</v>
      </c>
      <c r="AC19" t="n">
        <v>106.022074483436</v>
      </c>
      <c r="AD19" t="n">
        <v>116.903812824957</v>
      </c>
      <c r="AE19" t="n">
        <v>115.8</v>
      </c>
      <c r="AF19"/>
    </row>
    <row r="20">
      <c r="A20" t="s">
        <v>142</v>
      </c>
      <c r="B20" t="s">
        <v>310</v>
      </c>
      <c r="C20" t="s">
        <v>246</v>
      </c>
      <c r="D20" t="s">
        <v>311</v>
      </c>
      <c r="E20" t="s">
        <v>247</v>
      </c>
      <c r="F20" t="n">
        <v>83.3374950450596</v>
      </c>
      <c r="G20" t="n">
        <v>103.723238880371</v>
      </c>
      <c r="H20" t="n">
        <v>110.396342360787</v>
      </c>
      <c r="I20" t="n">
        <v>118.014935330609</v>
      </c>
      <c r="J20" t="n">
        <v>117.04637841186</v>
      </c>
      <c r="K20" t="n">
        <v>131.440431420438</v>
      </c>
      <c r="L20" t="n">
        <v>165.768516602409</v>
      </c>
      <c r="M20" t="n">
        <v>155.052317357046</v>
      </c>
      <c r="N20" t="n">
        <v>184.196946039363</v>
      </c>
      <c r="O20" t="n">
        <v>202.572539219667</v>
      </c>
      <c r="P20" t="n">
        <v>202.039453590142</v>
      </c>
      <c r="Q20" t="n">
        <v>189.588184938656</v>
      </c>
      <c r="R20" t="n">
        <v>172.100671649414</v>
      </c>
      <c r="S20" t="n">
        <v>187.425293737256</v>
      </c>
      <c r="T20" t="n">
        <v>169.662765899411</v>
      </c>
      <c r="U20" t="n">
        <v>181.529700361712</v>
      </c>
      <c r="V20" t="n">
        <v>193.020049403253</v>
      </c>
      <c r="W20" t="n">
        <v>187.539120409313</v>
      </c>
      <c r="X20" t="n">
        <v>188.716902324927</v>
      </c>
      <c r="Y20" t="n">
        <v>179.446598351071</v>
      </c>
      <c r="Z20" t="n">
        <v>168.200626247325</v>
      </c>
      <c r="AA20" t="n">
        <v>181.375351389195</v>
      </c>
      <c r="AB20" t="n">
        <v>174.657745782188</v>
      </c>
      <c r="AC20" t="n">
        <v>170.412249417782</v>
      </c>
      <c r="AD20" t="n">
        <v>178.987704918033</v>
      </c>
      <c r="AE20" t="n">
        <v>183.5</v>
      </c>
      <c r="AF20" t="n">
        <v>193.6</v>
      </c>
    </row>
    <row r="21">
      <c r="A21" t="s">
        <v>142</v>
      </c>
      <c r="B21" t="s">
        <v>312</v>
      </c>
      <c r="C21" t="s">
        <v>246</v>
      </c>
      <c r="D21" t="s">
        <v>313</v>
      </c>
      <c r="E21" t="s">
        <v>247</v>
      </c>
      <c r="F21" t="n">
        <v>121.602896138299</v>
      </c>
      <c r="G21" t="n">
        <v>146.898018316743</v>
      </c>
      <c r="H21" t="n">
        <v>160.877957929726</v>
      </c>
      <c r="I21" t="n">
        <v>173.985447446987</v>
      </c>
      <c r="J21" t="n">
        <v>180.390733611559</v>
      </c>
      <c r="K21" t="n">
        <v>200.922396277973</v>
      </c>
      <c r="L21" t="n">
        <v>240.143291167754</v>
      </c>
      <c r="M21" t="n">
        <v>227.873735509445</v>
      </c>
      <c r="N21" t="n">
        <v>262.525011480563</v>
      </c>
      <c r="O21" t="n">
        <v>291.343214925083</v>
      </c>
      <c r="P21" t="n">
        <v>287.534806886847</v>
      </c>
      <c r="Q21" t="n">
        <v>287.143176803917</v>
      </c>
      <c r="R21" t="n">
        <v>281.677786908674</v>
      </c>
      <c r="S21" t="n">
        <v>292.783054179829</v>
      </c>
      <c r="T21" t="n">
        <v>268.369882596992</v>
      </c>
      <c r="U21" t="n">
        <v>284.535706989249</v>
      </c>
      <c r="V21" t="n">
        <v>299.408152393695</v>
      </c>
      <c r="W21" t="n">
        <v>306.167213796116</v>
      </c>
      <c r="X21" t="n">
        <v>299.917054697911</v>
      </c>
      <c r="Y21" t="n">
        <v>286.770264851487</v>
      </c>
      <c r="Z21" t="n">
        <v>273.961910028594</v>
      </c>
      <c r="AA21" t="n">
        <v>292.384511353727</v>
      </c>
      <c r="AB21" t="n">
        <v>282.8985657336</v>
      </c>
      <c r="AC21" t="n">
        <v>281.417421410387</v>
      </c>
      <c r="AD21" t="n">
        <v>299.965841106465</v>
      </c>
      <c r="AE21" t="n">
        <v>311.8</v>
      </c>
      <c r="AF21" t="n">
        <v>324.2</v>
      </c>
    </row>
    <row r="22">
      <c r="A22" t="s">
        <v>142</v>
      </c>
      <c r="B22" t="s">
        <v>314</v>
      </c>
      <c r="C22" t="s">
        <v>246</v>
      </c>
      <c r="D22" t="s">
        <v>315</v>
      </c>
      <c r="E22" t="s">
        <v>247</v>
      </c>
      <c r="F22" t="n">
        <v>38.2624124871267</v>
      </c>
      <c r="G22" t="n">
        <v>43.1879842438651</v>
      </c>
      <c r="H22" t="n">
        <v>50.4822758970931</v>
      </c>
      <c r="I22" t="n">
        <v>55.9694797989511</v>
      </c>
      <c r="J22" t="n">
        <v>63.3378022724832</v>
      </c>
      <c r="K22" t="n">
        <v>69.4745989041473</v>
      </c>
      <c r="L22" t="n">
        <v>74.3671762917633</v>
      </c>
      <c r="M22" t="n">
        <v>72.8147799675813</v>
      </c>
      <c r="N22" t="n">
        <v>78.315697738492</v>
      </c>
      <c r="O22" t="n">
        <v>88.757790770291</v>
      </c>
      <c r="P22" t="n">
        <v>85.4817521410013</v>
      </c>
      <c r="Q22" t="n">
        <v>97.5479206375312</v>
      </c>
      <c r="R22" t="n">
        <v>109.573224647158</v>
      </c>
      <c r="S22" t="n">
        <v>105.355559283677</v>
      </c>
      <c r="T22" t="n">
        <v>98.7052083654386</v>
      </c>
      <c r="U22" t="n">
        <v>103.004215698428</v>
      </c>
      <c r="V22" t="n">
        <v>106.387240933121</v>
      </c>
      <c r="W22" t="n">
        <v>118.624056628433</v>
      </c>
      <c r="X22" t="n">
        <v>111.198733999783</v>
      </c>
      <c r="Y22" t="n">
        <v>107.321907389247</v>
      </c>
      <c r="Z22" t="n">
        <v>105.758018028383</v>
      </c>
      <c r="AA22" t="n">
        <v>111.006309185223</v>
      </c>
      <c r="AB22" t="n">
        <v>108.238565055938</v>
      </c>
      <c r="AC22" t="n">
        <v>111.003783871236</v>
      </c>
      <c r="AD22" t="n">
        <v>120.9771696638</v>
      </c>
      <c r="AE22" t="n">
        <v>128.3</v>
      </c>
      <c r="AF22" t="n">
        <v>130.6</v>
      </c>
    </row>
    <row r="23">
      <c r="A23" t="s">
        <v>142</v>
      </c>
      <c r="B23" t="s">
        <v>316</v>
      </c>
      <c r="C23" t="s">
        <v>246</v>
      </c>
      <c r="D23" t="s">
        <v>317</v>
      </c>
      <c r="E23" t="s">
        <v>247</v>
      </c>
      <c r="F23" t="n">
        <v>117.784694184334</v>
      </c>
      <c r="G23" t="n">
        <v>121.86598753905</v>
      </c>
      <c r="H23" t="n">
        <v>158.961936183517</v>
      </c>
      <c r="I23" t="n">
        <v>174.066252998002</v>
      </c>
      <c r="J23" t="n">
        <v>154.907783181948</v>
      </c>
      <c r="K23" t="n">
        <v>153.314706077726</v>
      </c>
      <c r="L23" t="n">
        <v>169.897417649555</v>
      </c>
      <c r="M23" t="n">
        <v>158.945841947406</v>
      </c>
      <c r="N23" t="n">
        <v>176.550144405574</v>
      </c>
      <c r="O23" t="n">
        <v>176.476489777119</v>
      </c>
      <c r="P23" t="n">
        <v>172.356416085825</v>
      </c>
      <c r="Q23" t="n">
        <v>180.519015026137</v>
      </c>
      <c r="R23" t="n">
        <v>190.880115748589</v>
      </c>
      <c r="S23" t="n">
        <v>187.257447487658</v>
      </c>
      <c r="T23" t="n">
        <v>165.526119936446</v>
      </c>
      <c r="U23" t="n">
        <v>184.731283695982</v>
      </c>
      <c r="V23" t="n">
        <v>200.244432037247</v>
      </c>
      <c r="W23" t="n">
        <v>186.614271976237</v>
      </c>
      <c r="X23" t="n">
        <v>165.849127038162</v>
      </c>
      <c r="Y23" t="n">
        <v>163.956952171783</v>
      </c>
      <c r="Z23" t="n">
        <v>225.783201439424</v>
      </c>
      <c r="AA23" t="n">
        <v>299.393082382598</v>
      </c>
      <c r="AB23" t="n">
        <v>340.214918970254</v>
      </c>
      <c r="AC23" t="n">
        <v>373.317445213367</v>
      </c>
      <c r="AD23" t="n">
        <v>358.843907898945</v>
      </c>
      <c r="AE23" t="n">
        <v>313.7</v>
      </c>
      <c r="AF23" t="n">
        <v>285.5</v>
      </c>
    </row>
    <row r="24">
      <c r="A24" t="s">
        <v>142</v>
      </c>
      <c r="B24" t="s">
        <v>318</v>
      </c>
      <c r="C24" t="s">
        <v>246</v>
      </c>
      <c r="D24" t="s">
        <v>319</v>
      </c>
      <c r="E24" t="s">
        <v>247</v>
      </c>
      <c r="F24" t="n">
        <v>353.777438622406</v>
      </c>
      <c r="G24" t="n">
        <v>401.167293816262</v>
      </c>
      <c r="H24" t="n">
        <v>585.859184544521</v>
      </c>
      <c r="I24" t="n">
        <v>667.063763429644</v>
      </c>
      <c r="J24" t="n">
        <v>673.021684728558</v>
      </c>
      <c r="K24" t="n">
        <v>710.154960881806</v>
      </c>
      <c r="L24" t="n">
        <v>713.996079028478</v>
      </c>
      <c r="M24" t="n">
        <v>671.100105770086</v>
      </c>
      <c r="N24" t="n">
        <v>741.605067804393</v>
      </c>
      <c r="O24" t="n">
        <v>775.157197075036</v>
      </c>
      <c r="P24" t="n">
        <v>808.465328355448</v>
      </c>
      <c r="Q24" t="n">
        <v>859.195331987101</v>
      </c>
      <c r="R24" t="n">
        <v>907.414619472763</v>
      </c>
      <c r="S24" t="n">
        <v>899.746569612046</v>
      </c>
      <c r="T24" t="n">
        <v>760.468812047075</v>
      </c>
      <c r="U24" t="n">
        <v>821.117060066667</v>
      </c>
      <c r="V24" t="n">
        <v>874.664298901309</v>
      </c>
      <c r="W24" t="n">
        <v>839.027119986609</v>
      </c>
      <c r="X24" t="n">
        <v>754.037115823819</v>
      </c>
      <c r="Y24" t="n">
        <v>674.122232734501</v>
      </c>
      <c r="Z24" t="n">
        <v>623.086437884986</v>
      </c>
      <c r="AA24" t="n">
        <v>615.164169126118</v>
      </c>
      <c r="AB24" t="n">
        <v>591.644639447079</v>
      </c>
      <c r="AC24" t="n">
        <v>617.329663033027</v>
      </c>
      <c r="AD24" t="n">
        <v>625.311944113137</v>
      </c>
      <c r="AE24" t="n">
        <v>588.7</v>
      </c>
      <c r="AF24" t="n">
        <v>532.2</v>
      </c>
    </row>
    <row r="25">
      <c r="A25" t="s">
        <v>142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142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142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142</v>
      </c>
      <c r="B28" t="s">
        <v>326</v>
      </c>
      <c r="C28" t="s">
        <v>246</v>
      </c>
      <c r="D28" t="s">
        <v>327</v>
      </c>
      <c r="E28" t="s">
        <v>247</v>
      </c>
      <c r="F28" t="n">
        <v>394.223943341243</v>
      </c>
      <c r="G28" t="n">
        <v>409.858074621649</v>
      </c>
      <c r="H28" t="n">
        <v>472.550777459444</v>
      </c>
      <c r="I28" t="n">
        <v>526.960389678933</v>
      </c>
      <c r="J28" t="n">
        <v>566.366955432419</v>
      </c>
      <c r="K28" t="n">
        <v>570.988812861365</v>
      </c>
      <c r="L28" t="n">
        <v>579.798741795136</v>
      </c>
      <c r="M28" t="n">
        <v>620.24121970408</v>
      </c>
      <c r="N28" t="n">
        <v>576.817096971005</v>
      </c>
      <c r="O28" t="n">
        <v>563.060586687422</v>
      </c>
      <c r="P28" t="n">
        <v>626.85074790255</v>
      </c>
      <c r="Q28" t="n">
        <v>754.16510690627</v>
      </c>
      <c r="R28" t="n">
        <v>896.870007197806</v>
      </c>
      <c r="S28" t="n">
        <v>909.965515468129</v>
      </c>
      <c r="T28" t="n">
        <v>790.63869253345</v>
      </c>
      <c r="U28" t="n">
        <v>799.67308830187</v>
      </c>
      <c r="V28" t="n">
        <v>797.534448440131</v>
      </c>
      <c r="W28" t="n">
        <v>673.508062176865</v>
      </c>
      <c r="X28" t="n">
        <v>571.725051300184</v>
      </c>
      <c r="Y28" t="n">
        <v>560.088085999849</v>
      </c>
      <c r="Z28" t="n">
        <v>591.383386771623</v>
      </c>
      <c r="AA28" t="n">
        <v>574.939560606784</v>
      </c>
      <c r="AB28" t="n">
        <v>544.00332500941</v>
      </c>
      <c r="AC28" t="n">
        <v>577.10196537958</v>
      </c>
      <c r="AD28" t="n">
        <v>729.685210246496</v>
      </c>
      <c r="AE28" t="n">
        <v>830.2</v>
      </c>
      <c r="AF28" t="n">
        <v>1009.1</v>
      </c>
    </row>
    <row r="29">
      <c r="A29" t="s">
        <v>142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142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142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142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142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142</v>
      </c>
      <c r="B34" t="s">
        <v>338</v>
      </c>
      <c r="C34" t="s">
        <v>246</v>
      </c>
      <c r="D34" t="s">
        <v>339</v>
      </c>
      <c r="E34" t="s">
        <v>247</v>
      </c>
      <c r="F34" t="n">
        <v>921.865253862643</v>
      </c>
      <c r="G34" t="n">
        <v>1146.66874182358</v>
      </c>
      <c r="H34" t="n">
        <v>1013.03631463001</v>
      </c>
      <c r="I34" t="n">
        <v>1081.67953236627</v>
      </c>
      <c r="J34" t="n">
        <v>1102.58550585791</v>
      </c>
      <c r="K34" t="n">
        <v>1274.93080695227</v>
      </c>
      <c r="L34" t="n">
        <v>1632.24585085737</v>
      </c>
      <c r="M34" t="n">
        <v>1452.08495857425</v>
      </c>
      <c r="N34" t="n">
        <v>1415.45526671331</v>
      </c>
      <c r="O34" t="n">
        <v>1605.50209870834</v>
      </c>
      <c r="P34" t="n">
        <v>1679.05807483964</v>
      </c>
      <c r="Q34" t="n">
        <v>1666.27794566855</v>
      </c>
      <c r="R34" t="n">
        <v>1680.66707447925</v>
      </c>
      <c r="S34" t="n">
        <v>1523.17184650221</v>
      </c>
      <c r="T34" t="n">
        <v>1476.51108472362</v>
      </c>
      <c r="U34" t="n">
        <v>1588.09684843918</v>
      </c>
      <c r="V34" t="n">
        <v>1695.46691533978</v>
      </c>
      <c r="W34" t="n">
        <v>1544.03371790996</v>
      </c>
      <c r="X34" t="n">
        <v>1285.21459017484</v>
      </c>
      <c r="Y34" t="n">
        <v>1043.83487026564</v>
      </c>
      <c r="Z34" t="n">
        <v>869.291990319586</v>
      </c>
      <c r="AA34" t="n">
        <v>730.747960420167</v>
      </c>
      <c r="AB34" t="n">
        <v>660.785883885011</v>
      </c>
      <c r="AC34" t="n">
        <v>675.107849978184</v>
      </c>
      <c r="AD34" t="n">
        <v>685.982204292891</v>
      </c>
      <c r="AE34" t="n">
        <v>658.9</v>
      </c>
      <c r="AF34" t="n">
        <v>619.8</v>
      </c>
    </row>
    <row r="35">
      <c r="A35" t="s">
        <v>142</v>
      </c>
      <c r="B35" t="s">
        <v>340</v>
      </c>
      <c r="C35" t="s">
        <v>246</v>
      </c>
      <c r="D35" t="s">
        <v>341</v>
      </c>
      <c r="E35" t="s">
        <v>247</v>
      </c>
      <c r="F35" t="n">
        <v>2712.41350838216</v>
      </c>
      <c r="G35" t="n">
        <v>2952.37731189513</v>
      </c>
      <c r="H35" t="n">
        <v>3595.79684470537</v>
      </c>
      <c r="I35" t="n">
        <v>3992.81489148374</v>
      </c>
      <c r="J35" t="n">
        <v>4355.81160733233</v>
      </c>
      <c r="K35" t="n">
        <v>4770.97205862982</v>
      </c>
      <c r="L35" t="n">
        <v>4668.06755802841</v>
      </c>
      <c r="M35" t="n">
        <v>5064.90766718594</v>
      </c>
      <c r="N35" t="n">
        <v>4892.15808610776</v>
      </c>
      <c r="O35" t="n">
        <v>4935.0607796531</v>
      </c>
      <c r="P35" t="n">
        <v>5355.87696106478</v>
      </c>
      <c r="Q35" t="n">
        <v>5261.62117993127</v>
      </c>
      <c r="R35" t="n">
        <v>5260.86373674409</v>
      </c>
      <c r="S35" t="n">
        <v>5426.6579387964</v>
      </c>
      <c r="T35" t="n">
        <v>5109.34331611059</v>
      </c>
      <c r="U35" t="n">
        <v>5585.70366165925</v>
      </c>
      <c r="V35" t="n">
        <v>5986.03203054325</v>
      </c>
      <c r="W35" t="n">
        <v>6834.46761122219</v>
      </c>
      <c r="X35" t="n">
        <v>7756.61860422752</v>
      </c>
      <c r="Y35" t="n">
        <v>8354.23489551799</v>
      </c>
      <c r="Z35" t="n">
        <v>9250.09993465338</v>
      </c>
      <c r="AA35" t="n">
        <v>9207.80459410879</v>
      </c>
      <c r="AB35" t="n">
        <v>10055.4705309505</v>
      </c>
      <c r="AC35" t="n">
        <v>10833.9305286309</v>
      </c>
      <c r="AD35" t="n">
        <v>11117.2220657747</v>
      </c>
      <c r="AE35" t="n">
        <v>11014.4</v>
      </c>
      <c r="AF35" t="n">
        <v>10721.4</v>
      </c>
    </row>
    <row r="36">
      <c r="A36" t="s">
        <v>142</v>
      </c>
      <c r="B36" t="s">
        <v>342</v>
      </c>
      <c r="C36" t="s">
        <v>246</v>
      </c>
      <c r="D36" t="s">
        <v>343</v>
      </c>
      <c r="E36" t="s">
        <v>247</v>
      </c>
      <c r="F36" t="n">
        <v>332.089982538189</v>
      </c>
      <c r="G36" t="n">
        <v>450.270963660386</v>
      </c>
      <c r="H36" t="n">
        <v>634.627052102758</v>
      </c>
      <c r="I36" t="n">
        <v>696.843953631077</v>
      </c>
      <c r="J36" t="n">
        <v>846.433718319039</v>
      </c>
      <c r="K36" t="n">
        <v>940.751484853336</v>
      </c>
      <c r="L36" t="n">
        <v>985.283653659769</v>
      </c>
      <c r="M36" t="n">
        <v>1213.31130407498</v>
      </c>
      <c r="N36" t="n">
        <v>1165.80430780704</v>
      </c>
      <c r="O36" t="n">
        <v>1157.63381417359</v>
      </c>
      <c r="P36" t="n">
        <v>1266.82440974048</v>
      </c>
      <c r="Q36" t="n">
        <v>1181.64787996224</v>
      </c>
      <c r="R36" t="n">
        <v>1097.3887598709</v>
      </c>
      <c r="S36" t="n">
        <v>1157.63180888918</v>
      </c>
      <c r="T36" t="n">
        <v>989.578594481257</v>
      </c>
      <c r="U36" t="n">
        <v>1117.71865250218</v>
      </c>
      <c r="V36" t="n">
        <v>1232.61014716528</v>
      </c>
      <c r="W36" t="n">
        <v>1381.80689567628</v>
      </c>
      <c r="X36" t="n">
        <v>1343.1891867241</v>
      </c>
      <c r="Y36" t="n">
        <v>1232.10831146247</v>
      </c>
      <c r="Z36" t="n">
        <v>1093.99010442968</v>
      </c>
      <c r="AA36" t="n">
        <v>913.98648043722</v>
      </c>
      <c r="AB36" t="n">
        <v>733.205549030312</v>
      </c>
      <c r="AC36" t="n">
        <v>677.679134995137</v>
      </c>
      <c r="AD36" t="n">
        <v>720.289794786467</v>
      </c>
      <c r="AE36" t="n">
        <v>723.5</v>
      </c>
      <c r="AF36"/>
    </row>
    <row r="37">
      <c r="A37" t="s">
        <v>142</v>
      </c>
      <c r="B37" t="s">
        <v>344</v>
      </c>
      <c r="C37" t="s">
        <v>246</v>
      </c>
      <c r="D37" t="s">
        <v>345</v>
      </c>
      <c r="E37" t="s">
        <v>247</v>
      </c>
      <c r="F37" t="n">
        <v>2117.13736023063</v>
      </c>
      <c r="G37" t="n">
        <v>2196.27530615494</v>
      </c>
      <c r="H37" t="n">
        <v>2547.74606714718</v>
      </c>
      <c r="I37" t="n">
        <v>2854.28149618942</v>
      </c>
      <c r="J37" t="n">
        <v>3063.24769241174</v>
      </c>
      <c r="K37" t="n">
        <v>3385.61104263263</v>
      </c>
      <c r="L37" t="n">
        <v>3249.79489601195</v>
      </c>
      <c r="M37" t="n">
        <v>3475.45660632495</v>
      </c>
      <c r="N37" t="n">
        <v>3089.58434636344</v>
      </c>
      <c r="O37" t="n">
        <v>3101.79934151662</v>
      </c>
      <c r="P37" t="n">
        <v>3336.82225606098</v>
      </c>
      <c r="Q37" t="n">
        <v>3330.86280474123</v>
      </c>
      <c r="R37" t="n">
        <v>3403.7448904683</v>
      </c>
      <c r="S37" t="n">
        <v>3594.61311660469</v>
      </c>
      <c r="T37" t="n">
        <v>3472.46946927036</v>
      </c>
      <c r="U37" t="n">
        <v>3774.49816056361</v>
      </c>
      <c r="V37" t="n">
        <v>4021.18224217388</v>
      </c>
      <c r="W37" t="n">
        <v>4718.05432214874</v>
      </c>
      <c r="X37" t="n">
        <v>5698.10083805296</v>
      </c>
      <c r="Y37" t="n">
        <v>6395.79464999081</v>
      </c>
      <c r="Z37" t="n">
        <v>7215.45235541419</v>
      </c>
      <c r="AA37" t="n">
        <v>7198.71277536773</v>
      </c>
      <c r="AB37" t="n">
        <v>8213.29247542161</v>
      </c>
      <c r="AC37" t="n">
        <v>9091.62280256827</v>
      </c>
      <c r="AD37" t="n">
        <v>9337.29649004754</v>
      </c>
      <c r="AE37" t="n">
        <v>9242.8</v>
      </c>
      <c r="AF37"/>
    </row>
    <row r="38">
      <c r="A38" t="s">
        <v>142</v>
      </c>
      <c r="B38" t="s">
        <v>346</v>
      </c>
      <c r="C38" t="s">
        <v>246</v>
      </c>
      <c r="D38" t="s">
        <v>347</v>
      </c>
      <c r="E38" t="s">
        <v>247</v>
      </c>
      <c r="F38" t="n">
        <v>264.583435335576</v>
      </c>
      <c r="G38" t="n">
        <v>306.426502585132</v>
      </c>
      <c r="H38" t="n">
        <v>413.346133515211</v>
      </c>
      <c r="I38" t="n">
        <v>441.638484712662</v>
      </c>
      <c r="J38" t="n">
        <v>446.168491029707</v>
      </c>
      <c r="K38" t="n">
        <v>444.652458100622</v>
      </c>
      <c r="L38" t="n">
        <v>433.050208262009</v>
      </c>
      <c r="M38" t="n">
        <v>376.237335022306</v>
      </c>
      <c r="N38" t="n">
        <v>636.909853513511</v>
      </c>
      <c r="O38" t="n">
        <v>675.769155877173</v>
      </c>
      <c r="P38" t="n">
        <v>752.387838374529</v>
      </c>
      <c r="Q38" t="n">
        <v>749.251255411008</v>
      </c>
      <c r="R38" t="n">
        <v>759.855058419183</v>
      </c>
      <c r="S38" t="n">
        <v>674.545860433814</v>
      </c>
      <c r="T38" t="n">
        <v>647.402919528507</v>
      </c>
      <c r="U38" t="n">
        <v>693.609108761203</v>
      </c>
      <c r="V38" t="n">
        <v>732.375646383087</v>
      </c>
      <c r="W38" t="n">
        <v>734.752302250032</v>
      </c>
      <c r="X38" t="n">
        <v>715.445339459598</v>
      </c>
      <c r="Y38" t="n">
        <v>726.420168787463</v>
      </c>
      <c r="Z38" t="n">
        <v>940.717541860484</v>
      </c>
      <c r="AA38" t="n">
        <v>1095.14300756128</v>
      </c>
      <c r="AB38" t="n">
        <v>1108.97930582485</v>
      </c>
      <c r="AC38" t="n">
        <v>1064.62408505919</v>
      </c>
      <c r="AD38" t="n">
        <v>1059.63521868121</v>
      </c>
      <c r="AE38" t="n">
        <v>1048.1</v>
      </c>
      <c r="AF38"/>
    </row>
    <row r="39">
      <c r="A39" t="s">
        <v>142</v>
      </c>
      <c r="B39" t="s">
        <v>348</v>
      </c>
      <c r="C39" t="s">
        <v>246</v>
      </c>
      <c r="D39" t="s">
        <v>349</v>
      </c>
      <c r="E39" t="s">
        <v>247</v>
      </c>
      <c r="F39" t="n">
        <v>470.593258596714</v>
      </c>
      <c r="G39" t="n">
        <v>502.968396595269</v>
      </c>
      <c r="H39" t="n">
        <v>573.085207318583</v>
      </c>
      <c r="I39" t="n">
        <v>602.970018743172</v>
      </c>
      <c r="J39" t="n">
        <v>617.767285203881</v>
      </c>
      <c r="K39" t="n">
        <v>583.881636550464</v>
      </c>
      <c r="L39" t="n">
        <v>550.734858011003</v>
      </c>
      <c r="M39" t="n">
        <v>576.833225003447</v>
      </c>
      <c r="N39" t="n">
        <v>558.906978579711</v>
      </c>
      <c r="O39" t="n">
        <v>620.204550072352</v>
      </c>
      <c r="P39" t="n">
        <v>624.1767925411</v>
      </c>
      <c r="Q39" t="n">
        <v>606.50029432565</v>
      </c>
      <c r="R39" t="n">
        <v>640.517525882996</v>
      </c>
      <c r="S39" t="n">
        <v>707.405104955154</v>
      </c>
      <c r="T39" t="n">
        <v>1014.56900001428</v>
      </c>
      <c r="U39" t="n">
        <v>883.262724548095</v>
      </c>
      <c r="V39" t="n">
        <v>904.562269615898</v>
      </c>
      <c r="W39" t="n">
        <v>903.465387316444</v>
      </c>
      <c r="X39" t="n">
        <v>911.803952287663</v>
      </c>
      <c r="Y39" t="n">
        <v>899.506565235335</v>
      </c>
      <c r="Z39" t="n">
        <v>921.705737915093</v>
      </c>
      <c r="AA39" t="n">
        <v>1042.84986660614</v>
      </c>
      <c r="AB39" t="n">
        <v>1150.3764639211</v>
      </c>
      <c r="AC39" t="n">
        <v>1205.00576272302</v>
      </c>
      <c r="AD39" t="n">
        <v>1415.75205047319</v>
      </c>
      <c r="AE39" t="n">
        <v>1526.4</v>
      </c>
      <c r="AF39" t="n">
        <v>1657.6</v>
      </c>
    </row>
    <row r="40">
      <c r="A40" t="s">
        <v>142</v>
      </c>
      <c r="B40" t="s">
        <v>350</v>
      </c>
      <c r="C40" t="s">
        <v>246</v>
      </c>
      <c r="D40" t="s">
        <v>351</v>
      </c>
      <c r="E40" t="s">
        <v>247</v>
      </c>
      <c r="F40" t="n">
        <v>48.3347108420176</v>
      </c>
      <c r="G40" t="n">
        <v>45.428958430694</v>
      </c>
      <c r="H40" t="n">
        <v>47.7328041831222</v>
      </c>
      <c r="I40" t="n">
        <v>48.7593161010388</v>
      </c>
      <c r="J40" t="n">
        <v>50.0248250685467</v>
      </c>
      <c r="K40" t="n">
        <v>50.0248250685467</v>
      </c>
      <c r="L40" t="n">
        <v>52.5902007130875</v>
      </c>
      <c r="M40" t="n">
        <v>49.8495846195886</v>
      </c>
      <c r="N40" t="n">
        <v>56.1532384886354</v>
      </c>
      <c r="O40" t="n">
        <v>59.5386237710434</v>
      </c>
      <c r="P40" t="n">
        <v>141.871163684906</v>
      </c>
      <c r="Q40" t="n">
        <v>123.990220998251</v>
      </c>
      <c r="R40" t="n">
        <v>98.7376301635769</v>
      </c>
      <c r="S40" t="n">
        <v>84.1768452616183</v>
      </c>
      <c r="T40" t="n">
        <v>67.7969596592015</v>
      </c>
      <c r="U40" t="n">
        <v>70.2951957838734</v>
      </c>
      <c r="V40" t="n">
        <v>70.4736099863706</v>
      </c>
      <c r="W40" t="n">
        <v>91.8902654887222</v>
      </c>
      <c r="X40" t="n">
        <v>90.25746708912</v>
      </c>
      <c r="Y40" t="n">
        <v>91.1089526276966</v>
      </c>
      <c r="Z40" t="n">
        <v>80.2579936774022</v>
      </c>
      <c r="AA40" t="n">
        <v>111.43095053114</v>
      </c>
      <c r="AB40" t="n">
        <v>104.021977756464</v>
      </c>
      <c r="AC40" t="n">
        <v>109.455224457893</v>
      </c>
      <c r="AD40" t="n">
        <v>139.488061797753</v>
      </c>
      <c r="AE40" t="n">
        <v>142.9</v>
      </c>
      <c r="AF40" t="n">
        <v>163.7</v>
      </c>
    </row>
    <row r="41">
      <c r="A41" t="s">
        <v>142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142</v>
      </c>
      <c r="B42" t="s">
        <v>354</v>
      </c>
      <c r="C42" t="s">
        <v>246</v>
      </c>
      <c r="D42" t="s">
        <v>355</v>
      </c>
      <c r="E42" t="s">
        <v>247</v>
      </c>
      <c r="F42" t="n">
        <v>372.99231248406</v>
      </c>
      <c r="G42" t="n">
        <v>392.634643014571</v>
      </c>
      <c r="H42" t="n">
        <v>458.839679748192</v>
      </c>
      <c r="I42" t="n">
        <v>480.99913511378</v>
      </c>
      <c r="J42" t="n">
        <v>491.996798020754</v>
      </c>
      <c r="K42" t="n">
        <v>567.047157040869</v>
      </c>
      <c r="L42" t="n">
        <v>599.596236477708</v>
      </c>
      <c r="M42" t="n">
        <v>579.548046460995</v>
      </c>
      <c r="N42" t="n">
        <v>607.211092037417</v>
      </c>
      <c r="O42" t="n">
        <v>637.682048656022</v>
      </c>
      <c r="P42" t="n">
        <v>650.185618237512</v>
      </c>
      <c r="Q42" t="n">
        <v>723.744188965626</v>
      </c>
      <c r="R42" t="n">
        <v>754.043980572513</v>
      </c>
      <c r="S42" t="n">
        <v>704.320166082189</v>
      </c>
      <c r="T42" t="n">
        <v>637.600627723831</v>
      </c>
      <c r="U42" t="n">
        <v>685.442186295282</v>
      </c>
      <c r="V42" t="n">
        <v>710.842137289191</v>
      </c>
      <c r="W42" t="n">
        <v>824.913242771628</v>
      </c>
      <c r="X42" t="n">
        <v>866.51236147435</v>
      </c>
      <c r="Y42" t="n">
        <v>920.24369567931</v>
      </c>
      <c r="Z42" t="n">
        <v>1171.86824711213</v>
      </c>
      <c r="AA42" t="n">
        <v>1324.59144158871</v>
      </c>
      <c r="AB42" t="n">
        <v>1407.99603549358</v>
      </c>
      <c r="AC42" t="n">
        <v>1366.90396654695</v>
      </c>
      <c r="AD42" t="n">
        <v>1302.9441561552</v>
      </c>
      <c r="AE42" t="n">
        <v>1256.5</v>
      </c>
      <c r="AF42" t="n">
        <v>1195.5</v>
      </c>
    </row>
    <row r="43">
      <c r="A43" t="s">
        <v>142</v>
      </c>
      <c r="B43" t="s">
        <v>356</v>
      </c>
      <c r="C43" t="s">
        <v>246</v>
      </c>
      <c r="D43" t="s">
        <v>357</v>
      </c>
      <c r="E43" t="s">
        <v>247</v>
      </c>
      <c r="F43" t="n">
        <v>438.164048898137</v>
      </c>
      <c r="G43" t="n">
        <v>465.301951281505</v>
      </c>
      <c r="H43" t="n">
        <v>550.679114873127</v>
      </c>
      <c r="I43" t="n">
        <v>580.878354607903</v>
      </c>
      <c r="J43" t="n">
        <v>595.66407890657</v>
      </c>
      <c r="K43" t="n">
        <v>677.597259883539</v>
      </c>
      <c r="L43" t="n">
        <v>720.987590255181</v>
      </c>
      <c r="M43" t="n">
        <v>698.798805163208</v>
      </c>
      <c r="N43" t="n">
        <v>731.306126290257</v>
      </c>
      <c r="O43" t="n">
        <v>771.631720696281</v>
      </c>
      <c r="P43" t="n">
        <v>784.362653057107</v>
      </c>
      <c r="Q43" t="n">
        <v>865.519840492286</v>
      </c>
      <c r="R43" t="n">
        <v>901.120277338673</v>
      </c>
      <c r="S43" t="n">
        <v>863.810554629967</v>
      </c>
      <c r="T43" t="n">
        <v>780.371323070839</v>
      </c>
      <c r="U43" t="n">
        <v>839.486451414611</v>
      </c>
      <c r="V43" t="n">
        <v>872.37428457864</v>
      </c>
      <c r="W43" t="n">
        <v>1013.04738013255</v>
      </c>
      <c r="X43" t="n">
        <v>1053.19947724257</v>
      </c>
      <c r="Y43" t="n">
        <v>1112.13626645681</v>
      </c>
      <c r="Z43" t="n">
        <v>1387.5298407043</v>
      </c>
      <c r="AA43" t="n">
        <v>1560.36441647908</v>
      </c>
      <c r="AB43" t="n">
        <v>1625.28901569547</v>
      </c>
      <c r="AC43" t="n">
        <v>1586.46936192324</v>
      </c>
      <c r="AD43" t="n">
        <v>1528.79770838917</v>
      </c>
      <c r="AE43" t="n">
        <v>1497</v>
      </c>
      <c r="AF43" t="n">
        <v>1428.5</v>
      </c>
    </row>
    <row r="44">
      <c r="A44" t="s">
        <v>142</v>
      </c>
      <c r="B44" t="s">
        <v>358</v>
      </c>
      <c r="C44" t="s">
        <v>246</v>
      </c>
      <c r="D44" t="s">
        <v>359</v>
      </c>
      <c r="E44" t="s">
        <v>247</v>
      </c>
      <c r="F44" t="n">
        <v>6201.31133486299</v>
      </c>
      <c r="G44" t="n">
        <v>6913.45604063208</v>
      </c>
      <c r="H44" t="n">
        <v>8105.45612368735</v>
      </c>
      <c r="I44" t="n">
        <v>8930.21387016397</v>
      </c>
      <c r="J44" t="n">
        <v>9438.81024529701</v>
      </c>
      <c r="K44" t="n">
        <v>10261.0627829892</v>
      </c>
      <c r="L44" t="n">
        <v>10724.7625923113</v>
      </c>
      <c r="M44" t="n">
        <v>10880.8479080085</v>
      </c>
      <c r="N44" t="n">
        <v>10782.3734539859</v>
      </c>
      <c r="O44" t="n">
        <v>11270.0928200243</v>
      </c>
      <c r="P44" t="n">
        <v>11946.4218987633</v>
      </c>
      <c r="Q44" t="n">
        <v>12172.4357099429</v>
      </c>
      <c r="R44" t="n">
        <v>12496.9599339965</v>
      </c>
      <c r="S44" t="n">
        <v>12535.6504792116</v>
      </c>
      <c r="T44" t="n">
        <v>11951.8272905141</v>
      </c>
      <c r="U44" t="n">
        <v>12652.9171788759</v>
      </c>
      <c r="V44" t="n">
        <v>13362.6347676898</v>
      </c>
      <c r="W44" t="n">
        <v>14009.3966737349</v>
      </c>
      <c r="X44" t="n">
        <v>14469.4551421144</v>
      </c>
      <c r="Y44" t="n">
        <v>14803.5803133212</v>
      </c>
      <c r="Z44" t="n">
        <v>15905.6437500917</v>
      </c>
      <c r="AA44" t="n">
        <v>16254.5903075633</v>
      </c>
      <c r="AB44" t="n">
        <v>17174.2754718872</v>
      </c>
      <c r="AC44" t="n">
        <v>18235.825762481</v>
      </c>
      <c r="AD44" t="n">
        <v>19089.3594360053</v>
      </c>
      <c r="AE44" t="n">
        <v>19038</v>
      </c>
      <c r="AF44" t="n">
        <v>18876.1</v>
      </c>
    </row>
    <row r="45">
      <c r="A45" t="s">
        <v>142</v>
      </c>
      <c r="B45" t="s">
        <v>360</v>
      </c>
      <c r="C45" t="s">
        <v>246</v>
      </c>
      <c r="D45" t="s">
        <v>361</v>
      </c>
      <c r="E45" t="s">
        <v>247</v>
      </c>
      <c r="F45" t="n">
        <v>6196.60722116393</v>
      </c>
      <c r="G45" t="n">
        <v>6907.90479702601</v>
      </c>
      <c r="H45" t="n">
        <v>8098.18570910858</v>
      </c>
      <c r="I45" t="n">
        <v>8922.22395546302</v>
      </c>
      <c r="J45" t="n">
        <v>9430.30631185583</v>
      </c>
      <c r="K45" t="n">
        <v>10251.13055559</v>
      </c>
      <c r="L45" t="n">
        <v>10713.7829995289</v>
      </c>
      <c r="M45" t="n">
        <v>10869.3521885644</v>
      </c>
      <c r="N45" t="n">
        <v>10769.5735744906</v>
      </c>
      <c r="O45" t="n">
        <v>11255.2358380816</v>
      </c>
      <c r="P45" t="n">
        <v>11930.273995806</v>
      </c>
      <c r="Q45" t="n">
        <v>12155.6620430556</v>
      </c>
      <c r="R45" t="n">
        <v>12480.4425613906</v>
      </c>
      <c r="S45" t="n">
        <v>12517.8408896144</v>
      </c>
      <c r="T45" t="n">
        <v>11933.8360862058</v>
      </c>
      <c r="U45" t="n">
        <v>12633.9840694022</v>
      </c>
      <c r="V45" t="n">
        <v>13342.9023403487</v>
      </c>
      <c r="W45" t="n">
        <v>13989.5733504732</v>
      </c>
      <c r="X45" t="n">
        <v>14450.0858297009</v>
      </c>
      <c r="Y45" t="n">
        <v>14784.9683425463</v>
      </c>
      <c r="Z45" t="n">
        <v>15887.3301681539</v>
      </c>
      <c r="AA45" t="n">
        <v>16235.8829325834</v>
      </c>
      <c r="AB45" t="n">
        <v>17155.7697045741</v>
      </c>
      <c r="AC45" t="n">
        <v>18217.5216467203</v>
      </c>
      <c r="AD45" t="n">
        <v>19071.1577138698</v>
      </c>
      <c r="AE45" t="n">
        <v>19020.4</v>
      </c>
      <c r="AF45" t="n">
        <v>18859.1</v>
      </c>
    </row>
    <row r="46">
      <c r="A46" t="s">
        <v>142</v>
      </c>
      <c r="B46" t="s">
        <v>362</v>
      </c>
      <c r="C46" t="s">
        <v>246</v>
      </c>
      <c r="D46" t="s">
        <v>363</v>
      </c>
      <c r="E46" t="s">
        <v>247</v>
      </c>
      <c r="F46" t="n">
        <v>65.1772369567521</v>
      </c>
      <c r="G46" t="n">
        <v>72.6786344783761</v>
      </c>
      <c r="H46" t="n">
        <v>91.8537287528093</v>
      </c>
      <c r="I46" t="n">
        <v>99.8918434408038</v>
      </c>
      <c r="J46" t="n">
        <v>103.67956389841</v>
      </c>
      <c r="K46" t="n">
        <v>110.571339146588</v>
      </c>
      <c r="L46" t="n">
        <v>121.41019063543</v>
      </c>
      <c r="M46" t="n">
        <v>119.267223180514</v>
      </c>
      <c r="N46" t="n">
        <v>124.113132187848</v>
      </c>
      <c r="O46" t="n">
        <v>133.965714956315</v>
      </c>
      <c r="P46" t="n">
        <v>134.194325391394</v>
      </c>
      <c r="Q46" t="n">
        <v>141.797625369761</v>
      </c>
      <c r="R46" t="n">
        <v>147.099257653616</v>
      </c>
      <c r="S46" t="n">
        <v>159.501068603335</v>
      </c>
      <c r="T46" t="n">
        <v>142.780594342503</v>
      </c>
      <c r="U46" t="n">
        <v>154.055011376178</v>
      </c>
      <c r="V46" t="n">
        <v>161.543796651409</v>
      </c>
      <c r="W46" t="n">
        <v>188.147783536276</v>
      </c>
      <c r="X46" t="n">
        <v>186.697005446358</v>
      </c>
      <c r="Y46" t="n">
        <v>191.901432866302</v>
      </c>
      <c r="Z46" t="n">
        <v>215.669041524055</v>
      </c>
      <c r="AA46" t="n">
        <v>235.779659543983</v>
      </c>
      <c r="AB46" t="n">
        <v>217.300700476621</v>
      </c>
      <c r="AC46" t="n">
        <v>219.572480527059</v>
      </c>
      <c r="AD46" t="n">
        <v>225.857381150959</v>
      </c>
      <c r="AE46" t="n">
        <v>240.5</v>
      </c>
      <c r="AF46" t="n">
        <v>233</v>
      </c>
    </row>
    <row r="47">
      <c r="A47" t="s">
        <v>142</v>
      </c>
      <c r="B47" t="s">
        <v>364</v>
      </c>
      <c r="C47" t="s">
        <v>246</v>
      </c>
      <c r="D47" t="s">
        <v>365</v>
      </c>
      <c r="E47" t="s">
        <v>247</v>
      </c>
      <c r="F47" t="n">
        <v>410.079834246907</v>
      </c>
      <c r="G47" t="n">
        <v>430.087239287384</v>
      </c>
      <c r="H47" t="n">
        <v>460.418099896692</v>
      </c>
      <c r="I47" t="n">
        <v>521.185059458544</v>
      </c>
      <c r="J47" t="n">
        <v>615.436365923082</v>
      </c>
      <c r="K47" t="n">
        <v>652.680261106769</v>
      </c>
      <c r="L47" t="n">
        <v>687.803085017734</v>
      </c>
      <c r="M47" t="n">
        <v>730.44776626479</v>
      </c>
      <c r="N47" t="n">
        <v>843.405103206552</v>
      </c>
      <c r="O47" t="n">
        <v>887.895810689148</v>
      </c>
      <c r="P47" t="n">
        <v>949.177432046523</v>
      </c>
      <c r="Q47" t="n">
        <v>1054.24865465343</v>
      </c>
      <c r="R47" t="n">
        <v>1184.54526476359</v>
      </c>
      <c r="S47" t="n">
        <v>1339.40356258826</v>
      </c>
      <c r="T47" t="n">
        <v>1476.21682212023</v>
      </c>
      <c r="U47" t="n">
        <v>1405.98635763503</v>
      </c>
      <c r="V47" t="n">
        <v>1495.48171698744</v>
      </c>
      <c r="W47" t="n">
        <v>1386.04953608306</v>
      </c>
      <c r="X47" t="n">
        <v>1330.57129435102</v>
      </c>
      <c r="Y47" t="n">
        <v>1176.52705688811</v>
      </c>
      <c r="Z47" t="n">
        <v>1119.79395969863</v>
      </c>
      <c r="AA47" t="n">
        <v>1281.57610038586</v>
      </c>
      <c r="AB47" t="n">
        <v>1258.840851401</v>
      </c>
      <c r="AC47" t="n">
        <v>1102.93072947095</v>
      </c>
      <c r="AD47" t="n">
        <v>975.892110341696</v>
      </c>
      <c r="AE47" t="n">
        <v>883.7</v>
      </c>
      <c r="AF47" t="n">
        <v>956.2</v>
      </c>
    </row>
    <row r="48">
      <c r="A48" t="s">
        <v>142</v>
      </c>
      <c r="B48" t="s">
        <v>366</v>
      </c>
      <c r="C48" t="s">
        <v>246</v>
      </c>
      <c r="D48" t="s">
        <v>367</v>
      </c>
      <c r="E48" t="s">
        <v>247</v>
      </c>
      <c r="F48" t="n">
        <v>548.47205117455</v>
      </c>
      <c r="G48" t="n">
        <v>585.276466666211</v>
      </c>
      <c r="H48" t="n">
        <v>636.574441274075</v>
      </c>
      <c r="I48" t="n">
        <v>716.38487007049</v>
      </c>
      <c r="J48" t="n">
        <v>827.293078166265</v>
      </c>
      <c r="K48" t="n">
        <v>874.764449250907</v>
      </c>
      <c r="L48" t="n">
        <v>927.526581447505</v>
      </c>
      <c r="M48" t="n">
        <v>982.370342555868</v>
      </c>
      <c r="N48" t="n">
        <v>1098.72848976157</v>
      </c>
      <c r="O48" t="n">
        <v>1167.29764124984</v>
      </c>
      <c r="P48" t="n">
        <v>1246.93991506574</v>
      </c>
      <c r="Q48" t="n">
        <v>1369.92189686401</v>
      </c>
      <c r="R48" t="n">
        <v>1495.1108017704</v>
      </c>
      <c r="S48" t="n">
        <v>1653.00801678414</v>
      </c>
      <c r="T48" t="n">
        <v>1783.03168884963</v>
      </c>
      <c r="U48" t="n">
        <v>1746.72230446057</v>
      </c>
      <c r="V48" t="n">
        <v>1864.35270300595</v>
      </c>
      <c r="W48" t="n">
        <v>1769.20188848277</v>
      </c>
      <c r="X48" t="n">
        <v>1692.79629463078</v>
      </c>
      <c r="Y48" t="n">
        <v>1552.02950764013</v>
      </c>
      <c r="Z48" t="n">
        <v>1518.38753217522</v>
      </c>
      <c r="AA48" t="n">
        <v>1755.30749153354</v>
      </c>
      <c r="AB48" t="n">
        <v>1808.57349411977</v>
      </c>
      <c r="AC48" t="n">
        <v>1692.59876820232</v>
      </c>
      <c r="AD48" t="n">
        <v>1657.87265268915</v>
      </c>
      <c r="AE48" t="n">
        <v>1760.8</v>
      </c>
      <c r="AF48" t="n">
        <v>1834.5</v>
      </c>
    </row>
    <row r="49">
      <c r="A49" t="s">
        <v>142</v>
      </c>
      <c r="B49" t="s">
        <v>368</v>
      </c>
      <c r="C49" t="s">
        <v>246</v>
      </c>
      <c r="D49" t="s">
        <v>369</v>
      </c>
      <c r="E49" t="s">
        <v>247</v>
      </c>
      <c r="F49" t="n">
        <v>41.2851961547208</v>
      </c>
      <c r="G49" t="n">
        <v>48.9279573805948</v>
      </c>
      <c r="H49" t="n">
        <v>57.9619229235406</v>
      </c>
      <c r="I49" t="n">
        <v>59.7183448303146</v>
      </c>
      <c r="J49" t="n">
        <v>62.9202012239599</v>
      </c>
      <c r="K49" t="n">
        <v>63.0718161666682</v>
      </c>
      <c r="L49" t="n">
        <v>68.1205756447647</v>
      </c>
      <c r="M49" t="n">
        <v>80.4118969024071</v>
      </c>
      <c r="N49" t="n">
        <v>84.1098290412914</v>
      </c>
      <c r="O49" t="n">
        <v>96.1992347930634</v>
      </c>
      <c r="P49" t="n">
        <v>99.0241329576216</v>
      </c>
      <c r="Q49" t="n">
        <v>108.447523881424</v>
      </c>
      <c r="R49" t="n">
        <v>100.526725711374</v>
      </c>
      <c r="S49" t="n">
        <v>105.790356843043</v>
      </c>
      <c r="T49" t="n">
        <v>100.794457638359</v>
      </c>
      <c r="U49" t="n">
        <v>108.375579238509</v>
      </c>
      <c r="V49" t="n">
        <v>113.370667664317</v>
      </c>
      <c r="W49" t="n">
        <v>146.677304492252</v>
      </c>
      <c r="X49" t="n">
        <v>140.418347157703</v>
      </c>
      <c r="Y49" t="n">
        <v>148.466600366337</v>
      </c>
      <c r="Z49" t="n">
        <v>179.393064252799</v>
      </c>
      <c r="AA49" t="n">
        <v>202.089755807435</v>
      </c>
      <c r="AB49" t="n">
        <v>227.79588912932</v>
      </c>
      <c r="AC49" t="n">
        <v>243.114050871205</v>
      </c>
      <c r="AD49" t="n">
        <v>253.193902734091</v>
      </c>
      <c r="AE49" t="n">
        <v>414.6</v>
      </c>
      <c r="AF49" t="n">
        <v>406.8</v>
      </c>
    </row>
    <row r="50">
      <c r="A50" t="s">
        <v>142</v>
      </c>
      <c r="B50" t="s">
        <v>370</v>
      </c>
      <c r="C50" t="s">
        <v>246</v>
      </c>
      <c r="D50" t="s">
        <v>371</v>
      </c>
      <c r="E50" t="s">
        <v>247</v>
      </c>
      <c r="F50" t="n">
        <v>97.0034711589617</v>
      </c>
      <c r="G50" t="n">
        <v>106.102024214492</v>
      </c>
      <c r="H50" t="n">
        <v>117.979656959323</v>
      </c>
      <c r="I50" t="n">
        <v>135.25211294096</v>
      </c>
      <c r="J50" t="n">
        <v>148.725218302718</v>
      </c>
      <c r="K50" t="n">
        <v>158.867294258222</v>
      </c>
      <c r="L50" t="n">
        <v>171.510451735901</v>
      </c>
      <c r="M50" t="n">
        <v>171.584378654753</v>
      </c>
      <c r="N50" t="n">
        <v>171.367274843717</v>
      </c>
      <c r="O50" t="n">
        <v>183.434356455727</v>
      </c>
      <c r="P50" t="n">
        <v>198.980932574118</v>
      </c>
      <c r="Q50" t="n">
        <v>207.523241219482</v>
      </c>
      <c r="R50" t="n">
        <v>210.382151349734</v>
      </c>
      <c r="S50" t="n">
        <v>208.315359850597</v>
      </c>
      <c r="T50" t="n">
        <v>206.477283146032</v>
      </c>
      <c r="U50" t="n">
        <v>232.706175840551</v>
      </c>
      <c r="V50" t="n">
        <v>255.771962117896</v>
      </c>
      <c r="W50" t="n">
        <v>236.77175921771</v>
      </c>
      <c r="X50" t="n">
        <v>222.092453824189</v>
      </c>
      <c r="Y50" t="n">
        <v>227.292575135526</v>
      </c>
      <c r="Z50" t="n">
        <v>219.471755345917</v>
      </c>
      <c r="AA50" t="n">
        <v>272.061783364275</v>
      </c>
      <c r="AB50" t="n">
        <v>322.363072042959</v>
      </c>
      <c r="AC50" t="n">
        <v>346.765057576091</v>
      </c>
      <c r="AD50" t="n">
        <v>428.890997830803</v>
      </c>
      <c r="AE50" t="n">
        <v>462.5</v>
      </c>
      <c r="AF50" t="n">
        <v>471.5</v>
      </c>
    </row>
    <row r="51">
      <c r="A51" t="s">
        <v>142</v>
      </c>
      <c r="B51" t="s">
        <v>372</v>
      </c>
      <c r="C51" t="s">
        <v>246</v>
      </c>
      <c r="D51" t="s">
        <v>373</v>
      </c>
      <c r="E51" t="s">
        <v>247</v>
      </c>
      <c r="F51" t="n">
        <v>92.9363680388415</v>
      </c>
      <c r="G51" t="n">
        <v>99.8205434491261</v>
      </c>
      <c r="H51" t="n">
        <v>109.824345189126</v>
      </c>
      <c r="I51" t="n">
        <v>124.916950331861</v>
      </c>
      <c r="J51" t="n">
        <v>137.438458479684</v>
      </c>
      <c r="K51" t="n">
        <v>147.82404524842</v>
      </c>
      <c r="L51" t="n">
        <v>157.995424508632</v>
      </c>
      <c r="M51" t="n">
        <v>157.921421967879</v>
      </c>
      <c r="N51" t="n">
        <v>158.790714198894</v>
      </c>
      <c r="O51" t="n">
        <v>161.589437361955</v>
      </c>
      <c r="P51" t="n">
        <v>176.771825480476</v>
      </c>
      <c r="Q51" t="n">
        <v>184.225586430607</v>
      </c>
      <c r="R51" t="n">
        <v>188.014503884619</v>
      </c>
      <c r="S51" t="n">
        <v>189.048971581371</v>
      </c>
      <c r="T51" t="n">
        <v>190.012613234473</v>
      </c>
      <c r="U51" t="n">
        <v>216.357814706947</v>
      </c>
      <c r="V51" t="n">
        <v>238.733509594233</v>
      </c>
      <c r="W51" t="n">
        <v>216.972278156689</v>
      </c>
      <c r="X51" t="n">
        <v>202.283808009851</v>
      </c>
      <c r="Y51" t="n">
        <v>207.866008511526</v>
      </c>
      <c r="Z51" t="n">
        <v>202.290308518511</v>
      </c>
      <c r="AA51" t="n">
        <v>255.190908297592</v>
      </c>
      <c r="AB51" t="n">
        <v>306.980232832038</v>
      </c>
      <c r="AC51" t="n">
        <v>332.47134968774</v>
      </c>
      <c r="AD51" t="n">
        <v>411.398371777476</v>
      </c>
      <c r="AE51" t="n">
        <v>443.6</v>
      </c>
      <c r="AF51"/>
    </row>
    <row r="52">
      <c r="A52" t="s">
        <v>142</v>
      </c>
      <c r="B52" t="s">
        <v>374</v>
      </c>
      <c r="C52" t="s">
        <v>246</v>
      </c>
      <c r="D52" t="s">
        <v>375</v>
      </c>
      <c r="E52" t="s">
        <v>247</v>
      </c>
      <c r="F52" t="n">
        <v>4.09941995760101</v>
      </c>
      <c r="G52" t="n">
        <v>6.29048924528432</v>
      </c>
      <c r="H52" t="n">
        <v>8.1490428859365</v>
      </c>
      <c r="I52" t="n">
        <v>10.312505599017</v>
      </c>
      <c r="J52" t="n">
        <v>11.2633039875788</v>
      </c>
      <c r="K52" t="n">
        <v>11.0410019351924</v>
      </c>
      <c r="L52" t="n">
        <v>13.4863245114431</v>
      </c>
      <c r="M52" t="n">
        <v>13.6321226142695</v>
      </c>
      <c r="N52" t="n">
        <v>12.5615370686462</v>
      </c>
      <c r="O52" t="n">
        <v>21.7104022169088</v>
      </c>
      <c r="P52" t="n">
        <v>22.086014712011</v>
      </c>
      <c r="Q52" t="n">
        <v>23.1671482993123</v>
      </c>
      <c r="R52" t="n">
        <v>22.2570103304107</v>
      </c>
      <c r="S52" t="n">
        <v>19.198795170507</v>
      </c>
      <c r="T52" t="n">
        <v>16.4314012720555</v>
      </c>
      <c r="U52" t="n">
        <v>16.3467033273542</v>
      </c>
      <c r="V52" t="n">
        <v>17.0497873414339</v>
      </c>
      <c r="W52" t="n">
        <v>19.7561027924552</v>
      </c>
      <c r="X52" t="n">
        <v>19.7561027924552</v>
      </c>
      <c r="Y52" t="n">
        <v>19.3815795167688</v>
      </c>
      <c r="Z52" t="n">
        <v>17.1526978723404</v>
      </c>
      <c r="AA52" t="n">
        <v>16.8569617021277</v>
      </c>
      <c r="AB52" t="n">
        <v>15.3782808510638</v>
      </c>
      <c r="AC52" t="n">
        <v>14.293914893617</v>
      </c>
      <c r="AD52" t="n">
        <v>17.4925531914894</v>
      </c>
      <c r="AE52" t="n">
        <v>18.9</v>
      </c>
      <c r="AF52"/>
    </row>
    <row r="53">
      <c r="A53" t="s">
        <v>142</v>
      </c>
      <c r="B53" t="s">
        <v>376</v>
      </c>
      <c r="C53" t="s">
        <v>246</v>
      </c>
      <c r="D53" t="s">
        <v>377</v>
      </c>
      <c r="E53" t="s">
        <v>247</v>
      </c>
      <c r="F53" t="n">
        <v>29.8066918966263</v>
      </c>
      <c r="G53" t="n">
        <v>41.5724913295051</v>
      </c>
      <c r="H53" t="n">
        <v>52.6151843389049</v>
      </c>
      <c r="I53" t="n">
        <v>62.8601437373008</v>
      </c>
      <c r="J53" t="n">
        <v>74.3298856040595</v>
      </c>
      <c r="K53" t="n">
        <v>76.2241232596165</v>
      </c>
      <c r="L53" t="n">
        <v>78.4837316566407</v>
      </c>
      <c r="M53" t="n">
        <v>73.8975004005505</v>
      </c>
      <c r="N53" t="n">
        <v>75.3450518285731</v>
      </c>
      <c r="O53" t="n">
        <v>79.2447468939191</v>
      </c>
      <c r="P53" t="n">
        <v>119.552892188999</v>
      </c>
      <c r="Q53" t="n">
        <v>109.831870135599</v>
      </c>
      <c r="R53" t="n">
        <v>100.49700215317</v>
      </c>
      <c r="S53" t="n">
        <v>94.8133670699575</v>
      </c>
      <c r="T53" t="n">
        <v>98.1401518794297</v>
      </c>
      <c r="U53" t="n">
        <v>96.8499658336878</v>
      </c>
      <c r="V53" t="n">
        <v>94.7116041225485</v>
      </c>
      <c r="W53" t="n">
        <v>97.9082349270703</v>
      </c>
      <c r="X53" t="n">
        <v>115.116897865223</v>
      </c>
      <c r="Y53" t="n">
        <v>111.241862715409</v>
      </c>
      <c r="Z53" t="n">
        <v>156.403321919731</v>
      </c>
      <c r="AA53" t="n">
        <v>170.756791336415</v>
      </c>
      <c r="AB53" t="n">
        <v>168.979103514521</v>
      </c>
      <c r="AC53" t="n">
        <v>160.885478229363</v>
      </c>
      <c r="AD53" t="n">
        <v>152.00835016835</v>
      </c>
      <c r="AE53" t="n">
        <v>148.9</v>
      </c>
      <c r="AF53" t="n">
        <v>137</v>
      </c>
    </row>
    <row r="54">
      <c r="A54" t="s">
        <v>142</v>
      </c>
      <c r="B54" t="s">
        <v>378</v>
      </c>
      <c r="C54" t="s">
        <v>246</v>
      </c>
      <c r="D54" t="s">
        <v>379</v>
      </c>
      <c r="E54" t="s">
        <v>247</v>
      </c>
      <c r="F54" t="n">
        <v>46.3579278234679</v>
      </c>
      <c r="G54" t="n">
        <v>61.1211448380185</v>
      </c>
      <c r="H54" t="n">
        <v>78.2235194857285</v>
      </c>
      <c r="I54" t="n">
        <v>92.1998452310738</v>
      </c>
      <c r="J54" t="n">
        <v>103.892394262801</v>
      </c>
      <c r="K54" t="n">
        <v>109.575785633852</v>
      </c>
      <c r="L54" t="n">
        <v>114.094374732155</v>
      </c>
      <c r="M54" t="n">
        <v>104.623505753091</v>
      </c>
      <c r="N54" t="n">
        <v>113.239559168052</v>
      </c>
      <c r="O54" t="n">
        <v>116.256337547448</v>
      </c>
      <c r="P54" t="n">
        <v>159.404591351943</v>
      </c>
      <c r="Q54" t="n">
        <v>152.344348624741</v>
      </c>
      <c r="R54" t="n">
        <v>144.769215267709</v>
      </c>
      <c r="S54" t="n">
        <v>137.013721592654</v>
      </c>
      <c r="T54" t="n">
        <v>132.195464119766</v>
      </c>
      <c r="U54" t="n">
        <v>133.74462971492</v>
      </c>
      <c r="V54" t="n">
        <v>134.190148135023</v>
      </c>
      <c r="W54" t="n">
        <v>138.026762309067</v>
      </c>
      <c r="X54" t="n">
        <v>160.940653952239</v>
      </c>
      <c r="Y54" t="n">
        <v>156.026435510949</v>
      </c>
      <c r="Z54" t="n">
        <v>214.97627298783</v>
      </c>
      <c r="AA54" t="n">
        <v>248.148567529941</v>
      </c>
      <c r="AB54" t="n">
        <v>254.668394543069</v>
      </c>
      <c r="AC54" t="n">
        <v>243.411241779242</v>
      </c>
      <c r="AD54" t="n">
        <v>237.226202029113</v>
      </c>
      <c r="AE54" t="n">
        <v>227.3</v>
      </c>
      <c r="AF54" t="n">
        <v>214.1</v>
      </c>
    </row>
    <row r="55">
      <c r="A55" t="s">
        <v>142</v>
      </c>
      <c r="B55" t="s">
        <v>380</v>
      </c>
      <c r="C55" t="s">
        <v>246</v>
      </c>
      <c r="D55" t="s">
        <v>381</v>
      </c>
      <c r="E55" t="s">
        <v>247</v>
      </c>
      <c r="F55" t="n">
        <v>16.5481600067531</v>
      </c>
      <c r="G55" t="n">
        <v>19.5439475941826</v>
      </c>
      <c r="H55" t="n">
        <v>25.6018501695012</v>
      </c>
      <c r="I55" t="n">
        <v>29.3324054799142</v>
      </c>
      <c r="J55" t="n">
        <v>29.5557486688475</v>
      </c>
      <c r="K55" t="n">
        <v>33.3449472161357</v>
      </c>
      <c r="L55" t="n">
        <v>35.6030700524429</v>
      </c>
      <c r="M55" t="n">
        <v>30.7178255130224</v>
      </c>
      <c r="N55" t="n">
        <v>37.8901479795064</v>
      </c>
      <c r="O55" t="n">
        <v>37.0072707450325</v>
      </c>
      <c r="P55" t="n">
        <v>39.8305058327978</v>
      </c>
      <c r="Q55" t="n">
        <v>42.5015851194155</v>
      </c>
      <c r="R55" t="n">
        <v>44.2724844993911</v>
      </c>
      <c r="S55" t="n">
        <v>42.2012571543903</v>
      </c>
      <c r="T55" t="n">
        <v>34.0417625278658</v>
      </c>
      <c r="U55" t="n">
        <v>36.8857578782951</v>
      </c>
      <c r="V55" t="n">
        <v>39.4695428504462</v>
      </c>
      <c r="W55" t="n">
        <v>40.1090956281155</v>
      </c>
      <c r="X55" t="n">
        <v>45.8130979409174</v>
      </c>
      <c r="Y55" t="n">
        <v>44.7740379876183</v>
      </c>
      <c r="Z55" t="n">
        <v>58.5581850536754</v>
      </c>
      <c r="AA55" t="n">
        <v>77.3839975074797</v>
      </c>
      <c r="AB55" t="n">
        <v>85.6857290408492</v>
      </c>
      <c r="AC55" t="n">
        <v>82.5231646471846</v>
      </c>
      <c r="AD55" t="n">
        <v>85.2173913043478</v>
      </c>
      <c r="AE55" t="n">
        <v>78.4</v>
      </c>
      <c r="AF55" t="n">
        <v>77.1</v>
      </c>
    </row>
    <row r="56">
      <c r="A56" t="s">
        <v>142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142</v>
      </c>
      <c r="B57" t="s">
        <v>384</v>
      </c>
      <c r="C57" t="s">
        <v>246</v>
      </c>
      <c r="D57" t="s">
        <v>385</v>
      </c>
      <c r="E57" t="s">
        <v>247</v>
      </c>
      <c r="F57" t="n">
        <v>6798.15735700555</v>
      </c>
      <c r="G57" t="n">
        <v>7544.35485649661</v>
      </c>
      <c r="H57" t="n">
        <v>8790.24675492469</v>
      </c>
      <c r="I57" t="n">
        <v>9695.8574958399</v>
      </c>
      <c r="J57" t="n">
        <v>10316.4483732146</v>
      </c>
      <c r="K57" t="n">
        <v>11186.3248462931</v>
      </c>
      <c r="L57" t="n">
        <v>11705.425657764</v>
      </c>
      <c r="M57" t="n">
        <v>11913.7059365598</v>
      </c>
      <c r="N57" t="n">
        <v>11937.677904469</v>
      </c>
      <c r="O57" t="n">
        <v>12497.4175807731</v>
      </c>
      <c r="P57" t="n">
        <v>13335.7589715939</v>
      </c>
      <c r="Q57" t="n">
        <v>13666.7586884532</v>
      </c>
      <c r="R57" t="n">
        <v>14091.2094395763</v>
      </c>
      <c r="S57" t="n">
        <v>14273.2978062749</v>
      </c>
      <c r="T57" t="n">
        <v>13803.0170156784</v>
      </c>
      <c r="U57" t="n">
        <v>14470.2235010604</v>
      </c>
      <c r="V57" t="n">
        <v>15297.6815924021</v>
      </c>
      <c r="W57" t="n">
        <v>15870.6945397248</v>
      </c>
      <c r="X57" t="n">
        <v>16252.7245189654</v>
      </c>
      <c r="Y57" t="n">
        <v>16446.9402395141</v>
      </c>
      <c r="Z57" t="n">
        <v>17504.518769787</v>
      </c>
      <c r="AA57" t="n">
        <v>18121.696059104</v>
      </c>
      <c r="AB57" t="n">
        <v>19087.2509387017</v>
      </c>
      <c r="AC57" t="n">
        <v>20038.0769069704</v>
      </c>
      <c r="AD57" t="n">
        <v>20886.8291648504</v>
      </c>
      <c r="AE57" t="n">
        <v>20941.7</v>
      </c>
      <c r="AF57" t="n">
        <v>20874.3</v>
      </c>
    </row>
    <row r="58">
      <c r="A58" t="s">
        <v>142</v>
      </c>
      <c r="B58" t="s">
        <v>386</v>
      </c>
      <c r="C58" t="s">
        <v>246</v>
      </c>
      <c r="D58" t="s">
        <v>387</v>
      </c>
      <c r="E58" t="s">
        <v>247</v>
      </c>
      <c r="F58" t="n">
        <v>6798.15735700555</v>
      </c>
      <c r="G58" t="n">
        <v>7544.35485649661</v>
      </c>
      <c r="H58" t="n">
        <v>8790.24675492469</v>
      </c>
      <c r="I58" t="n">
        <v>9695.8574958399</v>
      </c>
      <c r="J58" t="n">
        <v>10316.4483732146</v>
      </c>
      <c r="K58" t="n">
        <v>11186.3248462931</v>
      </c>
      <c r="L58" t="n">
        <v>11705.425657764</v>
      </c>
      <c r="M58" t="n">
        <v>11913.7059365598</v>
      </c>
      <c r="N58" t="n">
        <v>11937.677904469</v>
      </c>
      <c r="O58" t="n">
        <v>12497.4175807731</v>
      </c>
      <c r="P58" t="n">
        <v>13335.7589715939</v>
      </c>
      <c r="Q58" t="n">
        <v>13666.7586884532</v>
      </c>
      <c r="R58" t="n">
        <v>14091.2094395763</v>
      </c>
      <c r="S58" t="n">
        <v>14273.2978062749</v>
      </c>
      <c r="T58" t="n">
        <v>13803.0170156784</v>
      </c>
      <c r="U58" t="n">
        <v>14470.2235010604</v>
      </c>
      <c r="V58" t="n">
        <v>15297.6815924021</v>
      </c>
      <c r="W58" t="n">
        <v>15870.6945397248</v>
      </c>
      <c r="X58" t="n">
        <v>16252.7245189654</v>
      </c>
      <c r="Y58" t="n">
        <v>16446.9402395141</v>
      </c>
      <c r="Z58" t="n">
        <v>17504.518769787</v>
      </c>
      <c r="AA58" t="n">
        <v>18121.696059104</v>
      </c>
      <c r="AB58" t="n">
        <v>19087.2509387017</v>
      </c>
      <c r="AC58" t="n">
        <v>20038.0769069704</v>
      </c>
      <c r="AD58" t="n">
        <v>20886.8291648504</v>
      </c>
      <c r="AE58" t="n">
        <v>20941.7</v>
      </c>
      <c r="AF58" t="n">
        <v>20874.3</v>
      </c>
    </row>
    <row r="59">
      <c r="A59" t="s">
        <v>142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143</v>
      </c>
      <c r="B2" t="s">
        <v>197</v>
      </c>
      <c r="C2" t="s">
        <v>246</v>
      </c>
      <c r="D2" t="s">
        <v>199</v>
      </c>
      <c r="E2" t="s">
        <v>247</v>
      </c>
      <c r="F2" t="n">
        <v>43.1743012686856</v>
      </c>
      <c r="G2" t="n">
        <v>46.326710567669</v>
      </c>
      <c r="H2" t="n">
        <v>48.9968379779093</v>
      </c>
      <c r="I2" t="n">
        <v>52.9061601569978</v>
      </c>
      <c r="J2" t="n">
        <v>57.0054268035448</v>
      </c>
      <c r="K2" t="n">
        <v>61.1398863299558</v>
      </c>
      <c r="L2" t="n">
        <v>64.5843869682631</v>
      </c>
      <c r="M2" t="n">
        <v>65.9098128202237</v>
      </c>
      <c r="N2" t="n">
        <v>64.7328518770054</v>
      </c>
      <c r="O2" t="n">
        <v>62.8833418233767</v>
      </c>
      <c r="P2" t="n">
        <v>60.8584757181517</v>
      </c>
      <c r="Q2" t="n">
        <v>60.3062209475696</v>
      </c>
      <c r="R2" t="n">
        <v>61.0682129090009</v>
      </c>
      <c r="S2" t="n">
        <v>62.4585575111323</v>
      </c>
      <c r="T2" t="n">
        <v>62.353231107235</v>
      </c>
      <c r="U2" t="n">
        <v>62.0372518955429</v>
      </c>
      <c r="V2" t="n">
        <v>61.6250442417519</v>
      </c>
      <c r="W2" t="n">
        <v>60.3008697373837</v>
      </c>
      <c r="X2" t="n">
        <v>76.3328333896898</v>
      </c>
      <c r="Y2" t="n">
        <v>115.550666522409</v>
      </c>
      <c r="Z2" t="n">
        <v>149.733531573503</v>
      </c>
      <c r="AA2" t="n">
        <v>157.515939659444</v>
      </c>
      <c r="AB2" t="n">
        <v>141.713037569832</v>
      </c>
      <c r="AC2" t="n">
        <v>135.600325668905</v>
      </c>
      <c r="AD2" t="n">
        <v>129.607502287283</v>
      </c>
      <c r="AE2" t="n">
        <v>110.5</v>
      </c>
      <c r="AF2" t="n">
        <v>112</v>
      </c>
    </row>
    <row r="3">
      <c r="A3" t="s">
        <v>143</v>
      </c>
      <c r="B3" t="s">
        <v>276</v>
      </c>
      <c r="C3" t="s">
        <v>246</v>
      </c>
      <c r="D3" t="s">
        <v>277</v>
      </c>
      <c r="E3" t="s">
        <v>247</v>
      </c>
      <c r="F3" t="n">
        <v>71.6327304928401</v>
      </c>
      <c r="G3" t="n">
        <v>77.9139587263541</v>
      </c>
      <c r="H3" t="n">
        <v>86.1085820982411</v>
      </c>
      <c r="I3" t="n">
        <v>92.4587725184653</v>
      </c>
      <c r="J3" t="n">
        <v>97.7064325803242</v>
      </c>
      <c r="K3" t="n">
        <v>96.2390018031479</v>
      </c>
      <c r="L3" t="n">
        <v>116.784406682472</v>
      </c>
      <c r="M3" t="n">
        <v>119.38223979371</v>
      </c>
      <c r="N3" t="n">
        <v>115.680464916385</v>
      </c>
      <c r="O3" t="n">
        <v>111.135063544425</v>
      </c>
      <c r="P3" t="n">
        <v>105.611452036253</v>
      </c>
      <c r="Q3" t="n">
        <v>99.0922266019163</v>
      </c>
      <c r="R3" t="n">
        <v>100.163493916532</v>
      </c>
      <c r="S3" t="n">
        <v>155.505928580498</v>
      </c>
      <c r="T3" t="n">
        <v>127.996535340289</v>
      </c>
      <c r="U3" t="n">
        <v>120.614119410833</v>
      </c>
      <c r="V3" t="n">
        <v>111.664673788444</v>
      </c>
      <c r="W3" t="n">
        <v>112.167667814518</v>
      </c>
      <c r="X3" t="n">
        <v>114.210794732815</v>
      </c>
      <c r="Y3" t="n">
        <v>129.591320320128</v>
      </c>
      <c r="Z3" t="n">
        <v>148.253304501386</v>
      </c>
      <c r="AA3" t="n">
        <v>182.818552249645</v>
      </c>
      <c r="AB3" t="n">
        <v>202.025170579375</v>
      </c>
      <c r="AC3" t="n">
        <v>199.293733621116</v>
      </c>
      <c r="AD3" t="n">
        <v>402.140845070423</v>
      </c>
      <c r="AE3" t="n">
        <v>430</v>
      </c>
      <c r="AF3" t="n">
        <v>636.3</v>
      </c>
    </row>
    <row r="4">
      <c r="A4" t="s">
        <v>143</v>
      </c>
      <c r="B4" t="s">
        <v>278</v>
      </c>
      <c r="C4" t="s">
        <v>246</v>
      </c>
      <c r="D4" t="s">
        <v>279</v>
      </c>
      <c r="E4" t="s">
        <v>247</v>
      </c>
      <c r="F4" t="n">
        <v>7765.55266379329</v>
      </c>
      <c r="G4" t="n">
        <v>8206.23153449236</v>
      </c>
      <c r="H4" t="n">
        <v>8596.67357104263</v>
      </c>
      <c r="I4" t="n">
        <v>9278.61016421013</v>
      </c>
      <c r="J4" t="n">
        <v>9915.86351998553</v>
      </c>
      <c r="K4" t="n">
        <v>10532.7663384978</v>
      </c>
      <c r="L4" t="n">
        <v>11193.5031860362</v>
      </c>
      <c r="M4" t="n">
        <v>11548.2289554294</v>
      </c>
      <c r="N4" t="n">
        <v>11350.7830818616</v>
      </c>
      <c r="O4" t="n">
        <v>10958.8831675006</v>
      </c>
      <c r="P4" t="n">
        <v>10491.990782425</v>
      </c>
      <c r="Q4" t="n">
        <v>10241.99738869</v>
      </c>
      <c r="R4" t="n">
        <v>10289.0619890882</v>
      </c>
      <c r="S4" t="n">
        <v>10408.2844204372</v>
      </c>
      <c r="T4" t="n">
        <v>10284.0347403125</v>
      </c>
      <c r="U4" t="n">
        <v>10206.5511709749</v>
      </c>
      <c r="V4" t="n">
        <v>9994.649420456</v>
      </c>
      <c r="W4" t="n">
        <v>10095.9342152105</v>
      </c>
      <c r="X4" t="n">
        <v>10539.1082918712</v>
      </c>
      <c r="Y4" t="n">
        <v>11314.541325567</v>
      </c>
      <c r="Z4" t="n">
        <v>11535.6488941207</v>
      </c>
      <c r="AA4" t="n">
        <v>11925.0239237271</v>
      </c>
      <c r="AB4" t="n">
        <v>12486.274598118</v>
      </c>
      <c r="AC4" t="n">
        <v>13383.943274022</v>
      </c>
      <c r="AD4" t="n">
        <v>14143.5505427703</v>
      </c>
      <c r="AE4" t="n">
        <v>13859.5</v>
      </c>
      <c r="AF4" t="n">
        <v>14326.8</v>
      </c>
    </row>
    <row r="5">
      <c r="A5" t="s">
        <v>143</v>
      </c>
      <c r="B5" t="s">
        <v>280</v>
      </c>
      <c r="C5" t="s">
        <v>246</v>
      </c>
      <c r="D5" t="s">
        <v>281</v>
      </c>
      <c r="E5" t="s">
        <v>247</v>
      </c>
      <c r="F5" t="n">
        <v>714.141229875913</v>
      </c>
      <c r="G5" t="n">
        <v>751.162619514884</v>
      </c>
      <c r="H5" t="n">
        <v>771.551319187431</v>
      </c>
      <c r="I5" t="n">
        <v>833.055579706103</v>
      </c>
      <c r="J5" t="n">
        <v>873.215243004667</v>
      </c>
      <c r="K5" t="n">
        <v>893.109692665047</v>
      </c>
      <c r="L5" t="n">
        <v>926.622947540736</v>
      </c>
      <c r="M5" t="n">
        <v>968.808293661115</v>
      </c>
      <c r="N5" t="n">
        <v>963.475403971238</v>
      </c>
      <c r="O5" t="n">
        <v>944.962704366231</v>
      </c>
      <c r="P5" t="n">
        <v>885.202217133584</v>
      </c>
      <c r="Q5" t="n">
        <v>912.44776276144</v>
      </c>
      <c r="R5" t="n">
        <v>923.412047341606</v>
      </c>
      <c r="S5" t="n">
        <v>880.111960670508</v>
      </c>
      <c r="T5" t="n">
        <v>839.576300075363</v>
      </c>
      <c r="U5" t="n">
        <v>848.075111160524</v>
      </c>
      <c r="V5" t="n">
        <v>841.736110819782</v>
      </c>
      <c r="W5" t="n">
        <v>840.502496588</v>
      </c>
      <c r="X5" t="n">
        <v>834.343057102384</v>
      </c>
      <c r="Y5" t="n">
        <v>998.156088659617</v>
      </c>
      <c r="Z5" t="n">
        <v>996.992983047831</v>
      </c>
      <c r="AA5" t="n">
        <v>1161.39799399414</v>
      </c>
      <c r="AB5" t="n">
        <v>1113.33233791516</v>
      </c>
      <c r="AC5" t="n">
        <v>1193.40391140534</v>
      </c>
      <c r="AD5" t="n">
        <v>1239.3785559807</v>
      </c>
      <c r="AE5" t="n">
        <v>1218.3</v>
      </c>
      <c r="AF5"/>
    </row>
    <row r="6">
      <c r="A6" t="s">
        <v>143</v>
      </c>
      <c r="B6" t="s">
        <v>282</v>
      </c>
      <c r="C6" t="s">
        <v>246</v>
      </c>
      <c r="D6" t="s">
        <v>283</v>
      </c>
      <c r="E6" t="s">
        <v>247</v>
      </c>
      <c r="F6" t="n">
        <v>785.755324953392</v>
      </c>
      <c r="G6" t="n">
        <v>820.707889408216</v>
      </c>
      <c r="H6" t="n">
        <v>852.400551267905</v>
      </c>
      <c r="I6" t="n">
        <v>924.937055252765</v>
      </c>
      <c r="J6" t="n">
        <v>969.162707024681</v>
      </c>
      <c r="K6" t="n">
        <v>1015.27789339117</v>
      </c>
      <c r="L6" t="n">
        <v>1117.92592219049</v>
      </c>
      <c r="M6" t="n">
        <v>1112.90958792425</v>
      </c>
      <c r="N6" t="n">
        <v>1095.6116863266</v>
      </c>
      <c r="O6" t="n">
        <v>1062.65146054298</v>
      </c>
      <c r="P6" t="n">
        <v>1044.00453463033</v>
      </c>
      <c r="Q6" t="n">
        <v>1024.03303733133</v>
      </c>
      <c r="R6" t="n">
        <v>1019.16338852229</v>
      </c>
      <c r="S6" t="n">
        <v>1042.87228020188</v>
      </c>
      <c r="T6" t="n">
        <v>994.040037177954</v>
      </c>
      <c r="U6" t="n">
        <v>985.225578915213</v>
      </c>
      <c r="V6" t="n">
        <v>964.079874679274</v>
      </c>
      <c r="W6" t="n">
        <v>948.739931467834</v>
      </c>
      <c r="X6" t="n">
        <v>918.820990610323</v>
      </c>
      <c r="Y6" t="n">
        <v>940.73262765249</v>
      </c>
      <c r="Z6" t="n">
        <v>947.950525051359</v>
      </c>
      <c r="AA6" t="n">
        <v>1014.74546824324</v>
      </c>
      <c r="AB6" t="n">
        <v>1051.0884648926</v>
      </c>
      <c r="AC6" t="n">
        <v>1100.55145147578</v>
      </c>
      <c r="AD6" t="n">
        <v>1183.17877511626</v>
      </c>
      <c r="AE6" t="n">
        <v>1149.1</v>
      </c>
      <c r="AF6"/>
    </row>
    <row r="7">
      <c r="A7" t="s">
        <v>143</v>
      </c>
      <c r="B7" t="s">
        <v>284</v>
      </c>
      <c r="C7" t="s">
        <v>246</v>
      </c>
      <c r="D7" t="s">
        <v>285</v>
      </c>
      <c r="E7" t="s">
        <v>247</v>
      </c>
      <c r="F7" t="n">
        <v>465.495337631097</v>
      </c>
      <c r="G7" t="n">
        <v>501.097811511946</v>
      </c>
      <c r="H7" t="n">
        <v>523.365789504434</v>
      </c>
      <c r="I7" t="n">
        <v>553.360008210114</v>
      </c>
      <c r="J7" t="n">
        <v>584.561070032906</v>
      </c>
      <c r="K7" t="n">
        <v>620.214421825172</v>
      </c>
      <c r="L7" t="n">
        <v>641.71820652349</v>
      </c>
      <c r="M7" t="n">
        <v>676.2703854516</v>
      </c>
      <c r="N7" t="n">
        <v>650.596719663812</v>
      </c>
      <c r="O7" t="n">
        <v>631.700200543142</v>
      </c>
      <c r="P7" t="n">
        <v>592.859250768167</v>
      </c>
      <c r="Q7" t="n">
        <v>600.571599319323</v>
      </c>
      <c r="R7" t="n">
        <v>601.005146765141</v>
      </c>
      <c r="S7" t="n">
        <v>606.43014897488</v>
      </c>
      <c r="T7" t="n">
        <v>589.8427769317</v>
      </c>
      <c r="U7" t="n">
        <v>584.555031875711</v>
      </c>
      <c r="V7" t="n">
        <v>571.871577790576</v>
      </c>
      <c r="W7" t="n">
        <v>535.589391572228</v>
      </c>
      <c r="X7" t="n">
        <v>586.534703504089</v>
      </c>
      <c r="Y7" t="n">
        <v>559.765562604734</v>
      </c>
      <c r="Z7" t="n">
        <v>533.790122372937</v>
      </c>
      <c r="AA7" t="n">
        <v>540.541779727597</v>
      </c>
      <c r="AB7" t="n">
        <v>614.108446073181</v>
      </c>
      <c r="AC7" t="n">
        <v>630.242491500418</v>
      </c>
      <c r="AD7" t="n">
        <v>710.811246652782</v>
      </c>
      <c r="AE7" t="n">
        <v>678.8</v>
      </c>
      <c r="AF7"/>
    </row>
    <row r="8">
      <c r="A8" t="s">
        <v>143</v>
      </c>
      <c r="B8" t="s">
        <v>286</v>
      </c>
      <c r="C8" t="s">
        <v>246</v>
      </c>
      <c r="D8" t="s">
        <v>287</v>
      </c>
      <c r="E8" t="s">
        <v>247</v>
      </c>
      <c r="F8" t="n">
        <v>66.0589011823741</v>
      </c>
      <c r="G8" t="n">
        <v>71.6809353255548</v>
      </c>
      <c r="H8" t="n">
        <v>78.1521308757785</v>
      </c>
      <c r="I8" t="n">
        <v>81.0646326475467</v>
      </c>
      <c r="J8" t="n">
        <v>81.7809622438431</v>
      </c>
      <c r="K8" t="n">
        <v>88.9075889536637</v>
      </c>
      <c r="L8" t="n">
        <v>86.6131995613111</v>
      </c>
      <c r="M8" t="n">
        <v>102.136084677494</v>
      </c>
      <c r="N8" t="n">
        <v>98.2922535337174</v>
      </c>
      <c r="O8" t="n">
        <v>103.255418915222</v>
      </c>
      <c r="P8" t="n">
        <v>99.3767889661227</v>
      </c>
      <c r="Q8" t="n">
        <v>96.0848042384664</v>
      </c>
      <c r="R8" t="n">
        <v>91.7219250597399</v>
      </c>
      <c r="S8" t="n">
        <v>105.963222870318</v>
      </c>
      <c r="T8" t="n">
        <v>96.2499274405392</v>
      </c>
      <c r="U8" t="n">
        <v>94.2896437859457</v>
      </c>
      <c r="V8" t="n">
        <v>91.5107823329047</v>
      </c>
      <c r="W8" t="n">
        <v>99.398004486208</v>
      </c>
      <c r="X8" t="n">
        <v>112.921542511542</v>
      </c>
      <c r="Y8" t="n">
        <v>123.820926180048</v>
      </c>
      <c r="Z8" t="n">
        <v>121.159170601337</v>
      </c>
      <c r="AA8" t="n">
        <v>118.845869014676</v>
      </c>
      <c r="AB8" t="n">
        <v>107.177008938153</v>
      </c>
      <c r="AC8" t="n">
        <v>94.863473903898</v>
      </c>
      <c r="AD8" t="n">
        <v>95.2599774520857</v>
      </c>
      <c r="AE8" t="n">
        <v>88.2</v>
      </c>
      <c r="AF8"/>
    </row>
    <row r="9">
      <c r="A9" t="s">
        <v>143</v>
      </c>
      <c r="B9" t="s">
        <v>288</v>
      </c>
      <c r="C9" t="s">
        <v>246</v>
      </c>
      <c r="D9" t="s">
        <v>289</v>
      </c>
      <c r="E9" t="s">
        <v>247</v>
      </c>
      <c r="F9" t="n">
        <v>492.793209052278</v>
      </c>
      <c r="G9" t="n">
        <v>518.815292698603</v>
      </c>
      <c r="H9" t="n">
        <v>536.514185066631</v>
      </c>
      <c r="I9" t="n">
        <v>570.408787678335</v>
      </c>
      <c r="J9" t="n">
        <v>615.914733184229</v>
      </c>
      <c r="K9" t="n">
        <v>669.990211168184</v>
      </c>
      <c r="L9" t="n">
        <v>698.591064869279</v>
      </c>
      <c r="M9" t="n">
        <v>733.319124252838</v>
      </c>
      <c r="N9" t="n">
        <v>742.058696691793</v>
      </c>
      <c r="O9" t="n">
        <v>711.857978284291</v>
      </c>
      <c r="P9" t="n">
        <v>671.258545548938</v>
      </c>
      <c r="Q9" t="n">
        <v>645.243262204697</v>
      </c>
      <c r="R9" t="n">
        <v>645.875234057983</v>
      </c>
      <c r="S9" t="n">
        <v>639.466100813489</v>
      </c>
      <c r="T9" t="n">
        <v>650.010650438446</v>
      </c>
      <c r="U9" t="n">
        <v>640.336073315641</v>
      </c>
      <c r="V9" t="n">
        <v>624.061357958728</v>
      </c>
      <c r="W9" t="n">
        <v>593.405027170392</v>
      </c>
      <c r="X9" t="n">
        <v>624.950128915659</v>
      </c>
      <c r="Y9" t="n">
        <v>639.270432014904</v>
      </c>
      <c r="Z9" t="n">
        <v>664.367640680362</v>
      </c>
      <c r="AA9" t="n">
        <v>670.728078825993</v>
      </c>
      <c r="AB9" t="n">
        <v>621.895414724041</v>
      </c>
      <c r="AC9" t="n">
        <v>555.285098929871</v>
      </c>
      <c r="AD9" t="n">
        <v>514.944300518135</v>
      </c>
      <c r="AE9" t="n">
        <v>463.6</v>
      </c>
      <c r="AF9"/>
    </row>
    <row r="10">
      <c r="A10" t="s">
        <v>143</v>
      </c>
      <c r="B10" t="s">
        <v>290</v>
      </c>
      <c r="C10" t="s">
        <v>246</v>
      </c>
      <c r="D10" t="s">
        <v>291</v>
      </c>
      <c r="E10" t="s">
        <v>247</v>
      </c>
      <c r="F10" t="n">
        <v>692.271000776349</v>
      </c>
      <c r="G10" t="n">
        <v>728.826123254481</v>
      </c>
      <c r="H10" t="n">
        <v>753.620566122583</v>
      </c>
      <c r="I10" t="n">
        <v>801.239098261432</v>
      </c>
      <c r="J10" t="n">
        <v>865.107797872769</v>
      </c>
      <c r="K10" t="n">
        <v>942.049831163251</v>
      </c>
      <c r="L10" t="n">
        <v>992.308520305081</v>
      </c>
      <c r="M10" t="n">
        <v>1019.14033647581</v>
      </c>
      <c r="N10" t="n">
        <v>1052.02317193874</v>
      </c>
      <c r="O10" t="n">
        <v>1002.0595992653</v>
      </c>
      <c r="P10" t="n">
        <v>939.349643798957</v>
      </c>
      <c r="Q10" t="n">
        <v>896.309811344113</v>
      </c>
      <c r="R10" t="n">
        <v>901.317128725923</v>
      </c>
      <c r="S10" t="n">
        <v>907.768273819054</v>
      </c>
      <c r="T10" t="n">
        <v>919.728462546298</v>
      </c>
      <c r="U10" t="n">
        <v>906.932240458697</v>
      </c>
      <c r="V10" t="n">
        <v>883.745299683216</v>
      </c>
      <c r="W10" t="n">
        <v>885.779347391825</v>
      </c>
      <c r="X10" t="n">
        <v>924.351387402666</v>
      </c>
      <c r="Y10" t="n">
        <v>992.469912975788</v>
      </c>
      <c r="Z10" t="n">
        <v>1041.11056655231</v>
      </c>
      <c r="AA10" t="n">
        <v>1052.53510781804</v>
      </c>
      <c r="AB10" t="n">
        <v>973.347202813653</v>
      </c>
      <c r="AC10" t="n">
        <v>886.664356343393</v>
      </c>
      <c r="AD10" t="n">
        <v>797.958142137661</v>
      </c>
      <c r="AE10" t="n">
        <v>713.6</v>
      </c>
      <c r="AF10"/>
    </row>
    <row r="11">
      <c r="A11" t="s">
        <v>143</v>
      </c>
      <c r="B11" t="s">
        <v>292</v>
      </c>
      <c r="C11" t="s">
        <v>246</v>
      </c>
      <c r="D11" t="s">
        <v>293</v>
      </c>
      <c r="E11" t="s">
        <v>247</v>
      </c>
      <c r="F11" t="n">
        <v>200.549742760801</v>
      </c>
      <c r="G11" t="n">
        <v>211.13939671362</v>
      </c>
      <c r="H11" t="n">
        <v>218.275067332789</v>
      </c>
      <c r="I11" t="n">
        <v>232.072637078769</v>
      </c>
      <c r="J11" t="n">
        <v>250.535739396416</v>
      </c>
      <c r="K11" t="n">
        <v>273.496532696708</v>
      </c>
      <c r="L11" t="n">
        <v>294.977161659582</v>
      </c>
      <c r="M11" t="n">
        <v>287.645690457169</v>
      </c>
      <c r="N11" t="n">
        <v>311.39318350654</v>
      </c>
      <c r="O11" t="n">
        <v>291.712434548964</v>
      </c>
      <c r="P11" t="n">
        <v>269.624270593309</v>
      </c>
      <c r="Q11" t="n">
        <v>252.662187958531</v>
      </c>
      <c r="R11" t="n">
        <v>256.965436901864</v>
      </c>
      <c r="S11" t="n">
        <v>269.542053821493</v>
      </c>
      <c r="T11" t="n">
        <v>271.025771548951</v>
      </c>
      <c r="U11" t="n">
        <v>267.872017116381</v>
      </c>
      <c r="V11" t="n">
        <v>260.929329847706</v>
      </c>
      <c r="W11" t="n">
        <v>292.924690572077</v>
      </c>
      <c r="X11" t="n">
        <v>300.102315440399</v>
      </c>
      <c r="Y11" t="n">
        <v>353.241325960234</v>
      </c>
      <c r="Z11" t="n">
        <v>376.632830361624</v>
      </c>
      <c r="AA11" t="n">
        <v>381.672693248604</v>
      </c>
      <c r="AB11" t="n">
        <v>351.343696984267</v>
      </c>
      <c r="AC11" t="n">
        <v>331.157189730406</v>
      </c>
      <c r="AD11" t="n">
        <v>282.988871224165</v>
      </c>
      <c r="AE11" t="n">
        <v>250</v>
      </c>
      <c r="AF11"/>
    </row>
    <row r="12">
      <c r="A12" t="s">
        <v>143</v>
      </c>
      <c r="B12" t="s">
        <v>294</v>
      </c>
      <c r="C12" t="s">
        <v>246</v>
      </c>
      <c r="D12" t="s">
        <v>295</v>
      </c>
      <c r="E12" t="s">
        <v>247</v>
      </c>
      <c r="F12" t="n">
        <v>431.123732587997</v>
      </c>
      <c r="G12" t="n">
        <v>463.870650101572</v>
      </c>
      <c r="H12" t="n">
        <v>488.447430731087</v>
      </c>
      <c r="I12" t="n">
        <v>524.726358379837</v>
      </c>
      <c r="J12" t="n">
        <v>561.642401004677</v>
      </c>
      <c r="K12" t="n">
        <v>597.635827993794</v>
      </c>
      <c r="L12" t="n">
        <v>631.800003948977</v>
      </c>
      <c r="M12" t="n">
        <v>671.120276704409</v>
      </c>
      <c r="N12" t="n">
        <v>659.29436874486</v>
      </c>
      <c r="O12" t="n">
        <v>649.239040294252</v>
      </c>
      <c r="P12" t="n">
        <v>618.933252734925</v>
      </c>
      <c r="Q12" t="n">
        <v>597.800508461514</v>
      </c>
      <c r="R12" t="n">
        <v>598.011001598296</v>
      </c>
      <c r="S12" t="n">
        <v>576.502046327252</v>
      </c>
      <c r="T12" t="n">
        <v>598.922136514983</v>
      </c>
      <c r="U12" t="n">
        <v>595.758635708719</v>
      </c>
      <c r="V12" t="n">
        <v>584.378527720986</v>
      </c>
      <c r="W12" t="n">
        <v>595.641275338939</v>
      </c>
      <c r="X12" t="n">
        <v>600.557297318324</v>
      </c>
      <c r="Y12" t="n">
        <v>599.639637611046</v>
      </c>
      <c r="Z12" t="n">
        <v>625.901227579413</v>
      </c>
      <c r="AA12" t="n">
        <v>621.280547677527</v>
      </c>
      <c r="AB12" t="n">
        <v>601.987993067453</v>
      </c>
      <c r="AC12" t="n">
        <v>612.603652236501</v>
      </c>
      <c r="AD12" t="n">
        <v>675.49376114082</v>
      </c>
      <c r="AE12" t="n">
        <v>672</v>
      </c>
      <c r="AF12"/>
    </row>
    <row r="13">
      <c r="A13" t="s">
        <v>143</v>
      </c>
      <c r="B13" t="s">
        <v>296</v>
      </c>
      <c r="C13" t="s">
        <v>246</v>
      </c>
      <c r="D13" t="s">
        <v>297</v>
      </c>
      <c r="E13" t="s">
        <v>247</v>
      </c>
      <c r="F13" t="n">
        <v>639.004224618423</v>
      </c>
      <c r="G13" t="n">
        <v>691.849117136571</v>
      </c>
      <c r="H13" t="n">
        <v>733.080795290369</v>
      </c>
      <c r="I13" t="n">
        <v>793.613939501759</v>
      </c>
      <c r="J13" t="n">
        <v>857.189001067197</v>
      </c>
      <c r="K13" t="n">
        <v>888.103203356117</v>
      </c>
      <c r="L13" t="n">
        <v>964.843868453337</v>
      </c>
      <c r="M13" t="n">
        <v>1009.89448150543</v>
      </c>
      <c r="N13" t="n">
        <v>972.774537319609</v>
      </c>
      <c r="O13" t="n">
        <v>937.686756842452</v>
      </c>
      <c r="P13" t="n">
        <v>888.853518797162</v>
      </c>
      <c r="Q13" t="n">
        <v>858.844519263459</v>
      </c>
      <c r="R13" t="n">
        <v>881.242635625583</v>
      </c>
      <c r="S13" t="n">
        <v>912.614073376918</v>
      </c>
      <c r="T13" t="n">
        <v>901.005580904662</v>
      </c>
      <c r="U13" t="n">
        <v>897.586401492306</v>
      </c>
      <c r="V13" t="n">
        <v>879.340715183032</v>
      </c>
      <c r="W13" t="n">
        <v>923.588690467801</v>
      </c>
      <c r="X13" t="n">
        <v>923.079152406195</v>
      </c>
      <c r="Y13" t="n">
        <v>989.161344869745</v>
      </c>
      <c r="Z13" t="n">
        <v>1039.00200640301</v>
      </c>
      <c r="AA13" t="n">
        <v>1103.9460138794</v>
      </c>
      <c r="AB13" t="n">
        <v>1098.26289411683</v>
      </c>
      <c r="AC13" t="n">
        <v>1200.87402234262</v>
      </c>
      <c r="AD13" t="n">
        <v>1324.40866796116</v>
      </c>
      <c r="AE13" t="n">
        <v>1297.6</v>
      </c>
      <c r="AF13"/>
    </row>
    <row r="14">
      <c r="A14" t="s">
        <v>143</v>
      </c>
      <c r="B14" t="s">
        <v>298</v>
      </c>
      <c r="C14" t="s">
        <v>246</v>
      </c>
      <c r="D14" t="s">
        <v>299</v>
      </c>
      <c r="E14" t="s">
        <v>247</v>
      </c>
      <c r="F14" t="n">
        <v>838.431937146501</v>
      </c>
      <c r="G14" t="n">
        <v>861.527756042914</v>
      </c>
      <c r="H14" t="n">
        <v>912.051869356886</v>
      </c>
      <c r="I14" t="n">
        <v>984.586938216408</v>
      </c>
      <c r="J14" t="n">
        <v>1072.63330174361</v>
      </c>
      <c r="K14" t="n">
        <v>1160.24786746055</v>
      </c>
      <c r="L14" t="n">
        <v>1233.50892296123</v>
      </c>
      <c r="M14" t="n">
        <v>1264.10723178681</v>
      </c>
      <c r="N14" t="n">
        <v>1218.03292853784</v>
      </c>
      <c r="O14" t="n">
        <v>1197.13340756701</v>
      </c>
      <c r="P14" t="n">
        <v>1146.56391564198</v>
      </c>
      <c r="Q14" t="n">
        <v>1103.67917476429</v>
      </c>
      <c r="R14" t="n">
        <v>1126.55442234133</v>
      </c>
      <c r="S14" t="n">
        <v>1143.23288619833</v>
      </c>
      <c r="T14" t="n">
        <v>1091.18679842438</v>
      </c>
      <c r="U14" t="n">
        <v>1077.37182683617</v>
      </c>
      <c r="V14" t="n">
        <v>1054.44902200987</v>
      </c>
      <c r="W14" t="n">
        <v>1161.8809393186</v>
      </c>
      <c r="X14" t="n">
        <v>1255.49219983242</v>
      </c>
      <c r="Y14" t="n">
        <v>1248.12601701247</v>
      </c>
      <c r="Z14" t="n">
        <v>1161.79689021398</v>
      </c>
      <c r="AA14" t="n">
        <v>1033.20141942969</v>
      </c>
      <c r="AB14" t="n">
        <v>1511.92991216658</v>
      </c>
      <c r="AC14" t="n">
        <v>1811.34975426319</v>
      </c>
      <c r="AD14" t="n">
        <v>1954.87556006132</v>
      </c>
      <c r="AE14" t="n">
        <v>2028.3</v>
      </c>
      <c r="AF14"/>
    </row>
    <row r="15">
      <c r="A15" t="s">
        <v>143</v>
      </c>
      <c r="B15" t="s">
        <v>300</v>
      </c>
      <c r="C15" t="s">
        <v>246</v>
      </c>
      <c r="D15" t="s">
        <v>301</v>
      </c>
      <c r="E15" t="s">
        <v>247</v>
      </c>
      <c r="F15" t="n">
        <v>1342.72298066395</v>
      </c>
      <c r="G15" t="n">
        <v>1384.09539743511</v>
      </c>
      <c r="H15" t="n">
        <v>1464.22654711161</v>
      </c>
      <c r="I15" t="n">
        <v>1581.11428839648</v>
      </c>
      <c r="J15" t="n">
        <v>1720.32873781981</v>
      </c>
      <c r="K15" t="n">
        <v>1824.3228866012</v>
      </c>
      <c r="L15" t="n">
        <v>1993.38235431321</v>
      </c>
      <c r="M15" t="n">
        <v>2039.09406820644</v>
      </c>
      <c r="N15" t="n">
        <v>1988.52862600238</v>
      </c>
      <c r="O15" t="n">
        <v>1939.08545470008</v>
      </c>
      <c r="P15" t="n">
        <v>1832.44602928125</v>
      </c>
      <c r="Q15" t="n">
        <v>1767.49268313307</v>
      </c>
      <c r="R15" t="n">
        <v>1792.3605674722</v>
      </c>
      <c r="S15" t="n">
        <v>1831.67343811977</v>
      </c>
      <c r="T15" t="n">
        <v>1781.60856526896</v>
      </c>
      <c r="U15" t="n">
        <v>1764.20713093721</v>
      </c>
      <c r="V15" t="n">
        <v>1727.0310980589</v>
      </c>
      <c r="W15" t="n">
        <v>1796.55203054175</v>
      </c>
      <c r="X15" t="n">
        <v>1878.9437994198</v>
      </c>
      <c r="Y15" t="n">
        <v>1883.32594333873</v>
      </c>
      <c r="Z15" t="n">
        <v>1748.43207411887</v>
      </c>
      <c r="AA15" t="n">
        <v>1596.01570664767</v>
      </c>
      <c r="AB15" t="n">
        <v>2097.50717378779</v>
      </c>
      <c r="AC15" t="n">
        <v>2416.81088358005</v>
      </c>
      <c r="AD15" t="n">
        <v>2574.31993659876</v>
      </c>
      <c r="AE15" t="n">
        <v>2596.2</v>
      </c>
      <c r="AF15"/>
    </row>
    <row r="16">
      <c r="A16" t="s">
        <v>143</v>
      </c>
      <c r="B16" t="s">
        <v>302</v>
      </c>
      <c r="C16" t="s">
        <v>246</v>
      </c>
      <c r="D16" t="s">
        <v>303</v>
      </c>
      <c r="E16" t="s">
        <v>247</v>
      </c>
      <c r="F16" t="n">
        <v>508.905408635353</v>
      </c>
      <c r="G16" t="n">
        <v>527.351873340685</v>
      </c>
      <c r="H16" t="n">
        <v>557.229417430682</v>
      </c>
      <c r="I16" t="n">
        <v>601.988354432637</v>
      </c>
      <c r="J16" t="n">
        <v>653.623604222749</v>
      </c>
      <c r="K16" t="n">
        <v>670.131758298257</v>
      </c>
      <c r="L16" t="n">
        <v>766.874415768951</v>
      </c>
      <c r="M16" t="n">
        <v>782.104815337365</v>
      </c>
      <c r="N16" t="n">
        <v>777.818357306335</v>
      </c>
      <c r="O16" t="n">
        <v>748.829219464605</v>
      </c>
      <c r="P16" t="n">
        <v>691.940733253619</v>
      </c>
      <c r="Q16" t="n">
        <v>669.731894938762</v>
      </c>
      <c r="R16" t="n">
        <v>671.546018937162</v>
      </c>
      <c r="S16" t="n">
        <v>694.601593869462</v>
      </c>
      <c r="T16" t="n">
        <v>697.281463500061</v>
      </c>
      <c r="U16" t="n">
        <v>693.784771795193</v>
      </c>
      <c r="V16" t="n">
        <v>679.395907057454</v>
      </c>
      <c r="W16" t="n">
        <v>638.652076267645</v>
      </c>
      <c r="X16" t="n">
        <v>625.698904700182</v>
      </c>
      <c r="Y16" t="n">
        <v>637.939274527458</v>
      </c>
      <c r="Z16" t="n">
        <v>589.048742459342</v>
      </c>
      <c r="AA16" t="n">
        <v>566.369657153241</v>
      </c>
      <c r="AB16" t="n">
        <v>586.297291098444</v>
      </c>
      <c r="AC16" t="n">
        <v>605.779966233086</v>
      </c>
      <c r="AD16" t="n">
        <v>619.600425079702</v>
      </c>
      <c r="AE16" t="n">
        <v>567.9</v>
      </c>
      <c r="AF16"/>
    </row>
    <row r="17">
      <c r="A17" t="s">
        <v>143</v>
      </c>
      <c r="B17" t="s">
        <v>304</v>
      </c>
      <c r="C17" t="s">
        <v>246</v>
      </c>
      <c r="D17" t="s">
        <v>305</v>
      </c>
      <c r="E17" t="s">
        <v>247</v>
      </c>
      <c r="F17" t="n">
        <v>1047.83826370444</v>
      </c>
      <c r="G17" t="n">
        <v>1121.31114008647</v>
      </c>
      <c r="H17" t="n">
        <v>1176.22990160661</v>
      </c>
      <c r="I17" t="n">
        <v>1273.32698998572</v>
      </c>
      <c r="J17" t="n">
        <v>1364.79425095848</v>
      </c>
      <c r="K17" t="n">
        <v>1466.35532721965</v>
      </c>
      <c r="L17" t="n">
        <v>1559.59518705888</v>
      </c>
      <c r="M17" t="n">
        <v>1596.88960511451</v>
      </c>
      <c r="N17" t="n">
        <v>1571.62024152707</v>
      </c>
      <c r="O17" t="n">
        <v>1505.9943142571</v>
      </c>
      <c r="P17" t="n">
        <v>1482.31817674807</v>
      </c>
      <c r="Q17" t="n">
        <v>1434.21133596183</v>
      </c>
      <c r="R17" t="n">
        <v>1434.21133596183</v>
      </c>
      <c r="S17" t="n">
        <v>1461.72230093938</v>
      </c>
      <c r="T17" t="n">
        <v>1438.55192906926</v>
      </c>
      <c r="U17" t="n">
        <v>1424.27054487167</v>
      </c>
      <c r="V17" t="n">
        <v>1392.92630654003</v>
      </c>
      <c r="W17" t="n">
        <v>1570.42787973586</v>
      </c>
      <c r="X17" t="n">
        <v>1746.31814356763</v>
      </c>
      <c r="Y17" t="n">
        <v>2068.07617081479</v>
      </c>
      <c r="Z17" t="n">
        <v>2219.50517162967</v>
      </c>
      <c r="AA17" t="n">
        <v>2333.17833841863</v>
      </c>
      <c r="AB17" t="n">
        <v>2386.61289716294</v>
      </c>
      <c r="AC17" t="n">
        <v>2603.10357352291</v>
      </c>
      <c r="AD17" t="n">
        <v>2591.65615466899</v>
      </c>
      <c r="AE17" t="n">
        <v>2513.1</v>
      </c>
      <c r="AF17"/>
    </row>
    <row r="18">
      <c r="A18" t="s">
        <v>143</v>
      </c>
      <c r="B18" t="s">
        <v>306</v>
      </c>
      <c r="C18" t="s">
        <v>246</v>
      </c>
      <c r="D18" t="s">
        <v>307</v>
      </c>
      <c r="E18" t="s">
        <v>247</v>
      </c>
      <c r="F18" t="n">
        <v>860.213072744488</v>
      </c>
      <c r="G18" t="n">
        <v>914.178254560906</v>
      </c>
      <c r="H18" t="n">
        <v>958.378838748427</v>
      </c>
      <c r="I18" t="n">
        <v>1059.98823893086</v>
      </c>
      <c r="J18" t="n">
        <v>1125.82054494687</v>
      </c>
      <c r="K18" t="n">
        <v>1189.48814741215</v>
      </c>
      <c r="L18" t="n">
        <v>1221.03218383509</v>
      </c>
      <c r="M18" t="n">
        <v>1270.69929005679</v>
      </c>
      <c r="N18" t="n">
        <v>1237.49866671112</v>
      </c>
      <c r="O18" t="n">
        <v>1144.69190502867</v>
      </c>
      <c r="P18" t="n">
        <v>1127.48590894542</v>
      </c>
      <c r="Q18" t="n">
        <v>1109.09772673944</v>
      </c>
      <c r="R18" t="n">
        <v>1088.43920570456</v>
      </c>
      <c r="S18" t="n">
        <v>1112.67991827665</v>
      </c>
      <c r="T18" t="n">
        <v>1190.1469189329</v>
      </c>
      <c r="U18" t="n">
        <v>1176.35314883881</v>
      </c>
      <c r="V18" t="n">
        <v>1145.26231606165</v>
      </c>
      <c r="W18" t="n">
        <v>1063.65569913723</v>
      </c>
      <c r="X18" t="n">
        <v>1191.3506451657</v>
      </c>
      <c r="Y18" t="n">
        <v>1261.89853237193</v>
      </c>
      <c r="Z18" t="n">
        <v>1375.50407343079</v>
      </c>
      <c r="AA18" t="n">
        <v>1399.37071560102</v>
      </c>
      <c r="AB18" t="n">
        <v>1472.07051454585</v>
      </c>
      <c r="AC18" t="n">
        <v>1633.13930441956</v>
      </c>
      <c r="AD18" t="n">
        <v>1898.71241782701</v>
      </c>
      <c r="AE18" t="n">
        <v>1936.4</v>
      </c>
      <c r="AF18"/>
    </row>
    <row r="19">
      <c r="A19" t="s">
        <v>143</v>
      </c>
      <c r="B19" t="s">
        <v>308</v>
      </c>
      <c r="C19" t="s">
        <v>246</v>
      </c>
      <c r="D19" t="s">
        <v>309</v>
      </c>
      <c r="E19" t="s">
        <v>247</v>
      </c>
      <c r="F19" t="n">
        <v>728.488276568779</v>
      </c>
      <c r="G19" t="n">
        <v>765.076518345472</v>
      </c>
      <c r="H19" t="n">
        <v>804.601257595533</v>
      </c>
      <c r="I19" t="n">
        <v>859.790982333768</v>
      </c>
      <c r="J19" t="n">
        <v>919.690264971103</v>
      </c>
      <c r="K19" t="n">
        <v>1014.02067524867</v>
      </c>
      <c r="L19" t="n">
        <v>1064.17600916773</v>
      </c>
      <c r="M19" t="n">
        <v>1087.87223609252</v>
      </c>
      <c r="N19" t="n">
        <v>1067.03444794265</v>
      </c>
      <c r="O19" t="n">
        <v>1043.85046068669</v>
      </c>
      <c r="P19" t="n">
        <v>985.926580546538</v>
      </c>
      <c r="Q19" t="n">
        <v>952.870257563616</v>
      </c>
      <c r="R19" t="n">
        <v>966.360330872944</v>
      </c>
      <c r="S19" t="n">
        <v>975.821054225338</v>
      </c>
      <c r="T19" t="n">
        <v>938.436439807985</v>
      </c>
      <c r="U19" t="n">
        <v>934.321392933142</v>
      </c>
      <c r="V19" t="n">
        <v>918.314809431755</v>
      </c>
      <c r="W19" t="n">
        <v>833.436938132574</v>
      </c>
      <c r="X19" t="n">
        <v>811.477757028304</v>
      </c>
      <c r="Y19" t="n">
        <v>885.528959190582</v>
      </c>
      <c r="Z19" t="n">
        <v>873.007571496882</v>
      </c>
      <c r="AA19" t="n">
        <v>981.601690392758</v>
      </c>
      <c r="AB19" t="n">
        <v>965.270050550559</v>
      </c>
      <c r="AC19" t="n">
        <v>1006.92129341889</v>
      </c>
      <c r="AD19" t="n">
        <v>1051.85530591775</v>
      </c>
      <c r="AE19" t="n">
        <v>996.2</v>
      </c>
      <c r="AF19"/>
    </row>
    <row r="20">
      <c r="A20" t="s">
        <v>143</v>
      </c>
      <c r="B20" t="s">
        <v>310</v>
      </c>
      <c r="C20" t="s">
        <v>246</v>
      </c>
      <c r="D20" t="s">
        <v>311</v>
      </c>
      <c r="E20" t="s">
        <v>247</v>
      </c>
      <c r="F20" t="n">
        <v>984.579457139031</v>
      </c>
      <c r="G20" t="n">
        <v>1089.2136326766</v>
      </c>
      <c r="H20" t="n">
        <v>1168.20838786352</v>
      </c>
      <c r="I20" t="n">
        <v>1207.19113232222</v>
      </c>
      <c r="J20" t="n">
        <v>1268.83493482378</v>
      </c>
      <c r="K20" t="n">
        <v>1246.15965826443</v>
      </c>
      <c r="L20" t="n">
        <v>1400.84620780749</v>
      </c>
      <c r="M20" t="n">
        <v>1535.78361009335</v>
      </c>
      <c r="N20" t="n">
        <v>1621.43840855165</v>
      </c>
      <c r="O20" t="n">
        <v>1606.12683992025</v>
      </c>
      <c r="P20" t="n">
        <v>1479.43181458259</v>
      </c>
      <c r="Q20" t="n">
        <v>1373.33235326281</v>
      </c>
      <c r="R20" t="n">
        <v>1353.55756455222</v>
      </c>
      <c r="S20" t="n">
        <v>1297.26435733621</v>
      </c>
      <c r="T20" t="n">
        <v>1560.36186966691</v>
      </c>
      <c r="U20" t="n">
        <v>1543.96649988521</v>
      </c>
      <c r="V20" t="n">
        <v>1503.87270148572</v>
      </c>
      <c r="W20" t="n">
        <v>1417.4005233116</v>
      </c>
      <c r="X20" t="n">
        <v>1569.25758038535</v>
      </c>
      <c r="Y20" t="n">
        <v>1626.04640387153</v>
      </c>
      <c r="Z20" t="n">
        <v>1672.85917927374</v>
      </c>
      <c r="AA20" t="n">
        <v>1919.86537709274</v>
      </c>
      <c r="AB20" t="n">
        <v>2021.16074654166</v>
      </c>
      <c r="AC20" t="n">
        <v>2191.30871326381</v>
      </c>
      <c r="AD20" t="n">
        <v>2330.5</v>
      </c>
      <c r="AE20" t="n">
        <v>2330.5</v>
      </c>
      <c r="AF20" t="n">
        <v>2303.9</v>
      </c>
    </row>
    <row r="21">
      <c r="A21" t="s">
        <v>143</v>
      </c>
      <c r="B21" t="s">
        <v>312</v>
      </c>
      <c r="C21" t="s">
        <v>246</v>
      </c>
      <c r="D21" t="s">
        <v>313</v>
      </c>
      <c r="E21" t="s">
        <v>247</v>
      </c>
      <c r="F21" t="n">
        <v>1283.99125342516</v>
      </c>
      <c r="G21" t="n">
        <v>1393.11767950778</v>
      </c>
      <c r="H21" t="n">
        <v>1481.70122054224</v>
      </c>
      <c r="I21" t="n">
        <v>1530.89005364164</v>
      </c>
      <c r="J21" t="n">
        <v>1616.15001950039</v>
      </c>
      <c r="K21" t="n">
        <v>1616.02645118328</v>
      </c>
      <c r="L21" t="n">
        <v>1789.57089585075</v>
      </c>
      <c r="M21" t="n">
        <v>1940.83408722046</v>
      </c>
      <c r="N21" t="n">
        <v>2031.83614119614</v>
      </c>
      <c r="O21" t="n">
        <v>2028.52025779183</v>
      </c>
      <c r="P21" t="n">
        <v>1878.45711197458</v>
      </c>
      <c r="Q21" t="n">
        <v>1774.01341073882</v>
      </c>
      <c r="R21" t="n">
        <v>1754.29616481321</v>
      </c>
      <c r="S21" t="n">
        <v>1681.88420556318</v>
      </c>
      <c r="T21" t="n">
        <v>1951.32796176868</v>
      </c>
      <c r="U21" t="n">
        <v>1933.34337225929</v>
      </c>
      <c r="V21" t="n">
        <v>1885.98658560412</v>
      </c>
      <c r="W21" t="n">
        <v>1821.1131001535</v>
      </c>
      <c r="X21" t="n">
        <v>2008.88744599585</v>
      </c>
      <c r="Y21" t="n">
        <v>2174.51935956152</v>
      </c>
      <c r="Z21" t="n">
        <v>2335.80697151138</v>
      </c>
      <c r="AA21" t="n">
        <v>2825.39853901568</v>
      </c>
      <c r="AB21" t="n">
        <v>3241.66389164021</v>
      </c>
      <c r="AC21" t="n">
        <v>3742.03799805052</v>
      </c>
      <c r="AD21" t="n">
        <v>4094.67970008052</v>
      </c>
      <c r="AE21" t="n">
        <v>3998.5</v>
      </c>
      <c r="AF21" t="n">
        <v>3874.2</v>
      </c>
    </row>
    <row r="22">
      <c r="A22" t="s">
        <v>143</v>
      </c>
      <c r="B22" t="s">
        <v>314</v>
      </c>
      <c r="C22" t="s">
        <v>246</v>
      </c>
      <c r="D22" t="s">
        <v>315</v>
      </c>
      <c r="E22" t="s">
        <v>247</v>
      </c>
      <c r="F22" t="n">
        <v>295.259284203401</v>
      </c>
      <c r="G22" t="n">
        <v>298.953445775918</v>
      </c>
      <c r="H22" t="n">
        <v>308.020722454224</v>
      </c>
      <c r="I22" t="n">
        <v>318.040830451256</v>
      </c>
      <c r="J22" t="n">
        <v>341.46194593318</v>
      </c>
      <c r="K22" t="n">
        <v>364.501549179129</v>
      </c>
      <c r="L22" t="n">
        <v>382.333102698351</v>
      </c>
      <c r="M22" t="n">
        <v>397.766290066812</v>
      </c>
      <c r="N22" t="n">
        <v>402.481954442234</v>
      </c>
      <c r="O22" t="n">
        <v>414.762635838571</v>
      </c>
      <c r="P22" t="n">
        <v>392.126934018437</v>
      </c>
      <c r="Q22" t="n">
        <v>394.67249413202</v>
      </c>
      <c r="R22" t="n">
        <v>394.890726088964</v>
      </c>
      <c r="S22" t="n">
        <v>379.022187543982</v>
      </c>
      <c r="T22" t="n">
        <v>383.353266052706</v>
      </c>
      <c r="U22" t="n">
        <v>381.872729301055</v>
      </c>
      <c r="V22" t="n">
        <v>374.837414862563</v>
      </c>
      <c r="W22" t="n">
        <v>397.362471205028</v>
      </c>
      <c r="X22" t="n">
        <v>432.512566799715</v>
      </c>
      <c r="Y22" t="n">
        <v>542.199359943645</v>
      </c>
      <c r="Z22" t="n">
        <v>657.610216128969</v>
      </c>
      <c r="AA22" t="n">
        <v>901.254540455262</v>
      </c>
      <c r="AB22" t="n">
        <v>1218.6135954276</v>
      </c>
      <c r="AC22" t="n">
        <v>1550.38860840994</v>
      </c>
      <c r="AD22" t="n">
        <v>1764.56097856364</v>
      </c>
      <c r="AE22" t="n">
        <v>1668</v>
      </c>
      <c r="AF22" t="n">
        <v>1570.3</v>
      </c>
    </row>
    <row r="23">
      <c r="A23" t="s">
        <v>143</v>
      </c>
      <c r="B23" t="s">
        <v>316</v>
      </c>
      <c r="C23" t="s">
        <v>246</v>
      </c>
      <c r="D23" t="s">
        <v>317</v>
      </c>
      <c r="E23" t="s">
        <v>247</v>
      </c>
      <c r="F23" t="n">
        <v>544.005694322455</v>
      </c>
      <c r="G23" t="n">
        <v>563.631301283433</v>
      </c>
      <c r="H23" t="n">
        <v>582.62863710075</v>
      </c>
      <c r="I23" t="n">
        <v>611.005898495302</v>
      </c>
      <c r="J23" t="n">
        <v>643.064849959561</v>
      </c>
      <c r="K23" t="n">
        <v>668.521806154174</v>
      </c>
      <c r="L23" t="n">
        <v>733.139541708371</v>
      </c>
      <c r="M23" t="n">
        <v>774.803267682112</v>
      </c>
      <c r="N23" t="n">
        <v>764.512640787065</v>
      </c>
      <c r="O23" t="n">
        <v>721.131204545137</v>
      </c>
      <c r="P23" t="n">
        <v>690.886301737029</v>
      </c>
      <c r="Q23" t="n">
        <v>652.834977100328</v>
      </c>
      <c r="R23" t="n">
        <v>671.646201063926</v>
      </c>
      <c r="S23" t="n">
        <v>649.807462620703</v>
      </c>
      <c r="T23" t="n">
        <v>661.285602078198</v>
      </c>
      <c r="U23" t="n">
        <v>663.251558335355</v>
      </c>
      <c r="V23" t="n">
        <v>653.838710033022</v>
      </c>
      <c r="W23" t="n">
        <v>627.096226028914</v>
      </c>
      <c r="X23" t="n">
        <v>619.060443083856</v>
      </c>
      <c r="Y23" t="n">
        <v>633.11825244425</v>
      </c>
      <c r="Z23" t="n">
        <v>613.767540127632</v>
      </c>
      <c r="AA23" t="n">
        <v>664.617615260239</v>
      </c>
      <c r="AB23" t="n">
        <v>820.714246447268</v>
      </c>
      <c r="AC23" t="n">
        <v>865.693105404919</v>
      </c>
      <c r="AD23" t="n">
        <v>849.589513265093</v>
      </c>
      <c r="AE23" t="n">
        <v>962.6</v>
      </c>
      <c r="AF23" t="n">
        <v>1036.9</v>
      </c>
    </row>
    <row r="24">
      <c r="A24" t="s">
        <v>143</v>
      </c>
      <c r="B24" t="s">
        <v>318</v>
      </c>
      <c r="C24" t="s">
        <v>246</v>
      </c>
      <c r="D24" t="s">
        <v>319</v>
      </c>
      <c r="E24" t="s">
        <v>247</v>
      </c>
      <c r="F24" t="n">
        <v>3524.46470724466</v>
      </c>
      <c r="G24" t="n">
        <v>3656.1284924717</v>
      </c>
      <c r="H24" t="n">
        <v>3808.9497380336</v>
      </c>
      <c r="I24" t="n">
        <v>4031.95890055845</v>
      </c>
      <c r="J24" t="n">
        <v>4307.76522671984</v>
      </c>
      <c r="K24" t="n">
        <v>4492.84791603728</v>
      </c>
      <c r="L24" t="n">
        <v>4788.08449455876</v>
      </c>
      <c r="M24" t="n">
        <v>5190.35371903516</v>
      </c>
      <c r="N24" t="n">
        <v>4919.64225453396</v>
      </c>
      <c r="O24" t="n">
        <v>4701.88062350525</v>
      </c>
      <c r="P24" t="n">
        <v>4447.30810697854</v>
      </c>
      <c r="Q24" t="n">
        <v>4502.93648904348</v>
      </c>
      <c r="R24" t="n">
        <v>4517.42581498555</v>
      </c>
      <c r="S24" t="n">
        <v>4449.77487826969</v>
      </c>
      <c r="T24" t="n">
        <v>4503.82368975511</v>
      </c>
      <c r="U24" t="n">
        <v>4500.68805014749</v>
      </c>
      <c r="V24" t="n">
        <v>4420.62537422815</v>
      </c>
      <c r="W24" t="n">
        <v>4451.38458946654</v>
      </c>
      <c r="X24" t="n">
        <v>4374.52319350807</v>
      </c>
      <c r="Y24" t="n">
        <v>4605.11303334922</v>
      </c>
      <c r="Z24" t="n">
        <v>4576.03798161117</v>
      </c>
      <c r="AA24" t="n">
        <v>5042.35039571785</v>
      </c>
      <c r="AB24" t="n">
        <v>5403.47903936881</v>
      </c>
      <c r="AC24" t="n">
        <v>5921.85284253381</v>
      </c>
      <c r="AD24" t="n">
        <v>6274.00898565067</v>
      </c>
      <c r="AE24" t="n">
        <v>6118.4</v>
      </c>
      <c r="AF24" t="n">
        <v>5990.4</v>
      </c>
    </row>
    <row r="25">
      <c r="A25" t="s">
        <v>143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143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143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143</v>
      </c>
      <c r="B28" t="s">
        <v>326</v>
      </c>
      <c r="C28" t="s">
        <v>246</v>
      </c>
      <c r="D28" t="s">
        <v>327</v>
      </c>
      <c r="E28" t="s">
        <v>247</v>
      </c>
      <c r="F28" t="n">
        <v>1679.54477906894</v>
      </c>
      <c r="G28" t="n">
        <v>1777.26472694553</v>
      </c>
      <c r="H28" t="n">
        <v>1847.84107940322</v>
      </c>
      <c r="I28" t="n">
        <v>1929.2448978212</v>
      </c>
      <c r="J28" t="n">
        <v>1988.79027052394</v>
      </c>
      <c r="K28" t="n">
        <v>2103.82186035979</v>
      </c>
      <c r="L28" t="n">
        <v>2148.67921152033</v>
      </c>
      <c r="M28" t="n">
        <v>2247.04591627867</v>
      </c>
      <c r="N28" t="n">
        <v>2205.41896573783</v>
      </c>
      <c r="O28" t="n">
        <v>2275.72613676279</v>
      </c>
      <c r="P28" t="n">
        <v>2375.31399700731</v>
      </c>
      <c r="Q28" t="n">
        <v>2450.4300232885</v>
      </c>
      <c r="R28" t="n">
        <v>2591.75784580956</v>
      </c>
      <c r="S28" t="n">
        <v>2519.779145262</v>
      </c>
      <c r="T28" t="n">
        <v>2629.07873673784</v>
      </c>
      <c r="U28" t="n">
        <v>2522.04770988856</v>
      </c>
      <c r="V28" t="n">
        <v>2398.63889115839</v>
      </c>
      <c r="W28" t="n">
        <v>2324.42531192232</v>
      </c>
      <c r="X28" t="n">
        <v>2302.27922049279</v>
      </c>
      <c r="Y28" t="n">
        <v>2334.28686953543</v>
      </c>
      <c r="Z28" t="n">
        <v>2550.2718086608</v>
      </c>
      <c r="AA28" t="n">
        <v>2679.64817446299</v>
      </c>
      <c r="AB28" t="n">
        <v>2727.32587117388</v>
      </c>
      <c r="AC28" t="n">
        <v>2787.19522713582</v>
      </c>
      <c r="AD28" t="n">
        <v>2753.78672055018</v>
      </c>
      <c r="AE28" t="n">
        <v>2840.9</v>
      </c>
      <c r="AF28" t="n">
        <v>2776</v>
      </c>
    </row>
    <row r="29">
      <c r="A29" t="s">
        <v>143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143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143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143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143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143</v>
      </c>
      <c r="B34" t="s">
        <v>338</v>
      </c>
      <c r="C34" t="s">
        <v>246</v>
      </c>
      <c r="D34" t="s">
        <v>339</v>
      </c>
      <c r="E34" t="s">
        <v>247</v>
      </c>
      <c r="F34" t="n">
        <v>199.042876945224</v>
      </c>
      <c r="G34" t="n">
        <v>212.090317972317</v>
      </c>
      <c r="H34" t="n">
        <v>222.106070065457</v>
      </c>
      <c r="I34" t="n">
        <v>232.669973516847</v>
      </c>
      <c r="J34" t="n">
        <v>241.369129892755</v>
      </c>
      <c r="K34" t="n">
        <v>240.988020740293</v>
      </c>
      <c r="L34" t="n">
        <v>298.770233895527</v>
      </c>
      <c r="M34" t="n">
        <v>332.810449068869</v>
      </c>
      <c r="N34" t="n">
        <v>310.431609091926</v>
      </c>
      <c r="O34" t="n">
        <v>289.148229832215</v>
      </c>
      <c r="P34" t="n">
        <v>271.540943397197</v>
      </c>
      <c r="Q34" t="n">
        <v>258.508775654509</v>
      </c>
      <c r="R34" t="n">
        <v>265.265003295865</v>
      </c>
      <c r="S34" t="n">
        <v>268.20272072367</v>
      </c>
      <c r="T34" t="n">
        <v>272.493964255249</v>
      </c>
      <c r="U34" t="n">
        <v>271.419461241624</v>
      </c>
      <c r="V34" t="n">
        <v>265.009632695074</v>
      </c>
      <c r="W34" t="n">
        <v>268.543094464342</v>
      </c>
      <c r="X34" t="n">
        <v>288.810497820141</v>
      </c>
      <c r="Y34" t="n">
        <v>378.715103010809</v>
      </c>
      <c r="Z34" t="n">
        <v>368.563315542969</v>
      </c>
      <c r="AA34" t="n">
        <v>374.490812863591</v>
      </c>
      <c r="AB34" t="n">
        <v>367.145827307426</v>
      </c>
      <c r="AC34" t="n">
        <v>366.223865129478</v>
      </c>
      <c r="AD34" t="n">
        <v>412.384820801124</v>
      </c>
      <c r="AE34" t="n">
        <v>433.4</v>
      </c>
      <c r="AF34" t="n">
        <v>415.8</v>
      </c>
    </row>
    <row r="35">
      <c r="A35" t="s">
        <v>143</v>
      </c>
      <c r="B35" t="s">
        <v>340</v>
      </c>
      <c r="C35" t="s">
        <v>246</v>
      </c>
      <c r="D35" t="s">
        <v>341</v>
      </c>
      <c r="E35" t="s">
        <v>247</v>
      </c>
      <c r="F35" t="n">
        <v>10564.5375578401</v>
      </c>
      <c r="G35" t="n">
        <v>11686.377897744</v>
      </c>
      <c r="H35" t="n">
        <v>12504.7368689244</v>
      </c>
      <c r="I35" t="n">
        <v>13251.4049195592</v>
      </c>
      <c r="J35" t="n">
        <v>14279.7619263535</v>
      </c>
      <c r="K35" t="n">
        <v>15107.6884205723</v>
      </c>
      <c r="L35" t="n">
        <v>16029.7768101643</v>
      </c>
      <c r="M35" t="n">
        <v>16624.3221499479</v>
      </c>
      <c r="N35" t="n">
        <v>17541.1861402626</v>
      </c>
      <c r="O35" t="n">
        <v>17039.4199331597</v>
      </c>
      <c r="P35" t="n">
        <v>16792.8305918629</v>
      </c>
      <c r="Q35" t="n">
        <v>16457.8695864708</v>
      </c>
      <c r="R35" t="n">
        <v>16671.9457973741</v>
      </c>
      <c r="S35" t="n">
        <v>16327.4000132156</v>
      </c>
      <c r="T35" t="n">
        <v>15840.8981398893</v>
      </c>
      <c r="U35" t="n">
        <v>15726.792819423</v>
      </c>
      <c r="V35" t="n">
        <v>15433.321589867</v>
      </c>
      <c r="W35" t="n">
        <v>15834.5969406895</v>
      </c>
      <c r="X35" t="n">
        <v>16830.2941459584</v>
      </c>
      <c r="Y35" t="n">
        <v>17853.2382609952</v>
      </c>
      <c r="Z35" t="n">
        <v>19925.7628293168</v>
      </c>
      <c r="AA35" t="n">
        <v>20971.865134599</v>
      </c>
      <c r="AB35" t="n">
        <v>21444.5711041876</v>
      </c>
      <c r="AC35" t="n">
        <v>20969.581383835</v>
      </c>
      <c r="AD35" t="n">
        <v>19956.5571733095</v>
      </c>
      <c r="AE35" t="n">
        <v>20751.7</v>
      </c>
      <c r="AF35" t="n">
        <v>21491.2</v>
      </c>
    </row>
    <row r="36">
      <c r="A36" t="s">
        <v>143</v>
      </c>
      <c r="B36" t="s">
        <v>342</v>
      </c>
      <c r="C36" t="s">
        <v>246</v>
      </c>
      <c r="D36" t="s">
        <v>343</v>
      </c>
      <c r="E36" t="s">
        <v>247</v>
      </c>
      <c r="F36" t="n">
        <v>1464.59691549455</v>
      </c>
      <c r="G36" t="n">
        <v>1489.44438544975</v>
      </c>
      <c r="H36" t="n">
        <v>1554.57764474916</v>
      </c>
      <c r="I36" t="n">
        <v>1612.92103454265</v>
      </c>
      <c r="J36" t="n">
        <v>1716.00196038454</v>
      </c>
      <c r="K36" t="n">
        <v>1808.10956673248</v>
      </c>
      <c r="L36" t="n">
        <v>1822.86707069534</v>
      </c>
      <c r="M36" t="n">
        <v>1945.16490205809</v>
      </c>
      <c r="N36" t="n">
        <v>1932.87812846322</v>
      </c>
      <c r="O36" t="n">
        <v>1899.52001143588</v>
      </c>
      <c r="P36" t="n">
        <v>1876.0648887234</v>
      </c>
      <c r="Q36" t="n">
        <v>1844.56569488855</v>
      </c>
      <c r="R36" t="n">
        <v>1873.94165817808</v>
      </c>
      <c r="S36" t="n">
        <v>1875.2531768937</v>
      </c>
      <c r="T36" t="n">
        <v>1846.8451411618</v>
      </c>
      <c r="U36" t="n">
        <v>1822.20475795706</v>
      </c>
      <c r="V36" t="n">
        <v>1775.15227532713</v>
      </c>
      <c r="W36" t="n">
        <v>2024.30010596166</v>
      </c>
      <c r="X36" t="n">
        <v>1992.92297890823</v>
      </c>
      <c r="Y36" t="n">
        <v>1904.15541799063</v>
      </c>
      <c r="Z36" t="n">
        <v>1827.16800216891</v>
      </c>
      <c r="AA36" t="n">
        <v>1957.66488276867</v>
      </c>
      <c r="AB36" t="n">
        <v>2042.59972668292</v>
      </c>
      <c r="AC36" t="n">
        <v>1951.77632685764</v>
      </c>
      <c r="AD36" t="n">
        <v>1806.09997073799</v>
      </c>
      <c r="AE36" t="n">
        <v>1735.9</v>
      </c>
      <c r="AF36"/>
    </row>
    <row r="37">
      <c r="A37" t="s">
        <v>143</v>
      </c>
      <c r="B37" t="s">
        <v>344</v>
      </c>
      <c r="C37" t="s">
        <v>246</v>
      </c>
      <c r="D37" t="s">
        <v>345</v>
      </c>
      <c r="E37" t="s">
        <v>247</v>
      </c>
      <c r="F37" t="n">
        <v>2201.58139911566</v>
      </c>
      <c r="G37" t="n">
        <v>2329.38018393352</v>
      </c>
      <c r="H37" t="n">
        <v>2433.06963357275</v>
      </c>
      <c r="I37" t="n">
        <v>2547.89299392833</v>
      </c>
      <c r="J37" t="n">
        <v>2621.91764486381</v>
      </c>
      <c r="K37" t="n">
        <v>3210.80749046815</v>
      </c>
      <c r="L37" t="n">
        <v>3372.16927679981</v>
      </c>
      <c r="M37" t="n">
        <v>3548.00330917675</v>
      </c>
      <c r="N37" t="n">
        <v>3642.73966519894</v>
      </c>
      <c r="O37" t="n">
        <v>3381.67251372978</v>
      </c>
      <c r="P37" t="n">
        <v>3168.57601098258</v>
      </c>
      <c r="Q37" t="n">
        <v>2966.22364310721</v>
      </c>
      <c r="R37" t="n">
        <v>2942.01776988821</v>
      </c>
      <c r="S37" t="n">
        <v>3108.65083419576</v>
      </c>
      <c r="T37" t="n">
        <v>2875.80759019276</v>
      </c>
      <c r="U37" t="n">
        <v>2850.30243383573</v>
      </c>
      <c r="V37" t="n">
        <v>2790.47955976398</v>
      </c>
      <c r="W37" t="n">
        <v>3185.44939835873</v>
      </c>
      <c r="X37" t="n">
        <v>3644.42577315663</v>
      </c>
      <c r="Y37" t="n">
        <v>4374.95050949045</v>
      </c>
      <c r="Z37" t="n">
        <v>5281.92041678439</v>
      </c>
      <c r="AA37" t="n">
        <v>5772.8790199916</v>
      </c>
      <c r="AB37" t="n">
        <v>5455.75876159482</v>
      </c>
      <c r="AC37" t="n">
        <v>4868.476623035</v>
      </c>
      <c r="AD37" t="n">
        <v>4263.0418217456</v>
      </c>
      <c r="AE37" t="n">
        <v>4456.1</v>
      </c>
      <c r="AF37"/>
    </row>
    <row r="38">
      <c r="A38" t="s">
        <v>143</v>
      </c>
      <c r="B38" t="s">
        <v>346</v>
      </c>
      <c r="C38" t="s">
        <v>246</v>
      </c>
      <c r="D38" t="s">
        <v>347</v>
      </c>
      <c r="E38" t="s">
        <v>247</v>
      </c>
      <c r="F38" t="n">
        <v>6920.8283638875</v>
      </c>
      <c r="G38" t="n">
        <v>7879.18119177979</v>
      </c>
      <c r="H38" t="n">
        <v>8524.52801027584</v>
      </c>
      <c r="I38" t="n">
        <v>9094.88903225236</v>
      </c>
      <c r="J38" t="n">
        <v>9940.27546314521</v>
      </c>
      <c r="K38" t="n">
        <v>10102.9588215692</v>
      </c>
      <c r="L38" t="n">
        <v>10841.6456130296</v>
      </c>
      <c r="M38" t="n">
        <v>11144.4899700332</v>
      </c>
      <c r="N38" t="n">
        <v>11965.7723465562</v>
      </c>
      <c r="O38" t="n">
        <v>11753.8918957014</v>
      </c>
      <c r="P38" t="n">
        <v>11737.5759640527</v>
      </c>
      <c r="Q38" t="n">
        <v>11631.4313542505</v>
      </c>
      <c r="R38" t="n">
        <v>11837.9711679989</v>
      </c>
      <c r="S38" t="n">
        <v>11339.1757831971</v>
      </c>
      <c r="T38" t="n">
        <v>11110.4475912458</v>
      </c>
      <c r="U38" t="n">
        <v>11045.1807459628</v>
      </c>
      <c r="V38" t="n">
        <v>10857.1418291042</v>
      </c>
      <c r="W38" t="n">
        <v>10648.5560687294</v>
      </c>
      <c r="X38" t="n">
        <v>11213.8414414474</v>
      </c>
      <c r="Y38" t="n">
        <v>11597.9427288787</v>
      </c>
      <c r="Z38" t="n">
        <v>12831.2911844643</v>
      </c>
      <c r="AA38" t="n">
        <v>13269.6002728907</v>
      </c>
      <c r="AB38" t="n">
        <v>13967.5359526831</v>
      </c>
      <c r="AC38" t="n">
        <v>14159.6696683847</v>
      </c>
      <c r="AD38" t="n">
        <v>13890.0449311905</v>
      </c>
      <c r="AE38" t="n">
        <v>14559.7</v>
      </c>
      <c r="AF38"/>
    </row>
    <row r="39">
      <c r="A39" t="s">
        <v>143</v>
      </c>
      <c r="B39" t="s">
        <v>348</v>
      </c>
      <c r="C39" t="s">
        <v>246</v>
      </c>
      <c r="D39" t="s">
        <v>349</v>
      </c>
      <c r="E39" t="s">
        <v>247</v>
      </c>
      <c r="F39" t="n">
        <v>2438.39999556787</v>
      </c>
      <c r="G39" t="n">
        <v>2439.57230325805</v>
      </c>
      <c r="H39" t="n">
        <v>2529.58826802567</v>
      </c>
      <c r="I39" t="n">
        <v>2934.7732846611</v>
      </c>
      <c r="J39" t="n">
        <v>3071.47270451288</v>
      </c>
      <c r="K39" t="n">
        <v>3216.05326218194</v>
      </c>
      <c r="L39" t="n">
        <v>3217.10555911205</v>
      </c>
      <c r="M39" t="n">
        <v>3328.10697181409</v>
      </c>
      <c r="N39" t="n">
        <v>3465.8385144898</v>
      </c>
      <c r="O39" t="n">
        <v>3481.43820023627</v>
      </c>
      <c r="P39" t="n">
        <v>3484.27873061842</v>
      </c>
      <c r="Q39" t="n">
        <v>3606.57739709148</v>
      </c>
      <c r="R39" t="n">
        <v>3307.97318700609</v>
      </c>
      <c r="S39" t="n">
        <v>3592.81872769863</v>
      </c>
      <c r="T39" t="n">
        <v>3411.30931203481</v>
      </c>
      <c r="U39" t="n">
        <v>3341.7651439043</v>
      </c>
      <c r="V39" t="n">
        <v>3199.6682785587</v>
      </c>
      <c r="W39" t="n">
        <v>3094.84353367487</v>
      </c>
      <c r="X39" t="n">
        <v>3039.30136801916</v>
      </c>
      <c r="Y39" t="n">
        <v>3137.63198937835</v>
      </c>
      <c r="Z39" t="n">
        <v>3433.0602618172</v>
      </c>
      <c r="AA39" t="n">
        <v>3779.35781414809</v>
      </c>
      <c r="AB39" t="n">
        <v>4012.11153525392</v>
      </c>
      <c r="AC39" t="n">
        <v>4279.64390236653</v>
      </c>
      <c r="AD39" t="n">
        <v>4691.38122801221</v>
      </c>
      <c r="AE39" t="n">
        <v>5088.8</v>
      </c>
      <c r="AF39" t="n">
        <v>5300</v>
      </c>
    </row>
    <row r="40">
      <c r="A40" t="s">
        <v>143</v>
      </c>
      <c r="B40" t="s">
        <v>350</v>
      </c>
      <c r="C40" t="s">
        <v>246</v>
      </c>
      <c r="D40" t="s">
        <v>351</v>
      </c>
      <c r="E40" t="s">
        <v>247</v>
      </c>
      <c r="F40" t="n">
        <v>321.415553747706</v>
      </c>
      <c r="G40" t="n">
        <v>357.859522046659</v>
      </c>
      <c r="H40" t="n">
        <v>383.508998471781</v>
      </c>
      <c r="I40" t="n">
        <v>410.575976092907</v>
      </c>
      <c r="J40" t="n">
        <v>446.90070942447</v>
      </c>
      <c r="K40" t="n">
        <v>514.844432924124</v>
      </c>
      <c r="L40" t="n">
        <v>503.133086503809</v>
      </c>
      <c r="M40" t="n">
        <v>552.586815663158</v>
      </c>
      <c r="N40" t="n">
        <v>532.695438991739</v>
      </c>
      <c r="O40" t="n">
        <v>513.682111163238</v>
      </c>
      <c r="P40" t="n">
        <v>472.737949395042</v>
      </c>
      <c r="Q40" t="n">
        <v>500.679001597443</v>
      </c>
      <c r="R40" t="n">
        <v>491.557319382105</v>
      </c>
      <c r="S40" t="n">
        <v>500.521890556247</v>
      </c>
      <c r="T40" t="n">
        <v>581.878805628994</v>
      </c>
      <c r="U40" t="n">
        <v>590.450335613708</v>
      </c>
      <c r="V40" t="n">
        <v>557.786715546305</v>
      </c>
      <c r="W40" t="n">
        <v>453.451824271415</v>
      </c>
      <c r="X40" t="n">
        <v>387.097739064463</v>
      </c>
      <c r="Y40" t="n">
        <v>451.581262890336</v>
      </c>
      <c r="Z40" t="n">
        <v>419.262499768712</v>
      </c>
      <c r="AA40" t="n">
        <v>346.608415936333</v>
      </c>
      <c r="AB40" t="n">
        <v>248.48364276591</v>
      </c>
      <c r="AC40" t="n">
        <v>169.115160211803</v>
      </c>
      <c r="AD40" t="n">
        <v>122.741691542289</v>
      </c>
      <c r="AE40" t="n">
        <v>99.4</v>
      </c>
      <c r="AF40" t="n">
        <v>94</v>
      </c>
    </row>
    <row r="41">
      <c r="A41" t="s">
        <v>143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143</v>
      </c>
      <c r="B42" t="s">
        <v>354</v>
      </c>
      <c r="C42" t="s">
        <v>246</v>
      </c>
      <c r="D42" t="s">
        <v>355</v>
      </c>
      <c r="E42" t="s">
        <v>247</v>
      </c>
      <c r="F42" t="n">
        <v>3947.06459470317</v>
      </c>
      <c r="G42" t="n">
        <v>4404.8808672714</v>
      </c>
      <c r="H42" t="n">
        <v>4744.61798189049</v>
      </c>
      <c r="I42" t="n">
        <v>5073.93267845719</v>
      </c>
      <c r="J42" t="n">
        <v>5495.77265647042</v>
      </c>
      <c r="K42" t="n">
        <v>6028.67683223886</v>
      </c>
      <c r="L42" t="n">
        <v>6346.04494851914</v>
      </c>
      <c r="M42" t="n">
        <v>6572.68108365382</v>
      </c>
      <c r="N42" t="n">
        <v>6453.53985384047</v>
      </c>
      <c r="O42" t="n">
        <v>6346.39494288883</v>
      </c>
      <c r="P42" t="n">
        <v>6183.69449528676</v>
      </c>
      <c r="Q42" t="n">
        <v>6162.69705130481</v>
      </c>
      <c r="R42" t="n">
        <v>6213.28589032961</v>
      </c>
      <c r="S42" t="n">
        <v>6330.56195469975</v>
      </c>
      <c r="T42" t="n">
        <v>6148.58133402373</v>
      </c>
      <c r="U42" t="n">
        <v>6096.9343675091</v>
      </c>
      <c r="V42" t="n">
        <v>5959.07061130737</v>
      </c>
      <c r="W42" t="n">
        <v>6124.21918061175</v>
      </c>
      <c r="X42" t="n">
        <v>5906.75584383086</v>
      </c>
      <c r="Y42" t="n">
        <v>6296.52706911998</v>
      </c>
      <c r="Z42" t="n">
        <v>6508.78637360867</v>
      </c>
      <c r="AA42" t="n">
        <v>6742.95640052288</v>
      </c>
      <c r="AB42" t="n">
        <v>7295.15751880697</v>
      </c>
      <c r="AC42" t="n">
        <v>7662.93757022336</v>
      </c>
      <c r="AD42" t="n">
        <v>7690.87603188158</v>
      </c>
      <c r="AE42" t="n">
        <v>7686.5</v>
      </c>
      <c r="AF42" t="n">
        <v>8173.6</v>
      </c>
    </row>
    <row r="43">
      <c r="A43" t="s">
        <v>143</v>
      </c>
      <c r="B43" t="s">
        <v>356</v>
      </c>
      <c r="C43" t="s">
        <v>246</v>
      </c>
      <c r="D43" t="s">
        <v>357</v>
      </c>
      <c r="E43" t="s">
        <v>247</v>
      </c>
      <c r="F43" t="n">
        <v>4998.55777409576</v>
      </c>
      <c r="G43" t="n">
        <v>5590.22215350801</v>
      </c>
      <c r="H43" t="n">
        <v>6020.84278911357</v>
      </c>
      <c r="I43" t="n">
        <v>6433.84274902797</v>
      </c>
      <c r="J43" t="n">
        <v>6972.94531290205</v>
      </c>
      <c r="K43" t="n">
        <v>7629.23696154245</v>
      </c>
      <c r="L43" t="n">
        <v>8020.16789162401</v>
      </c>
      <c r="M43" t="n">
        <v>8336.79517411995</v>
      </c>
      <c r="N43" t="n">
        <v>8196.72697773441</v>
      </c>
      <c r="O43" t="n">
        <v>8060.71142089864</v>
      </c>
      <c r="P43" t="n">
        <v>7825.11152389145</v>
      </c>
      <c r="Q43" t="n">
        <v>7804.88306922486</v>
      </c>
      <c r="R43" t="n">
        <v>7876.58944960565</v>
      </c>
      <c r="S43" t="n">
        <v>8071.94484222191</v>
      </c>
      <c r="T43" t="n">
        <v>7823.40307892559</v>
      </c>
      <c r="U43" t="n">
        <v>7767.82011348938</v>
      </c>
      <c r="V43" t="n">
        <v>7603.66474710296</v>
      </c>
      <c r="W43" t="n">
        <v>7879.64000160207</v>
      </c>
      <c r="X43" t="n">
        <v>7778.8134451327</v>
      </c>
      <c r="Y43" t="n">
        <v>8384.24661907558</v>
      </c>
      <c r="Z43" t="n">
        <v>8760.81873324798</v>
      </c>
      <c r="AA43" t="n">
        <v>9386.2865666111</v>
      </c>
      <c r="AB43" t="n">
        <v>10011.2918807155</v>
      </c>
      <c r="AC43" t="n">
        <v>10644.4174506271</v>
      </c>
      <c r="AD43" t="n">
        <v>11042.2254746964</v>
      </c>
      <c r="AE43" t="n">
        <v>11014.4</v>
      </c>
      <c r="AF43" t="n">
        <v>11502.3</v>
      </c>
    </row>
    <row r="44">
      <c r="A44" t="s">
        <v>143</v>
      </c>
      <c r="B44" t="s">
        <v>358</v>
      </c>
      <c r="C44" t="s">
        <v>246</v>
      </c>
      <c r="D44" t="s">
        <v>359</v>
      </c>
      <c r="E44" t="s">
        <v>247</v>
      </c>
      <c r="F44" t="n">
        <v>34086.513283143</v>
      </c>
      <c r="G44" t="n">
        <v>36691.7427754667</v>
      </c>
      <c r="H44" t="n">
        <v>38865.2412455298</v>
      </c>
      <c r="I44" t="n">
        <v>41593.9170414809</v>
      </c>
      <c r="J44" t="n">
        <v>44483.1240682586</v>
      </c>
      <c r="K44" t="n">
        <v>47144.4217408515</v>
      </c>
      <c r="L44" t="n">
        <v>49809.7449626045</v>
      </c>
      <c r="M44" t="n">
        <v>52011.8488926356</v>
      </c>
      <c r="N44" t="n">
        <v>52483.7679678873</v>
      </c>
      <c r="O44" t="n">
        <v>51156.2338111041</v>
      </c>
      <c r="P44" t="n">
        <v>49995.8164620779</v>
      </c>
      <c r="Q44" t="n">
        <v>49420.139089286</v>
      </c>
      <c r="R44" t="n">
        <v>49605.3809583281</v>
      </c>
      <c r="S44" t="n">
        <v>49710.4188518557</v>
      </c>
      <c r="T44" t="n">
        <v>49055.0566870084</v>
      </c>
      <c r="U44" t="n">
        <v>48561.6668870235</v>
      </c>
      <c r="V44" t="n">
        <v>47418.6009901749</v>
      </c>
      <c r="W44" t="n">
        <v>47846.218558644</v>
      </c>
      <c r="X44" t="n">
        <v>49366.76398794</v>
      </c>
      <c r="Y44" t="n">
        <v>52496.4858309756</v>
      </c>
      <c r="Z44" t="n">
        <v>55868.8286413059</v>
      </c>
      <c r="AA44" t="n">
        <v>59467.1199269183</v>
      </c>
      <c r="AB44" t="n">
        <v>62328.2200691484</v>
      </c>
      <c r="AC44" t="n">
        <v>64799.030717525</v>
      </c>
      <c r="AD44" t="n">
        <v>66469.969932161</v>
      </c>
      <c r="AE44" t="n">
        <v>67382.4</v>
      </c>
      <c r="AF44" t="n">
        <v>69313.8</v>
      </c>
    </row>
    <row r="45">
      <c r="A45" t="s">
        <v>143</v>
      </c>
      <c r="B45" t="s">
        <v>360</v>
      </c>
      <c r="C45" t="s">
        <v>246</v>
      </c>
      <c r="D45" t="s">
        <v>361</v>
      </c>
      <c r="E45" t="s">
        <v>247</v>
      </c>
      <c r="F45" t="n">
        <v>34042.163639182</v>
      </c>
      <c r="G45" t="n">
        <v>36644.1473970294</v>
      </c>
      <c r="H45" t="n">
        <v>38814.8988759544</v>
      </c>
      <c r="I45" t="n">
        <v>41539.5819041745</v>
      </c>
      <c r="J45" t="n">
        <v>44424.6001552377</v>
      </c>
      <c r="K45" t="n">
        <v>47081.6889665622</v>
      </c>
      <c r="L45" t="n">
        <v>49743.4773542131</v>
      </c>
      <c r="M45" t="n">
        <v>51944.1405004637</v>
      </c>
      <c r="N45" t="n">
        <v>52417.1658638419</v>
      </c>
      <c r="O45" t="n">
        <v>51091.5217474166</v>
      </c>
      <c r="P45" t="n">
        <v>49933.1507660172</v>
      </c>
      <c r="Q45" t="n">
        <v>49358.0517164784</v>
      </c>
      <c r="R45" t="n">
        <v>49542.5444680962</v>
      </c>
      <c r="S45" t="n">
        <v>49646.2351964544</v>
      </c>
      <c r="T45" t="n">
        <v>48991.0296216412</v>
      </c>
      <c r="U45" t="n">
        <v>48497.9861723243</v>
      </c>
      <c r="V45" t="n">
        <v>47355.4166236729</v>
      </c>
      <c r="W45" t="n">
        <v>47784.265668189</v>
      </c>
      <c r="X45" t="n">
        <v>49289.3123543212</v>
      </c>
      <c r="Y45" t="n">
        <v>52381.1744531787</v>
      </c>
      <c r="Z45" t="n">
        <v>55720.3885311973</v>
      </c>
      <c r="AA45" t="n">
        <v>59310.9001798355</v>
      </c>
      <c r="AB45" t="n">
        <v>62187.1350781359</v>
      </c>
      <c r="AC45" t="n">
        <v>64663.8040128303</v>
      </c>
      <c r="AD45" t="n">
        <v>66340.5679578586</v>
      </c>
      <c r="AE45" t="n">
        <v>67271.9</v>
      </c>
      <c r="AF45" t="n">
        <v>69201.8</v>
      </c>
    </row>
    <row r="46">
      <c r="A46" t="s">
        <v>143</v>
      </c>
      <c r="B46" t="s">
        <v>362</v>
      </c>
      <c r="C46" t="s">
        <v>246</v>
      </c>
      <c r="D46" t="s">
        <v>363</v>
      </c>
      <c r="E46" t="s">
        <v>247</v>
      </c>
      <c r="F46" t="n">
        <v>1037.48562688437</v>
      </c>
      <c r="G46" t="n">
        <v>1169.80969353707</v>
      </c>
      <c r="H46" t="n">
        <v>1259.49070724679</v>
      </c>
      <c r="I46" t="n">
        <v>1341.97267939076</v>
      </c>
      <c r="J46" t="n">
        <v>1457.77999822907</v>
      </c>
      <c r="K46" t="n">
        <v>1579.11721567976</v>
      </c>
      <c r="L46" t="n">
        <v>1651.4534034794</v>
      </c>
      <c r="M46" t="n">
        <v>1741.03948609737</v>
      </c>
      <c r="N46" t="n">
        <v>1720.72600452746</v>
      </c>
      <c r="O46" t="n">
        <v>1692.22961468036</v>
      </c>
      <c r="P46" t="n">
        <v>1619.33356974028</v>
      </c>
      <c r="Q46" t="n">
        <v>1620.31208472132</v>
      </c>
      <c r="R46" t="n">
        <v>1641.41771026285</v>
      </c>
      <c r="S46" t="n">
        <v>1720.12663053188</v>
      </c>
      <c r="T46" t="n">
        <v>1653.78879465131</v>
      </c>
      <c r="U46" t="n">
        <v>1650.28041385527</v>
      </c>
      <c r="V46" t="n">
        <v>1624.73771565967</v>
      </c>
      <c r="W46" t="n">
        <v>1736.61276973776</v>
      </c>
      <c r="X46" t="n">
        <v>1858.27721992173</v>
      </c>
      <c r="Y46" t="n">
        <v>2075.25859511757</v>
      </c>
      <c r="Z46" t="n">
        <v>2241.42790621019</v>
      </c>
      <c r="AA46" t="n">
        <v>2639.97179259692</v>
      </c>
      <c r="AB46" t="n">
        <v>2709.86201335812</v>
      </c>
      <c r="AC46" t="n">
        <v>2976.92233733431</v>
      </c>
      <c r="AD46" t="n">
        <v>3351.48931318433</v>
      </c>
      <c r="AE46" t="n">
        <v>3327.9</v>
      </c>
      <c r="AF46" t="n">
        <v>3328.7</v>
      </c>
    </row>
    <row r="47">
      <c r="A47" t="s">
        <v>143</v>
      </c>
      <c r="B47" t="s">
        <v>364</v>
      </c>
      <c r="C47" t="s">
        <v>246</v>
      </c>
      <c r="D47" t="s">
        <v>365</v>
      </c>
      <c r="E47" t="s">
        <v>247</v>
      </c>
      <c r="F47" t="n">
        <v>3855.51043268342</v>
      </c>
      <c r="G47" t="n">
        <v>4098.81545618044</v>
      </c>
      <c r="H47" t="n">
        <v>4331.66574233878</v>
      </c>
      <c r="I47" t="n">
        <v>4499.45448831351</v>
      </c>
      <c r="J47" t="n">
        <v>4679.8421290652</v>
      </c>
      <c r="K47" t="n">
        <v>4822.97300002722</v>
      </c>
      <c r="L47" t="n">
        <v>5079.12155611968</v>
      </c>
      <c r="M47" t="n">
        <v>5252.04963993553</v>
      </c>
      <c r="N47" t="n">
        <v>5397.66041842396</v>
      </c>
      <c r="O47" t="n">
        <v>5547.056682392</v>
      </c>
      <c r="P47" t="n">
        <v>5672.91083311237</v>
      </c>
      <c r="Q47" t="n">
        <v>5494.62085599513</v>
      </c>
      <c r="R47" t="n">
        <v>5359.91214733917</v>
      </c>
      <c r="S47" t="n">
        <v>5192.00735683554</v>
      </c>
      <c r="T47" t="n">
        <v>5184.60121260195</v>
      </c>
      <c r="U47" t="n">
        <v>5277.9868901733</v>
      </c>
      <c r="V47" t="n">
        <v>5383.71649826123</v>
      </c>
      <c r="W47" t="n">
        <v>5366.39991359629</v>
      </c>
      <c r="X47" t="n">
        <v>5452.11604432103</v>
      </c>
      <c r="Y47" t="n">
        <v>5493.08986164949</v>
      </c>
      <c r="Z47" t="n">
        <v>5487.07498088119</v>
      </c>
      <c r="AA47" t="n">
        <v>5528.34596032192</v>
      </c>
      <c r="AB47" t="n">
        <v>5456.65856263107</v>
      </c>
      <c r="AC47" t="n">
        <v>5421.73404285643</v>
      </c>
      <c r="AD47" t="n">
        <v>5464.80947112352</v>
      </c>
      <c r="AE47" t="n">
        <v>5541.6</v>
      </c>
      <c r="AF47" t="n">
        <v>5922.4</v>
      </c>
    </row>
    <row r="48">
      <c r="A48" t="s">
        <v>143</v>
      </c>
      <c r="B48" t="s">
        <v>366</v>
      </c>
      <c r="C48" t="s">
        <v>246</v>
      </c>
      <c r="D48" t="s">
        <v>367</v>
      </c>
      <c r="E48" t="s">
        <v>247</v>
      </c>
      <c r="F48" t="n">
        <v>5520.14469373985</v>
      </c>
      <c r="G48" t="n">
        <v>5832.27155810184</v>
      </c>
      <c r="H48" t="n">
        <v>6174.52182177575</v>
      </c>
      <c r="I48" t="n">
        <v>6424.87107611641</v>
      </c>
      <c r="J48" t="n">
        <v>6704.4840559726</v>
      </c>
      <c r="K48" t="n">
        <v>6954.26492493659</v>
      </c>
      <c r="L48" t="n">
        <v>7287.33893481941</v>
      </c>
      <c r="M48" t="n">
        <v>7537.28967756746</v>
      </c>
      <c r="N48" t="n">
        <v>7683.80506539917</v>
      </c>
      <c r="O48" t="n">
        <v>7830.79458465474</v>
      </c>
      <c r="P48" t="n">
        <v>7939.9893604852</v>
      </c>
      <c r="Q48" t="n">
        <v>7765.23260455342</v>
      </c>
      <c r="R48" t="n">
        <v>7660.79505859451</v>
      </c>
      <c r="S48" t="n">
        <v>7476.42966027345</v>
      </c>
      <c r="T48" t="n">
        <v>7494.04811112379</v>
      </c>
      <c r="U48" t="n">
        <v>7567.78230481722</v>
      </c>
      <c r="V48" t="n">
        <v>7596.58387074708</v>
      </c>
      <c r="W48" t="n">
        <v>7579.9454850885</v>
      </c>
      <c r="X48" t="n">
        <v>7580.24035193656</v>
      </c>
      <c r="Y48" t="n">
        <v>7528.38112409317</v>
      </c>
      <c r="Z48" t="n">
        <v>7430.83625080435</v>
      </c>
      <c r="AA48" t="n">
        <v>7346.4999257271</v>
      </c>
      <c r="AB48" t="n">
        <v>7194.84290363703</v>
      </c>
      <c r="AC48" t="n">
        <v>7223.83835091347</v>
      </c>
      <c r="AD48" t="n">
        <v>7432.26234898992</v>
      </c>
      <c r="AE48" t="n">
        <v>7981.6</v>
      </c>
      <c r="AF48" t="n">
        <v>8421.4</v>
      </c>
    </row>
    <row r="49">
      <c r="A49" t="s">
        <v>143</v>
      </c>
      <c r="B49" t="s">
        <v>368</v>
      </c>
      <c r="C49" t="s">
        <v>246</v>
      </c>
      <c r="D49" t="s">
        <v>369</v>
      </c>
      <c r="E49" t="s">
        <v>247</v>
      </c>
      <c r="F49" t="n">
        <v>354.221124379686</v>
      </c>
      <c r="G49" t="n">
        <v>386.567071257443</v>
      </c>
      <c r="H49" t="n">
        <v>425.944409408168</v>
      </c>
      <c r="I49" t="n">
        <v>454.198387036953</v>
      </c>
      <c r="J49" t="n">
        <v>483.226567878314</v>
      </c>
      <c r="K49" t="n">
        <v>508.125185432825</v>
      </c>
      <c r="L49" t="n">
        <v>523.659467647924</v>
      </c>
      <c r="M49" t="n">
        <v>559.817732235129</v>
      </c>
      <c r="N49" t="n">
        <v>573.927961133234</v>
      </c>
      <c r="O49" t="n">
        <v>597.72738165032</v>
      </c>
      <c r="P49" t="n">
        <v>602.30562842819</v>
      </c>
      <c r="Q49" t="n">
        <v>633.989522300318</v>
      </c>
      <c r="R49" t="n">
        <v>656.4316292844</v>
      </c>
      <c r="S49" t="n">
        <v>675.438336014671</v>
      </c>
      <c r="T49" t="n">
        <v>688.73398136103</v>
      </c>
      <c r="U49" t="n">
        <v>680.134468967493</v>
      </c>
      <c r="V49" t="n">
        <v>665.562862370249</v>
      </c>
      <c r="W49" t="n">
        <v>648.598085847362</v>
      </c>
      <c r="X49" t="n">
        <v>621.450126607166</v>
      </c>
      <c r="Y49" t="n">
        <v>665.13373120502</v>
      </c>
      <c r="Z49" t="n">
        <v>676.212814395752</v>
      </c>
      <c r="AA49" t="n">
        <v>676.022331912824</v>
      </c>
      <c r="AB49" t="n">
        <v>657.780305445247</v>
      </c>
      <c r="AC49" t="n">
        <v>736.03618156954</v>
      </c>
      <c r="AD49" t="n">
        <v>695.920931492012</v>
      </c>
      <c r="AE49" t="n">
        <v>736.4</v>
      </c>
      <c r="AF49" t="n">
        <v>753.9</v>
      </c>
    </row>
    <row r="50">
      <c r="A50" t="s">
        <v>143</v>
      </c>
      <c r="B50" t="s">
        <v>370</v>
      </c>
      <c r="C50" t="s">
        <v>246</v>
      </c>
      <c r="D50" t="s">
        <v>371</v>
      </c>
      <c r="E50" t="s">
        <v>247</v>
      </c>
      <c r="F50" t="n">
        <v>1315.00486648115</v>
      </c>
      <c r="G50" t="n">
        <v>1351.72495380903</v>
      </c>
      <c r="H50" t="n">
        <v>1421.87875273561</v>
      </c>
      <c r="I50" t="n">
        <v>1476.40582297576</v>
      </c>
      <c r="J50" t="n">
        <v>1546.84123226473</v>
      </c>
      <c r="K50" t="n">
        <v>1628.77292983392</v>
      </c>
      <c r="L50" t="n">
        <v>1690.4389971752</v>
      </c>
      <c r="M50" t="n">
        <v>1731.19357095346</v>
      </c>
      <c r="N50" t="n">
        <v>1717.76729153365</v>
      </c>
      <c r="O50" t="n">
        <v>1690.96208022233</v>
      </c>
      <c r="P50" t="n">
        <v>1669.4723182272</v>
      </c>
      <c r="Q50" t="n">
        <v>1640.62223544187</v>
      </c>
      <c r="R50" t="n">
        <v>1648.06959678171</v>
      </c>
      <c r="S50" t="n">
        <v>1611.91055012148</v>
      </c>
      <c r="T50" t="n">
        <v>1623.36554616976</v>
      </c>
      <c r="U50" t="n">
        <v>1612.52013449143</v>
      </c>
      <c r="V50" t="n">
        <v>1549.65346586103</v>
      </c>
      <c r="W50" t="n">
        <v>1568.01987466544</v>
      </c>
      <c r="X50" t="n">
        <v>1509.75661788586</v>
      </c>
      <c r="Y50" t="n">
        <v>1370.12770641909</v>
      </c>
      <c r="Z50" t="n">
        <v>1266.14299207587</v>
      </c>
      <c r="AA50" t="n">
        <v>1138.59836737043</v>
      </c>
      <c r="AB50" t="n">
        <v>1076.67881518503</v>
      </c>
      <c r="AC50" t="n">
        <v>1061.04572739939</v>
      </c>
      <c r="AD50" t="n">
        <v>1268.91258646172</v>
      </c>
      <c r="AE50" t="n">
        <v>1703.6</v>
      </c>
      <c r="AF50" t="n">
        <v>1745.1</v>
      </c>
    </row>
    <row r="51">
      <c r="A51" t="s">
        <v>143</v>
      </c>
      <c r="B51" t="s">
        <v>372</v>
      </c>
      <c r="C51" t="s">
        <v>246</v>
      </c>
      <c r="D51" t="s">
        <v>373</v>
      </c>
      <c r="E51" t="s">
        <v>247</v>
      </c>
      <c r="F51" t="n">
        <v>1237.12615438236</v>
      </c>
      <c r="G51" t="n">
        <v>1277.80057521447</v>
      </c>
      <c r="H51" t="n">
        <v>1346.1931126925</v>
      </c>
      <c r="I51" t="n">
        <v>1400.3176384277</v>
      </c>
      <c r="J51" t="n">
        <v>1467.41036791404</v>
      </c>
      <c r="K51" t="n">
        <v>1546.9580168999</v>
      </c>
      <c r="L51" t="n">
        <v>1598.78397023149</v>
      </c>
      <c r="M51" t="n">
        <v>1632.08246661577</v>
      </c>
      <c r="N51" t="n">
        <v>1623.75041399878</v>
      </c>
      <c r="O51" t="n">
        <v>1595.18130457244</v>
      </c>
      <c r="P51" t="n">
        <v>1575.15411800646</v>
      </c>
      <c r="Q51" t="n">
        <v>1549.06783642691</v>
      </c>
      <c r="R51" t="n">
        <v>1555.62126989673</v>
      </c>
      <c r="S51" t="n">
        <v>1517.70872100856</v>
      </c>
      <c r="T51" t="n">
        <v>1533.24299763665</v>
      </c>
      <c r="U51" t="n">
        <v>1525.82407990615</v>
      </c>
      <c r="V51" t="n">
        <v>1464.76014926489</v>
      </c>
      <c r="W51" t="n">
        <v>1432.55076378367</v>
      </c>
      <c r="X51" t="n">
        <v>1283.94954934999</v>
      </c>
      <c r="Y51" t="n">
        <v>1096.58318356834</v>
      </c>
      <c r="Z51" t="n">
        <v>985.332747865</v>
      </c>
      <c r="AA51" t="n">
        <v>843.538580382346</v>
      </c>
      <c r="AB51" t="n">
        <v>789.455527346429</v>
      </c>
      <c r="AC51" t="n">
        <v>775.886606836551</v>
      </c>
      <c r="AD51" t="n">
        <v>799.892265795207</v>
      </c>
      <c r="AE51" t="n">
        <v>822.9</v>
      </c>
      <c r="AF51"/>
    </row>
    <row r="52">
      <c r="A52" t="s">
        <v>143</v>
      </c>
      <c r="B52" t="s">
        <v>374</v>
      </c>
      <c r="C52" t="s">
        <v>246</v>
      </c>
      <c r="D52" t="s">
        <v>375</v>
      </c>
      <c r="E52" t="s">
        <v>247</v>
      </c>
      <c r="F52" t="n">
        <v>49.5201112551738</v>
      </c>
      <c r="G52" t="n">
        <v>44.4864735726424</v>
      </c>
      <c r="H52" t="n">
        <v>44.6192690161429</v>
      </c>
      <c r="I52" t="n">
        <v>43.7139505143661</v>
      </c>
      <c r="J52" t="n">
        <v>45.4981933925035</v>
      </c>
      <c r="K52" t="n">
        <v>45.9968037310514</v>
      </c>
      <c r="L52" t="n">
        <v>54.8047023178485</v>
      </c>
      <c r="M52" t="n">
        <v>61.6552901075796</v>
      </c>
      <c r="N52" t="n">
        <v>56.5957911102019</v>
      </c>
      <c r="O52" t="n">
        <v>59.1420230210903</v>
      </c>
      <c r="P52" t="n">
        <v>58.1300872659766</v>
      </c>
      <c r="Q52" t="n">
        <v>55.9198177881828</v>
      </c>
      <c r="R52" t="n">
        <v>56.6828562375342</v>
      </c>
      <c r="S52" t="n">
        <v>59.4687811187741</v>
      </c>
      <c r="T52" t="n">
        <v>54.812862312322</v>
      </c>
      <c r="U52" t="n">
        <v>51.4136150371393</v>
      </c>
      <c r="V52" t="n">
        <v>51.1020173702475</v>
      </c>
      <c r="W52" t="n">
        <v>104.769397058279</v>
      </c>
      <c r="X52" t="n">
        <v>202.873544204301</v>
      </c>
      <c r="Y52" t="n">
        <v>257.481133567587</v>
      </c>
      <c r="Z52" t="n">
        <v>267.809889641931</v>
      </c>
      <c r="AA52" t="n">
        <v>286.275939687363</v>
      </c>
      <c r="AB52" t="n">
        <v>279.351575803228</v>
      </c>
      <c r="AC52" t="n">
        <v>277.499521157019</v>
      </c>
      <c r="AD52" t="n">
        <v>464.929804692014</v>
      </c>
      <c r="AE52" t="n">
        <v>880.7</v>
      </c>
      <c r="AF52"/>
    </row>
    <row r="53">
      <c r="A53" t="s">
        <v>143</v>
      </c>
      <c r="B53" t="s">
        <v>376</v>
      </c>
      <c r="C53" t="s">
        <v>246</v>
      </c>
      <c r="D53" t="s">
        <v>377</v>
      </c>
      <c r="E53" t="s">
        <v>247</v>
      </c>
      <c r="F53" t="n">
        <v>705.169417756435</v>
      </c>
      <c r="G53" t="n">
        <v>773.765664619902</v>
      </c>
      <c r="H53" t="n">
        <v>854.137798120863</v>
      </c>
      <c r="I53" t="n">
        <v>917.030315489372</v>
      </c>
      <c r="J53" t="n">
        <v>972.34732962176</v>
      </c>
      <c r="K53" t="n">
        <v>1044.41956195684</v>
      </c>
      <c r="L53" t="n">
        <v>1058.84660903464</v>
      </c>
      <c r="M53" t="n">
        <v>1140.40788497877</v>
      </c>
      <c r="N53" t="n">
        <v>1134.27285394019</v>
      </c>
      <c r="O53" t="n">
        <v>1053.85755507059</v>
      </c>
      <c r="P53" t="n">
        <v>1203.78107001277</v>
      </c>
      <c r="Q53" t="n">
        <v>1147.92244276325</v>
      </c>
      <c r="R53" t="n">
        <v>1145.85077422103</v>
      </c>
      <c r="S53" t="n">
        <v>1065.95501970483</v>
      </c>
      <c r="T53" t="n">
        <v>1084.72628934347</v>
      </c>
      <c r="U53" t="n">
        <v>1061.29898744307</v>
      </c>
      <c r="V53" t="n">
        <v>1029.19159589688</v>
      </c>
      <c r="W53" t="n">
        <v>922.086240331822</v>
      </c>
      <c r="X53" t="n">
        <v>1016.63792137327</v>
      </c>
      <c r="Y53" t="n">
        <v>988.828118115311</v>
      </c>
      <c r="Z53" t="n">
        <v>971.095525589686</v>
      </c>
      <c r="AA53" t="n">
        <v>902.362883720665</v>
      </c>
      <c r="AB53" t="n">
        <v>905.228827543735</v>
      </c>
      <c r="AC53" t="n">
        <v>901.062885021645</v>
      </c>
      <c r="AD53" t="n">
        <v>1006.80762273902</v>
      </c>
      <c r="AE53" t="n">
        <v>1096.9</v>
      </c>
      <c r="AF53" t="n">
        <v>1165.8</v>
      </c>
    </row>
    <row r="54">
      <c r="A54" t="s">
        <v>143</v>
      </c>
      <c r="B54" t="s">
        <v>378</v>
      </c>
      <c r="C54" t="s">
        <v>246</v>
      </c>
      <c r="D54" t="s">
        <v>379</v>
      </c>
      <c r="E54" t="s">
        <v>247</v>
      </c>
      <c r="F54" t="n">
        <v>975.019591522664</v>
      </c>
      <c r="G54" t="n">
        <v>1042.89207636727</v>
      </c>
      <c r="H54" t="n">
        <v>1134.01727881128</v>
      </c>
      <c r="I54" t="n">
        <v>1206.46478268048</v>
      </c>
      <c r="J54" t="n">
        <v>1282.82492689282</v>
      </c>
      <c r="K54" t="n">
        <v>1369.50228681801</v>
      </c>
      <c r="L54" t="n">
        <v>1406.24114812942</v>
      </c>
      <c r="M54" t="n">
        <v>1508.53721663994</v>
      </c>
      <c r="N54" t="n">
        <v>1496.71702588116</v>
      </c>
      <c r="O54" t="n">
        <v>1400.06937394888</v>
      </c>
      <c r="P54" t="n">
        <v>1540.36673581898</v>
      </c>
      <c r="Q54" t="n">
        <v>1475.33950763213</v>
      </c>
      <c r="R54" t="n">
        <v>1474.36675630841</v>
      </c>
      <c r="S54" t="n">
        <v>1490.39709762484</v>
      </c>
      <c r="T54" t="n">
        <v>1482.45277307585</v>
      </c>
      <c r="U54" t="n">
        <v>1440.65232832537</v>
      </c>
      <c r="V54" t="n">
        <v>1385.74988702875</v>
      </c>
      <c r="W54" t="n">
        <v>1261.93370615984</v>
      </c>
      <c r="X54" t="n">
        <v>1376.68296941127</v>
      </c>
      <c r="Y54" t="n">
        <v>1423.76243704885</v>
      </c>
      <c r="Z54" t="n">
        <v>1418.2484137267</v>
      </c>
      <c r="AA54" t="n">
        <v>1431.20327092038</v>
      </c>
      <c r="AB54" t="n">
        <v>1432.52666821193</v>
      </c>
      <c r="AC54" t="n">
        <v>1489.56790298132</v>
      </c>
      <c r="AD54" t="n">
        <v>1727.09551439156</v>
      </c>
      <c r="AE54" t="n">
        <v>1773.7</v>
      </c>
      <c r="AF54" t="n">
        <v>1851.9</v>
      </c>
    </row>
    <row r="55">
      <c r="A55" t="s">
        <v>143</v>
      </c>
      <c r="B55" t="s">
        <v>380</v>
      </c>
      <c r="C55" t="s">
        <v>246</v>
      </c>
      <c r="D55" t="s">
        <v>381</v>
      </c>
      <c r="E55" t="s">
        <v>247</v>
      </c>
      <c r="F55" t="n">
        <v>272.559882257361</v>
      </c>
      <c r="G55" t="n">
        <v>272.289217031684</v>
      </c>
      <c r="H55" t="n">
        <v>283.497247756959</v>
      </c>
      <c r="I55" t="n">
        <v>293.401643436308</v>
      </c>
      <c r="J55" t="n">
        <v>314.657131188485</v>
      </c>
      <c r="K55" t="n">
        <v>329.634909659692</v>
      </c>
      <c r="L55" t="n">
        <v>351.869774557489</v>
      </c>
      <c r="M55" t="n">
        <v>373.008087035124</v>
      </c>
      <c r="N55" t="n">
        <v>367.338919459218</v>
      </c>
      <c r="O55" t="n">
        <v>350.646857276682</v>
      </c>
      <c r="P55" t="n">
        <v>342.371679713513</v>
      </c>
      <c r="Q55" t="n">
        <v>332.849332110861</v>
      </c>
      <c r="R55" t="n">
        <v>333.91547346932</v>
      </c>
      <c r="S55" t="n">
        <v>427.83901680641</v>
      </c>
      <c r="T55" t="n">
        <v>401.653207103078</v>
      </c>
      <c r="U55" t="n">
        <v>383.354187173632</v>
      </c>
      <c r="V55" t="n">
        <v>360.620509319724</v>
      </c>
      <c r="W55" t="n">
        <v>343.182380242368</v>
      </c>
      <c r="X55" t="n">
        <v>363.935297041685</v>
      </c>
      <c r="Y55" t="n">
        <v>437.504349171967</v>
      </c>
      <c r="Z55" t="n">
        <v>449.414817255503</v>
      </c>
      <c r="AA55" t="n">
        <v>528.806391033299</v>
      </c>
      <c r="AB55" t="n">
        <v>527.293498440223</v>
      </c>
      <c r="AC55" t="n">
        <v>588.380526213413</v>
      </c>
      <c r="AD55" t="n">
        <v>720.077269339693</v>
      </c>
      <c r="AE55" t="n">
        <v>676.8</v>
      </c>
      <c r="AF55" t="n">
        <v>686.1</v>
      </c>
    </row>
    <row r="56">
      <c r="A56" t="s">
        <v>143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143</v>
      </c>
      <c r="B57" t="s">
        <v>384</v>
      </c>
      <c r="C57" t="s">
        <v>246</v>
      </c>
      <c r="D57" t="s">
        <v>385</v>
      </c>
      <c r="E57" t="s">
        <v>247</v>
      </c>
      <c r="F57" t="n">
        <v>39939.0997939221</v>
      </c>
      <c r="G57" t="n">
        <v>42893.9663725854</v>
      </c>
      <c r="H57" t="n">
        <v>45436.3204591985</v>
      </c>
      <c r="I57" t="n">
        <v>48442.7169457377</v>
      </c>
      <c r="J57" t="n">
        <v>51648.6872775726</v>
      </c>
      <c r="K57" t="n">
        <v>54630.4167111567</v>
      </c>
      <c r="L57" t="n">
        <v>57615.3835659018</v>
      </c>
      <c r="M57" t="n">
        <v>60118.337444165</v>
      </c>
      <c r="N57" t="n">
        <v>60716.592219042</v>
      </c>
      <c r="O57" t="n">
        <v>59519.1319008838</v>
      </c>
      <c r="P57" t="n">
        <v>58427.8138764485</v>
      </c>
      <c r="Q57" t="n">
        <v>57705.554118411</v>
      </c>
      <c r="R57" t="n">
        <v>57775.6321666918</v>
      </c>
      <c r="S57" t="n">
        <v>57703.7481367092</v>
      </c>
      <c r="T57" t="n">
        <v>57150.5760507595</v>
      </c>
      <c r="U57" t="n">
        <v>56740.9897269603</v>
      </c>
      <c r="V57" t="n">
        <v>55594.9378758705</v>
      </c>
      <c r="W57" t="n">
        <v>55898.4609603077</v>
      </c>
      <c r="X57" t="n">
        <v>57349.7606207322</v>
      </c>
      <c r="Y57" t="n">
        <v>60490.3528175768</v>
      </c>
      <c r="Z57" t="n">
        <v>63728.8122214365</v>
      </c>
      <c r="AA57" t="n">
        <v>67163.4897236142</v>
      </c>
      <c r="AB57" t="n">
        <v>69773.1130525465</v>
      </c>
      <c r="AC57" t="n">
        <v>72192.6029645283</v>
      </c>
      <c r="AD57" t="n">
        <v>74025.1145066657</v>
      </c>
      <c r="AE57" t="n">
        <v>75463.4</v>
      </c>
      <c r="AF57" t="n">
        <v>77829.2</v>
      </c>
    </row>
    <row r="58">
      <c r="A58" t="s">
        <v>143</v>
      </c>
      <c r="B58" t="s">
        <v>386</v>
      </c>
      <c r="C58" t="s">
        <v>246</v>
      </c>
      <c r="D58" t="s">
        <v>387</v>
      </c>
      <c r="E58" t="s">
        <v>247</v>
      </c>
      <c r="F58" t="n">
        <v>39939.0997939221</v>
      </c>
      <c r="G58" t="n">
        <v>42893.9663725854</v>
      </c>
      <c r="H58" t="n">
        <v>45436.3204591985</v>
      </c>
      <c r="I58" t="n">
        <v>48442.7169457377</v>
      </c>
      <c r="J58" t="n">
        <v>51648.6872775726</v>
      </c>
      <c r="K58" t="n">
        <v>54630.4167111567</v>
      </c>
      <c r="L58" t="n">
        <v>57615.3835659018</v>
      </c>
      <c r="M58" t="n">
        <v>60118.337444165</v>
      </c>
      <c r="N58" t="n">
        <v>60716.592219042</v>
      </c>
      <c r="O58" t="n">
        <v>59519.1319008838</v>
      </c>
      <c r="P58" t="n">
        <v>58427.8138764485</v>
      </c>
      <c r="Q58" t="n">
        <v>57705.554118411</v>
      </c>
      <c r="R58" t="n">
        <v>57775.6321666918</v>
      </c>
      <c r="S58" t="n">
        <v>57703.7481367092</v>
      </c>
      <c r="T58" t="n">
        <v>57150.5760507595</v>
      </c>
      <c r="U58" t="n">
        <v>56740.9897269603</v>
      </c>
      <c r="V58" t="n">
        <v>55594.9378758705</v>
      </c>
      <c r="W58" t="n">
        <v>55898.4609603077</v>
      </c>
      <c r="X58" t="n">
        <v>57349.7606207322</v>
      </c>
      <c r="Y58" t="n">
        <v>60490.3528175768</v>
      </c>
      <c r="Z58" t="n">
        <v>63728.8122214365</v>
      </c>
      <c r="AA58" t="n">
        <v>67163.4897236142</v>
      </c>
      <c r="AB58" t="n">
        <v>69773.1130525465</v>
      </c>
      <c r="AC58" t="n">
        <v>72192.6029645283</v>
      </c>
      <c r="AD58" t="n">
        <v>74025.1145066657</v>
      </c>
      <c r="AE58" t="n">
        <v>75463.4</v>
      </c>
      <c r="AF58" t="n">
        <v>77829.2</v>
      </c>
    </row>
    <row r="59">
      <c r="A59" t="s">
        <v>143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144</v>
      </c>
      <c r="B2" t="s">
        <v>197</v>
      </c>
      <c r="C2" t="s">
        <v>246</v>
      </c>
      <c r="D2" t="s">
        <v>199</v>
      </c>
      <c r="E2" t="s">
        <v>247</v>
      </c>
      <c r="F2" t="n">
        <v>2345.72161381492</v>
      </c>
      <c r="G2" t="n">
        <v>2316.46425451788</v>
      </c>
      <c r="H2" t="n">
        <v>2392.46560028588</v>
      </c>
      <c r="I2" t="n">
        <v>2429.8598483462</v>
      </c>
      <c r="J2" t="n">
        <v>2573.44312002413</v>
      </c>
      <c r="K2" t="n">
        <v>2642.90763275359</v>
      </c>
      <c r="L2" t="n">
        <v>2698.25101660817</v>
      </c>
      <c r="M2" t="n">
        <v>2863.6165871105</v>
      </c>
      <c r="N2" t="n">
        <v>2884.04950182329</v>
      </c>
      <c r="O2" t="n">
        <v>3007.14613685877</v>
      </c>
      <c r="P2" t="n">
        <v>3056.48395449636</v>
      </c>
      <c r="Q2" t="n">
        <v>3105.6235679127</v>
      </c>
      <c r="R2" t="n">
        <v>3131.82533140944</v>
      </c>
      <c r="S2" t="n">
        <v>3105.43947431488</v>
      </c>
      <c r="T2" t="n">
        <v>2941.79722822052</v>
      </c>
      <c r="U2" t="n">
        <v>2769.23903489246</v>
      </c>
      <c r="V2" t="n">
        <v>2670.79180301526</v>
      </c>
      <c r="W2" t="n">
        <v>2371.89335803337</v>
      </c>
      <c r="X2" t="n">
        <v>2088.32740489399</v>
      </c>
      <c r="Y2" t="n">
        <v>1837.85525952771</v>
      </c>
      <c r="Z2" t="n">
        <v>1636.57706213582</v>
      </c>
      <c r="AA2" t="n">
        <v>1535.49559356432</v>
      </c>
      <c r="AB2" t="n">
        <v>1495.4310214417</v>
      </c>
      <c r="AC2" t="n">
        <v>1470.84323841166</v>
      </c>
      <c r="AD2" t="n">
        <v>1471.35465817467</v>
      </c>
      <c r="AE2" t="n">
        <v>1454.6</v>
      </c>
      <c r="AF2" t="n">
        <v>1485.6</v>
      </c>
    </row>
    <row r="3">
      <c r="A3" t="s">
        <v>144</v>
      </c>
      <c r="B3" t="s">
        <v>276</v>
      </c>
      <c r="C3" t="s">
        <v>246</v>
      </c>
      <c r="D3" t="s">
        <v>277</v>
      </c>
      <c r="E3" t="s">
        <v>247</v>
      </c>
      <c r="F3" t="n">
        <v>200.149934592985</v>
      </c>
      <c r="G3" t="n">
        <v>192.716325137349</v>
      </c>
      <c r="H3" t="n">
        <v>185.415178017608</v>
      </c>
      <c r="I3" t="n">
        <v>171.381081729544</v>
      </c>
      <c r="J3" t="n">
        <v>179.927244309111</v>
      </c>
      <c r="K3" t="n">
        <v>181.529835149111</v>
      </c>
      <c r="L3" t="n">
        <v>185.314627078861</v>
      </c>
      <c r="M3" t="n">
        <v>195.868788532317</v>
      </c>
      <c r="N3" t="n">
        <v>195.464657606872</v>
      </c>
      <c r="O3" t="n">
        <v>200.931268085645</v>
      </c>
      <c r="P3" t="n">
        <v>207.532163883466</v>
      </c>
      <c r="Q3" t="n">
        <v>210.391091626381</v>
      </c>
      <c r="R3" t="n">
        <v>213.722497462122</v>
      </c>
      <c r="S3" t="n">
        <v>215.240952151018</v>
      </c>
      <c r="T3" t="n">
        <v>204.627006116048</v>
      </c>
      <c r="U3" t="n">
        <v>194.692480064233</v>
      </c>
      <c r="V3" t="n">
        <v>186.412587232204</v>
      </c>
      <c r="W3" t="n">
        <v>158.411181033787</v>
      </c>
      <c r="X3" t="n">
        <v>135.416009593398</v>
      </c>
      <c r="Y3" t="n">
        <v>119.672354982616</v>
      </c>
      <c r="Z3" t="n">
        <v>106.305809225395</v>
      </c>
      <c r="AA3" t="n">
        <v>102.843742641426</v>
      </c>
      <c r="AB3" t="n">
        <v>99.0308984753615</v>
      </c>
      <c r="AC3" t="n">
        <v>99.4426693629929</v>
      </c>
      <c r="AD3" t="n">
        <v>101.6</v>
      </c>
      <c r="AE3" t="n">
        <v>101.6</v>
      </c>
      <c r="AF3" t="n">
        <v>115</v>
      </c>
    </row>
    <row r="4">
      <c r="A4" t="s">
        <v>144</v>
      </c>
      <c r="B4" t="s">
        <v>278</v>
      </c>
      <c r="C4" t="s">
        <v>246</v>
      </c>
      <c r="D4" t="s">
        <v>279</v>
      </c>
      <c r="E4" t="s">
        <v>247</v>
      </c>
      <c r="F4" t="n">
        <v>9282.89366001135</v>
      </c>
      <c r="G4" t="n">
        <v>9293.44126129153</v>
      </c>
      <c r="H4" t="n">
        <v>8965.73873381183</v>
      </c>
      <c r="I4" t="n">
        <v>9127.07670131423</v>
      </c>
      <c r="J4" t="n">
        <v>9339.18443561499</v>
      </c>
      <c r="K4" t="n">
        <v>9691.42939080744</v>
      </c>
      <c r="L4" t="n">
        <v>10067.9864604687</v>
      </c>
      <c r="M4" t="n">
        <v>10561.3485021823</v>
      </c>
      <c r="N4" t="n">
        <v>10669.2939944992</v>
      </c>
      <c r="O4" t="n">
        <v>11036.222973519</v>
      </c>
      <c r="P4" t="n">
        <v>11156.8432423776</v>
      </c>
      <c r="Q4" t="n">
        <v>11379.9289301122</v>
      </c>
      <c r="R4" t="n">
        <v>11447.7417313151</v>
      </c>
      <c r="S4" t="n">
        <v>11553.4295926893</v>
      </c>
      <c r="T4" t="n">
        <v>10860.3346413926</v>
      </c>
      <c r="U4" t="n">
        <v>10208.9271788335</v>
      </c>
      <c r="V4" t="n">
        <v>9788.26645624251</v>
      </c>
      <c r="W4" t="n">
        <v>9085.08433255443</v>
      </c>
      <c r="X4" t="n">
        <v>8045.76036735196</v>
      </c>
      <c r="Y4" t="n">
        <v>7243.31480857922</v>
      </c>
      <c r="Z4" t="n">
        <v>6621.58631650142</v>
      </c>
      <c r="AA4" t="n">
        <v>6681.49493499381</v>
      </c>
      <c r="AB4" t="n">
        <v>6740.35596743784</v>
      </c>
      <c r="AC4" t="n">
        <v>6627.00537583627</v>
      </c>
      <c r="AD4" t="n">
        <v>6062.6079806413</v>
      </c>
      <c r="AE4" t="n">
        <v>5167.3</v>
      </c>
      <c r="AF4" t="n">
        <v>4853.6</v>
      </c>
    </row>
    <row r="5">
      <c r="A5" t="s">
        <v>144</v>
      </c>
      <c r="B5" t="s">
        <v>280</v>
      </c>
      <c r="C5" t="s">
        <v>246</v>
      </c>
      <c r="D5" t="s">
        <v>281</v>
      </c>
      <c r="E5" t="s">
        <v>247</v>
      </c>
      <c r="F5" t="n">
        <v>1145.70091551618</v>
      </c>
      <c r="G5" t="n">
        <v>1154.18019961012</v>
      </c>
      <c r="H5" t="n">
        <v>1070.82443393983</v>
      </c>
      <c r="I5" t="n">
        <v>1128.93118616913</v>
      </c>
      <c r="J5" t="n">
        <v>1136.82866642456</v>
      </c>
      <c r="K5" t="n">
        <v>1189.50876061047</v>
      </c>
      <c r="L5" t="n">
        <v>1215.48653814104</v>
      </c>
      <c r="M5" t="n">
        <v>1266.75956084151</v>
      </c>
      <c r="N5" t="n">
        <v>1276.07133595655</v>
      </c>
      <c r="O5" t="n">
        <v>1310.3743288586</v>
      </c>
      <c r="P5" t="n">
        <v>1341.8082995115</v>
      </c>
      <c r="Q5" t="n">
        <v>1348.62478734266</v>
      </c>
      <c r="R5" t="n">
        <v>1361.16271217428</v>
      </c>
      <c r="S5" t="n">
        <v>1360.71210794944</v>
      </c>
      <c r="T5" t="n">
        <v>1274.64263707535</v>
      </c>
      <c r="U5" t="n">
        <v>1203.73922393857</v>
      </c>
      <c r="V5" t="n">
        <v>1153.16280250074</v>
      </c>
      <c r="W5" t="n">
        <v>1042.06208189512</v>
      </c>
      <c r="X5" t="n">
        <v>942.058062791188</v>
      </c>
      <c r="Y5" t="n">
        <v>881.07913364814</v>
      </c>
      <c r="Z5" t="n">
        <v>838.52197885609</v>
      </c>
      <c r="AA5" t="n">
        <v>843.692408178017</v>
      </c>
      <c r="AB5" t="n">
        <v>862.559618083797</v>
      </c>
      <c r="AC5" t="n">
        <v>865.537857031818</v>
      </c>
      <c r="AD5" t="n">
        <v>868.514683153014</v>
      </c>
      <c r="AE5" t="n">
        <v>838.7</v>
      </c>
      <c r="AF5"/>
    </row>
    <row r="6">
      <c r="A6" t="s">
        <v>144</v>
      </c>
      <c r="B6" t="s">
        <v>282</v>
      </c>
      <c r="C6" t="s">
        <v>246</v>
      </c>
      <c r="D6" t="s">
        <v>283</v>
      </c>
      <c r="E6" t="s">
        <v>247</v>
      </c>
      <c r="F6" t="n">
        <v>784.011916528092</v>
      </c>
      <c r="G6" t="n">
        <v>796.81613124526</v>
      </c>
      <c r="H6" t="n">
        <v>771.195033777566</v>
      </c>
      <c r="I6" t="n">
        <v>849.604258990603</v>
      </c>
      <c r="J6" t="n">
        <v>873.667417591761</v>
      </c>
      <c r="K6" t="n">
        <v>902.402276378217</v>
      </c>
      <c r="L6" t="n">
        <v>948.123011109142</v>
      </c>
      <c r="M6" t="n">
        <v>987.663083605795</v>
      </c>
      <c r="N6" t="n">
        <v>1014.27076710739</v>
      </c>
      <c r="O6" t="n">
        <v>1039.47583909258</v>
      </c>
      <c r="P6" t="n">
        <v>1067.95145784723</v>
      </c>
      <c r="Q6" t="n">
        <v>1074.6796090499</v>
      </c>
      <c r="R6" t="n">
        <v>1083.68121817187</v>
      </c>
      <c r="S6" t="n">
        <v>1087.68578847101</v>
      </c>
      <c r="T6" t="n">
        <v>1017.12320583229</v>
      </c>
      <c r="U6" t="n">
        <v>948.543559556576</v>
      </c>
      <c r="V6" t="n">
        <v>908.438962276207</v>
      </c>
      <c r="W6" t="n">
        <v>792.830453485482</v>
      </c>
      <c r="X6" t="n">
        <v>703.963743314582</v>
      </c>
      <c r="Y6" t="n">
        <v>642.238103837198</v>
      </c>
      <c r="Z6" t="n">
        <v>598.470766390515</v>
      </c>
      <c r="AA6" t="n">
        <v>590.743910222622</v>
      </c>
      <c r="AB6" t="n">
        <v>602.542373174272</v>
      </c>
      <c r="AC6" t="n">
        <v>599.665785544455</v>
      </c>
      <c r="AD6" t="n">
        <v>592.486615886834</v>
      </c>
      <c r="AE6" t="n">
        <v>552.6</v>
      </c>
      <c r="AF6"/>
    </row>
    <row r="7">
      <c r="A7" t="s">
        <v>144</v>
      </c>
      <c r="B7" t="s">
        <v>284</v>
      </c>
      <c r="C7" t="s">
        <v>246</v>
      </c>
      <c r="D7" t="s">
        <v>285</v>
      </c>
      <c r="E7" t="s">
        <v>247</v>
      </c>
      <c r="F7" t="n">
        <v>1420.57936009177</v>
      </c>
      <c r="G7" t="n">
        <v>1263.37668984664</v>
      </c>
      <c r="H7" t="n">
        <v>1079.757723259</v>
      </c>
      <c r="I7" t="n">
        <v>976.095133443072</v>
      </c>
      <c r="J7" t="n">
        <v>950.864020410307</v>
      </c>
      <c r="K7" t="n">
        <v>914.125512511438</v>
      </c>
      <c r="L7" t="n">
        <v>890.981544411684</v>
      </c>
      <c r="M7" t="n">
        <v>884.87647135445</v>
      </c>
      <c r="N7" t="n">
        <v>880.406804212157</v>
      </c>
      <c r="O7" t="n">
        <v>899.406712736794</v>
      </c>
      <c r="P7" t="n">
        <v>894.782513699587</v>
      </c>
      <c r="Q7" t="n">
        <v>891.821166276447</v>
      </c>
      <c r="R7" t="n">
        <v>900.024662387608</v>
      </c>
      <c r="S7" t="n">
        <v>903.578998953868</v>
      </c>
      <c r="T7" t="n">
        <v>846.589693998224</v>
      </c>
      <c r="U7" t="n">
        <v>792.628895434724</v>
      </c>
      <c r="V7" t="n">
        <v>757.387595549284</v>
      </c>
      <c r="W7" t="n">
        <v>661.761898599309</v>
      </c>
      <c r="X7" t="n">
        <v>583.190996694743</v>
      </c>
      <c r="Y7" t="n">
        <v>524.799936211293</v>
      </c>
      <c r="Z7" t="n">
        <v>487.232004586197</v>
      </c>
      <c r="AA7" t="n">
        <v>489.472619991903</v>
      </c>
      <c r="AB7" t="n">
        <v>497.883507426801</v>
      </c>
      <c r="AC7" t="n">
        <v>502.198634812671</v>
      </c>
      <c r="AD7" t="n">
        <v>512.263147330389</v>
      </c>
      <c r="AE7" t="n">
        <v>497</v>
      </c>
      <c r="AF7"/>
    </row>
    <row r="8">
      <c r="A8" t="s">
        <v>144</v>
      </c>
      <c r="B8" t="s">
        <v>286</v>
      </c>
      <c r="C8" t="s">
        <v>246</v>
      </c>
      <c r="D8" t="s">
        <v>287</v>
      </c>
      <c r="E8" t="s">
        <v>247</v>
      </c>
      <c r="F8" t="n">
        <v>89.4878220120131</v>
      </c>
      <c r="G8" t="n">
        <v>77.0537246377123</v>
      </c>
      <c r="H8" t="n">
        <v>68.9518788704361</v>
      </c>
      <c r="I8" t="n">
        <v>62.0734675962563</v>
      </c>
      <c r="J8" t="n">
        <v>57.2627738575464</v>
      </c>
      <c r="K8" t="n">
        <v>57.5587055053891</v>
      </c>
      <c r="L8" t="n">
        <v>55.849040985427</v>
      </c>
      <c r="M8" t="n">
        <v>57.6596083989197</v>
      </c>
      <c r="N8" t="n">
        <v>58.0704844682706</v>
      </c>
      <c r="O8" t="n">
        <v>60.1056649987007</v>
      </c>
      <c r="P8" t="n">
        <v>61.4503107481123</v>
      </c>
      <c r="Q8" t="n">
        <v>63.3004276308512</v>
      </c>
      <c r="R8" t="n">
        <v>63.4306754243303</v>
      </c>
      <c r="S8" t="n">
        <v>63.5593380519658</v>
      </c>
      <c r="T8" t="n">
        <v>60.425248404433</v>
      </c>
      <c r="U8" t="n">
        <v>57.840869144773</v>
      </c>
      <c r="V8" t="n">
        <v>55.8544150529323</v>
      </c>
      <c r="W8" t="n">
        <v>50.4080301826256</v>
      </c>
      <c r="X8" t="n">
        <v>39.9106878146974</v>
      </c>
      <c r="Y8" t="n">
        <v>34.9348098533844</v>
      </c>
      <c r="Z8" t="n">
        <v>31.1580736530186</v>
      </c>
      <c r="AA8" t="n">
        <v>30.0306433563633</v>
      </c>
      <c r="AB8" t="n">
        <v>30.6498318791749</v>
      </c>
      <c r="AC8" t="n">
        <v>30.5466337920396</v>
      </c>
      <c r="AD8" t="n">
        <v>28.901023890785</v>
      </c>
      <c r="AE8" t="n">
        <v>29.2</v>
      </c>
      <c r="AF8"/>
    </row>
    <row r="9">
      <c r="A9" t="s">
        <v>144</v>
      </c>
      <c r="B9" t="s">
        <v>288</v>
      </c>
      <c r="C9" t="s">
        <v>246</v>
      </c>
      <c r="D9" t="s">
        <v>289</v>
      </c>
      <c r="E9" t="s">
        <v>247</v>
      </c>
      <c r="F9" t="n">
        <v>190.107086950584</v>
      </c>
      <c r="G9" t="n">
        <v>191.460162302545</v>
      </c>
      <c r="H9" t="n">
        <v>208.008011548403</v>
      </c>
      <c r="I9" t="n">
        <v>219.446947060472</v>
      </c>
      <c r="J9" t="n">
        <v>230.094341467313</v>
      </c>
      <c r="K9" t="n">
        <v>250.331079666037</v>
      </c>
      <c r="L9" t="n">
        <v>256.261301815384</v>
      </c>
      <c r="M9" t="n">
        <v>271.059837050151</v>
      </c>
      <c r="N9" t="n">
        <v>279.29947447501</v>
      </c>
      <c r="O9" t="n">
        <v>294.309119491939</v>
      </c>
      <c r="P9" t="n">
        <v>288.234750777213</v>
      </c>
      <c r="Q9" t="n">
        <v>292.811768399489</v>
      </c>
      <c r="R9" t="n">
        <v>292.811768399489</v>
      </c>
      <c r="S9" t="n">
        <v>294.413708515782</v>
      </c>
      <c r="T9" t="n">
        <v>275.17390689545</v>
      </c>
      <c r="U9" t="n">
        <v>257.667813415023</v>
      </c>
      <c r="V9" t="n">
        <v>246.948832376958</v>
      </c>
      <c r="W9" t="n">
        <v>218.97660622437</v>
      </c>
      <c r="X9" t="n">
        <v>194.990500160133</v>
      </c>
      <c r="Y9" t="n">
        <v>176.215191107597</v>
      </c>
      <c r="Z9" t="n">
        <v>167.298277822634</v>
      </c>
      <c r="AA9" t="n">
        <v>164.708521199993</v>
      </c>
      <c r="AB9" t="n">
        <v>168.40522117705</v>
      </c>
      <c r="AC9" t="n">
        <v>164.603516977202</v>
      </c>
      <c r="AD9" t="n">
        <v>164.808630393996</v>
      </c>
      <c r="AE9" t="n">
        <v>160.2</v>
      </c>
      <c r="AF9"/>
    </row>
    <row r="10">
      <c r="A10" t="s">
        <v>144</v>
      </c>
      <c r="B10" t="s">
        <v>290</v>
      </c>
      <c r="C10" t="s">
        <v>246</v>
      </c>
      <c r="D10" t="s">
        <v>291</v>
      </c>
      <c r="E10" t="s">
        <v>247</v>
      </c>
      <c r="F10" t="n">
        <v>246.819254117826</v>
      </c>
      <c r="G10" t="n">
        <v>247.157826482871</v>
      </c>
      <c r="H10" t="n">
        <v>262.79876662997</v>
      </c>
      <c r="I10" t="n">
        <v>273.949631727802</v>
      </c>
      <c r="J10" t="n">
        <v>285.018303716804</v>
      </c>
      <c r="K10" t="n">
        <v>306.841660920212</v>
      </c>
      <c r="L10" t="n">
        <v>315.29842409654</v>
      </c>
      <c r="M10" t="n">
        <v>333.562285844598</v>
      </c>
      <c r="N10" t="n">
        <v>341.686121959316</v>
      </c>
      <c r="O10" t="n">
        <v>361.035916414275</v>
      </c>
      <c r="P10" t="n">
        <v>353.16917145444</v>
      </c>
      <c r="Q10" t="n">
        <v>360.216112022204</v>
      </c>
      <c r="R10" t="n">
        <v>359.868413072375</v>
      </c>
      <c r="S10" t="n">
        <v>361.700970236334</v>
      </c>
      <c r="T10" t="n">
        <v>337.848862911152</v>
      </c>
      <c r="U10" t="n">
        <v>316.069814087271</v>
      </c>
      <c r="V10" t="n">
        <v>303.196328665013</v>
      </c>
      <c r="W10" t="n">
        <v>268.381026097617</v>
      </c>
      <c r="X10" t="n">
        <v>238.445820948172</v>
      </c>
      <c r="Y10" t="n">
        <v>213.528863468138</v>
      </c>
      <c r="Z10" t="n">
        <v>200.87451349169</v>
      </c>
      <c r="AA10" t="n">
        <v>195.268713115178</v>
      </c>
      <c r="AB10" t="n">
        <v>196.295902558182</v>
      </c>
      <c r="AC10" t="n">
        <v>190.026766403183</v>
      </c>
      <c r="AD10" t="n">
        <v>189.514012041598</v>
      </c>
      <c r="AE10" t="n">
        <v>183.1</v>
      </c>
      <c r="AF10"/>
    </row>
    <row r="11">
      <c r="A11" t="s">
        <v>144</v>
      </c>
      <c r="B11" t="s">
        <v>292</v>
      </c>
      <c r="C11" t="s">
        <v>246</v>
      </c>
      <c r="D11" t="s">
        <v>293</v>
      </c>
      <c r="E11" t="s">
        <v>247</v>
      </c>
      <c r="F11" t="n">
        <v>56.9119420679115</v>
      </c>
      <c r="G11" t="n">
        <v>55.8895718511226</v>
      </c>
      <c r="H11" t="n">
        <v>54.9528751161876</v>
      </c>
      <c r="I11" t="n">
        <v>54.6492680713468</v>
      </c>
      <c r="J11" t="n">
        <v>55.0664380566243</v>
      </c>
      <c r="K11" t="n">
        <v>56.6510837560955</v>
      </c>
      <c r="L11" t="n">
        <v>59.1858078615136</v>
      </c>
      <c r="M11" t="n">
        <v>62.6600271909106</v>
      </c>
      <c r="N11" t="n">
        <v>62.538120523224</v>
      </c>
      <c r="O11" t="n">
        <v>66.8928058981487</v>
      </c>
      <c r="P11" t="n">
        <v>65.0946121912092</v>
      </c>
      <c r="Q11" t="n">
        <v>67.5755320750847</v>
      </c>
      <c r="R11" t="n">
        <v>67.2253997845402</v>
      </c>
      <c r="S11" t="n">
        <v>67.4560186517256</v>
      </c>
      <c r="T11" t="n">
        <v>62.8311076739317</v>
      </c>
      <c r="U11" t="n">
        <v>58.5471685143455</v>
      </c>
      <c r="V11" t="n">
        <v>56.3863767062589</v>
      </c>
      <c r="W11" t="n">
        <v>49.5228664330251</v>
      </c>
      <c r="X11" t="n">
        <v>43.5549945795739</v>
      </c>
      <c r="Y11" t="n">
        <v>37.378491680759</v>
      </c>
      <c r="Z11" t="n">
        <v>33.6191606209126</v>
      </c>
      <c r="AA11" t="n">
        <v>30.5724241896424</v>
      </c>
      <c r="AB11" t="n">
        <v>27.8960503548589</v>
      </c>
      <c r="AC11" t="n">
        <v>25.4255514304433</v>
      </c>
      <c r="AD11" t="n">
        <v>24.7078947368421</v>
      </c>
      <c r="AE11" t="n">
        <v>22.9</v>
      </c>
      <c r="AF11"/>
    </row>
    <row r="12">
      <c r="A12" t="s">
        <v>144</v>
      </c>
      <c r="B12" t="s">
        <v>294</v>
      </c>
      <c r="C12" t="s">
        <v>246</v>
      </c>
      <c r="D12" t="s">
        <v>295</v>
      </c>
      <c r="E12" t="s">
        <v>247</v>
      </c>
      <c r="F12" t="n">
        <v>1457.03576155905</v>
      </c>
      <c r="G12" t="n">
        <v>1349.87536153928</v>
      </c>
      <c r="H12" t="n">
        <v>1266.10089530792</v>
      </c>
      <c r="I12" t="n">
        <v>1197.49671607</v>
      </c>
      <c r="J12" t="n">
        <v>1174.98258838227</v>
      </c>
      <c r="K12" t="n">
        <v>1135.23716198934</v>
      </c>
      <c r="L12" t="n">
        <v>1108.05050398754</v>
      </c>
      <c r="M12" t="n">
        <v>1126.02231113388</v>
      </c>
      <c r="N12" t="n">
        <v>1115.7009580887</v>
      </c>
      <c r="O12" t="n">
        <v>1136.88671264724</v>
      </c>
      <c r="P12" t="n">
        <v>1131.63691360903</v>
      </c>
      <c r="Q12" t="n">
        <v>1160.13526113058</v>
      </c>
      <c r="R12" t="n">
        <v>1165.82859438222</v>
      </c>
      <c r="S12" t="n">
        <v>1185.0500570824</v>
      </c>
      <c r="T12" t="n">
        <v>1121.1727452729</v>
      </c>
      <c r="U12" t="n">
        <v>1061.15399214892</v>
      </c>
      <c r="V12" t="n">
        <v>1019.26354372809</v>
      </c>
      <c r="W12" t="n">
        <v>905.976714008261</v>
      </c>
      <c r="X12" t="n">
        <v>792.524652649986</v>
      </c>
      <c r="Y12" t="n">
        <v>710.525045031132</v>
      </c>
      <c r="Z12" t="n">
        <v>646.877125254508</v>
      </c>
      <c r="AA12" t="n">
        <v>636.119745122781</v>
      </c>
      <c r="AB12" t="n">
        <v>652.859738415486</v>
      </c>
      <c r="AC12" t="n">
        <v>658.81817505248</v>
      </c>
      <c r="AD12" t="n">
        <v>683.746984852815</v>
      </c>
      <c r="AE12" t="n">
        <v>697.4</v>
      </c>
      <c r="AF12"/>
    </row>
    <row r="13">
      <c r="A13" t="s">
        <v>144</v>
      </c>
      <c r="B13" t="s">
        <v>296</v>
      </c>
      <c r="C13" t="s">
        <v>246</v>
      </c>
      <c r="D13" t="s">
        <v>297</v>
      </c>
      <c r="E13" t="s">
        <v>247</v>
      </c>
      <c r="F13" t="n">
        <v>1345.09428783477</v>
      </c>
      <c r="G13" t="n">
        <v>1503.26281663797</v>
      </c>
      <c r="H13" t="n">
        <v>1456.53240207151</v>
      </c>
      <c r="I13" t="n">
        <v>1552.09107338287</v>
      </c>
      <c r="J13" t="n">
        <v>1663.63403305088</v>
      </c>
      <c r="K13" t="n">
        <v>1749.05131562402</v>
      </c>
      <c r="L13" t="n">
        <v>1863.84096088552</v>
      </c>
      <c r="M13" t="n">
        <v>1978.74024758857</v>
      </c>
      <c r="N13" t="n">
        <v>2007.80258554147</v>
      </c>
      <c r="O13" t="n">
        <v>2092.81392700515</v>
      </c>
      <c r="P13" t="n">
        <v>2088.01389506248</v>
      </c>
      <c r="Q13" t="n">
        <v>2124.62955727875</v>
      </c>
      <c r="R13" t="n">
        <v>2145.18535960222</v>
      </c>
      <c r="S13" t="n">
        <v>2174.36239420656</v>
      </c>
      <c r="T13" t="n">
        <v>2050.4139754277</v>
      </c>
      <c r="U13" t="n">
        <v>1929.84563621959</v>
      </c>
      <c r="V13" t="n">
        <v>1851.1572388886</v>
      </c>
      <c r="W13" t="n">
        <v>1626.72832072626</v>
      </c>
      <c r="X13" t="n">
        <v>1442.29944622814</v>
      </c>
      <c r="Y13" t="n">
        <v>1307.64063553462</v>
      </c>
      <c r="Z13" t="n">
        <v>1207.39203579667</v>
      </c>
      <c r="AA13" t="n">
        <v>1203.09235244043</v>
      </c>
      <c r="AB13" t="n">
        <v>1235.9440934406</v>
      </c>
      <c r="AC13" t="n">
        <v>1253.20703056215</v>
      </c>
      <c r="AD13" t="n">
        <v>1271.47804796244</v>
      </c>
      <c r="AE13" t="n">
        <v>1190.8</v>
      </c>
      <c r="AF13"/>
    </row>
    <row r="14">
      <c r="A14" t="s">
        <v>144</v>
      </c>
      <c r="B14" t="s">
        <v>298</v>
      </c>
      <c r="C14" t="s">
        <v>246</v>
      </c>
      <c r="D14" t="s">
        <v>299</v>
      </c>
      <c r="E14" t="s">
        <v>247</v>
      </c>
      <c r="F14" t="n">
        <v>92.8739471654162</v>
      </c>
      <c r="G14" t="n">
        <v>111.448736598499</v>
      </c>
      <c r="H14" t="n">
        <v>118.549348625551</v>
      </c>
      <c r="I14" t="n">
        <v>123.951597423677</v>
      </c>
      <c r="J14" t="n">
        <v>133.994290666661</v>
      </c>
      <c r="K14" t="n">
        <v>150.07360554666</v>
      </c>
      <c r="L14" t="n">
        <v>164.378280322847</v>
      </c>
      <c r="M14" t="n">
        <v>176.154634734036</v>
      </c>
      <c r="N14" t="n">
        <v>179.769298921465</v>
      </c>
      <c r="O14" t="n">
        <v>185.263908722387</v>
      </c>
      <c r="P14" t="n">
        <v>191.54605022097</v>
      </c>
      <c r="Q14" t="n">
        <v>194.582755895205</v>
      </c>
      <c r="R14" t="n">
        <v>197.003512929446</v>
      </c>
      <c r="S14" t="n">
        <v>198.256860900658</v>
      </c>
      <c r="T14" t="n">
        <v>185.559511382301</v>
      </c>
      <c r="U14" t="n">
        <v>173.058431236452</v>
      </c>
      <c r="V14" t="n">
        <v>165.911475374179</v>
      </c>
      <c r="W14" t="n">
        <v>149.341040879879</v>
      </c>
      <c r="X14" t="n">
        <v>132.264622484051</v>
      </c>
      <c r="Y14" t="n">
        <v>117.860605568061</v>
      </c>
      <c r="Z14" t="n">
        <v>108.802602427659</v>
      </c>
      <c r="AA14" t="n">
        <v>106.100723093257</v>
      </c>
      <c r="AB14" t="n">
        <v>106.306145596825</v>
      </c>
      <c r="AC14" t="n">
        <v>103.532941798647</v>
      </c>
      <c r="AD14" t="n">
        <v>102.405355303811</v>
      </c>
      <c r="AE14" t="n">
        <v>97.2</v>
      </c>
      <c r="AF14"/>
    </row>
    <row r="15">
      <c r="A15" t="s">
        <v>144</v>
      </c>
      <c r="B15" t="s">
        <v>300</v>
      </c>
      <c r="C15" t="s">
        <v>246</v>
      </c>
      <c r="D15" t="s">
        <v>301</v>
      </c>
      <c r="E15" t="s">
        <v>247</v>
      </c>
      <c r="F15" t="n">
        <v>288.843468576736</v>
      </c>
      <c r="G15" t="n">
        <v>311.686103914037</v>
      </c>
      <c r="H15" t="n">
        <v>350.571214936322</v>
      </c>
      <c r="I15" t="n">
        <v>358.809564930629</v>
      </c>
      <c r="J15" t="n">
        <v>401.030389676226</v>
      </c>
      <c r="K15" t="n">
        <v>435.495940737856</v>
      </c>
      <c r="L15" t="n">
        <v>464.512609855342</v>
      </c>
      <c r="M15" t="n">
        <v>498.524788015513</v>
      </c>
      <c r="N15" t="n">
        <v>505.609460512181</v>
      </c>
      <c r="O15" t="n">
        <v>527.734996061336</v>
      </c>
      <c r="P15" t="n">
        <v>538.073630146623</v>
      </c>
      <c r="Q15" t="n">
        <v>552.72443309467</v>
      </c>
      <c r="R15" t="n">
        <v>554.418521058793</v>
      </c>
      <c r="S15" t="n">
        <v>558.772593213705</v>
      </c>
      <c r="T15" t="n">
        <v>522.648818144616</v>
      </c>
      <c r="U15" t="n">
        <v>488.423956736125</v>
      </c>
      <c r="V15" t="n">
        <v>468.273460984081</v>
      </c>
      <c r="W15" t="n">
        <v>410.297713754699</v>
      </c>
      <c r="X15" t="n">
        <v>362.37823139638</v>
      </c>
      <c r="Y15" t="n">
        <v>325.398728970806</v>
      </c>
      <c r="Z15" t="n">
        <v>300.180592371961</v>
      </c>
      <c r="AA15" t="n">
        <v>295.635531785462</v>
      </c>
      <c r="AB15" t="n">
        <v>298.30353727884</v>
      </c>
      <c r="AC15" t="n">
        <v>294.811002751471</v>
      </c>
      <c r="AD15" t="n">
        <v>295.016088666428</v>
      </c>
      <c r="AE15" t="n">
        <v>280</v>
      </c>
      <c r="AF15"/>
    </row>
    <row r="16">
      <c r="A16" t="s">
        <v>144</v>
      </c>
      <c r="B16" t="s">
        <v>302</v>
      </c>
      <c r="C16" t="s">
        <v>246</v>
      </c>
      <c r="D16" t="s">
        <v>303</v>
      </c>
      <c r="E16" t="s">
        <v>247</v>
      </c>
      <c r="F16" t="n">
        <v>195.605339417786</v>
      </c>
      <c r="G16" t="n">
        <v>200.188560759793</v>
      </c>
      <c r="H16" t="n">
        <v>231.75790778544</v>
      </c>
      <c r="I16" t="n">
        <v>234.66761158689</v>
      </c>
      <c r="J16" t="n">
        <v>266.685932667534</v>
      </c>
      <c r="K16" t="n">
        <v>285.182914220722</v>
      </c>
      <c r="L16" t="n">
        <v>300.013398250956</v>
      </c>
      <c r="M16" t="n">
        <v>322.23221229964</v>
      </c>
      <c r="N16" t="n">
        <v>325.734736346375</v>
      </c>
      <c r="O16" t="n">
        <v>342.287709799656</v>
      </c>
      <c r="P16" t="n">
        <v>346.422729112672</v>
      </c>
      <c r="Q16" t="n">
        <v>357.966380981176</v>
      </c>
      <c r="R16" t="n">
        <v>357.296450137169</v>
      </c>
      <c r="S16" t="n">
        <v>360.387058911912</v>
      </c>
      <c r="T16" t="n">
        <v>336.972690114341</v>
      </c>
      <c r="U16" t="n">
        <v>315.246125430913</v>
      </c>
      <c r="V16" t="n">
        <v>302.247308172037</v>
      </c>
      <c r="W16" t="n">
        <v>260.97699466416</v>
      </c>
      <c r="X16" t="n">
        <v>230.135190426268</v>
      </c>
      <c r="Y16" t="n">
        <v>207.548425920388</v>
      </c>
      <c r="Z16" t="n">
        <v>191.388166802923</v>
      </c>
      <c r="AA16" t="n">
        <v>189.535026941464</v>
      </c>
      <c r="AB16" t="n">
        <v>191.996520797846</v>
      </c>
      <c r="AC16" t="n">
        <v>191.27743270497</v>
      </c>
      <c r="AD16" t="n">
        <v>192.610733844469</v>
      </c>
      <c r="AE16" t="n">
        <v>182.8</v>
      </c>
      <c r="AF16"/>
    </row>
    <row r="17">
      <c r="A17" t="s">
        <v>144</v>
      </c>
      <c r="B17" t="s">
        <v>304</v>
      </c>
      <c r="C17" t="s">
        <v>246</v>
      </c>
      <c r="D17" t="s">
        <v>305</v>
      </c>
      <c r="E17" t="s">
        <v>247</v>
      </c>
      <c r="F17" t="n">
        <v>782.901990713779</v>
      </c>
      <c r="G17" t="n">
        <v>821.846517578918</v>
      </c>
      <c r="H17" t="n">
        <v>908.316259570495</v>
      </c>
      <c r="I17" t="n">
        <v>938.141124439005</v>
      </c>
      <c r="J17" t="n">
        <v>962.097178981475</v>
      </c>
      <c r="K17" t="n">
        <v>1059.26414226691</v>
      </c>
      <c r="L17" t="n">
        <v>1151.73057269226</v>
      </c>
      <c r="M17" t="n">
        <v>1248.49708926201</v>
      </c>
      <c r="N17" t="n">
        <v>1279.55242723533</v>
      </c>
      <c r="O17" t="n">
        <v>1339.93014686145</v>
      </c>
      <c r="P17" t="n">
        <v>1363.32518709292</v>
      </c>
      <c r="Q17" t="n">
        <v>1421.79842728927</v>
      </c>
      <c r="R17" t="n">
        <v>1425.02115504481</v>
      </c>
      <c r="S17" t="n">
        <v>1449.35522200775</v>
      </c>
      <c r="T17" t="n">
        <v>1369.31719778275</v>
      </c>
      <c r="U17" t="n">
        <v>1290.67214036495</v>
      </c>
      <c r="V17" t="n">
        <v>1239.28417275607</v>
      </c>
      <c r="W17" t="n">
        <v>1098.28467035077</v>
      </c>
      <c r="X17" t="n">
        <v>983.74661323031</v>
      </c>
      <c r="Y17" t="n">
        <v>901.402914941271</v>
      </c>
      <c r="Z17" t="n">
        <v>841.89220602075</v>
      </c>
      <c r="AA17" t="n">
        <v>840.040763173056</v>
      </c>
      <c r="AB17" t="n">
        <v>861.609238569357</v>
      </c>
      <c r="AC17" t="n">
        <v>866.953188999415</v>
      </c>
      <c r="AD17" t="n">
        <v>876.7</v>
      </c>
      <c r="AE17" t="n">
        <v>809</v>
      </c>
      <c r="AF17"/>
    </row>
    <row r="18">
      <c r="A18" t="s">
        <v>144</v>
      </c>
      <c r="B18" t="s">
        <v>306</v>
      </c>
      <c r="C18" t="s">
        <v>246</v>
      </c>
      <c r="D18" t="s">
        <v>307</v>
      </c>
      <c r="E18" t="s">
        <v>247</v>
      </c>
      <c r="F18" t="n">
        <v>592.290249515809</v>
      </c>
      <c r="G18" t="n">
        <v>610.99604543128</v>
      </c>
      <c r="H18" t="n">
        <v>624.815018995154</v>
      </c>
      <c r="I18" t="n">
        <v>629.455130531865</v>
      </c>
      <c r="J18" t="n">
        <v>641.37885961818</v>
      </c>
      <c r="K18" t="n">
        <v>681.832480401605</v>
      </c>
      <c r="L18" t="n">
        <v>733.991589706775</v>
      </c>
      <c r="M18" t="n">
        <v>778.80647459308</v>
      </c>
      <c r="N18" t="n">
        <v>774.674190197958</v>
      </c>
      <c r="O18" t="n">
        <v>815.486917972218</v>
      </c>
      <c r="P18" t="n">
        <v>857.2319305773</v>
      </c>
      <c r="Q18" t="n">
        <v>879.606458949032</v>
      </c>
      <c r="R18" t="n">
        <v>882.566435815938</v>
      </c>
      <c r="S18" t="n">
        <v>890.611930949067</v>
      </c>
      <c r="T18" t="n">
        <v>836.653497791393</v>
      </c>
      <c r="U18" t="n">
        <v>783.512337473024</v>
      </c>
      <c r="V18" t="n">
        <v>752.246183082444</v>
      </c>
      <c r="W18" t="n">
        <v>1121.16890563464</v>
      </c>
      <c r="X18" t="n">
        <v>959.487590811959</v>
      </c>
      <c r="Y18" t="n">
        <v>768.495051074768</v>
      </c>
      <c r="Z18" t="n">
        <v>576.679838246283</v>
      </c>
      <c r="AA18" t="n">
        <v>628.892879792626</v>
      </c>
      <c r="AB18" t="n">
        <v>525.847077491824</v>
      </c>
      <c r="AC18" t="n">
        <v>356.539860817609</v>
      </c>
      <c r="AD18" t="n">
        <v>-306.730649051064</v>
      </c>
      <c r="AE18" t="n">
        <v>-962.9</v>
      </c>
      <c r="AF18"/>
    </row>
    <row r="19">
      <c r="A19" t="s">
        <v>144</v>
      </c>
      <c r="B19" t="s">
        <v>308</v>
      </c>
      <c r="C19" t="s">
        <v>246</v>
      </c>
      <c r="D19" t="s">
        <v>309</v>
      </c>
      <c r="E19" t="s">
        <v>247</v>
      </c>
      <c r="F19" t="n">
        <v>1117.80466459883</v>
      </c>
      <c r="G19" t="n">
        <v>1140.887129153</v>
      </c>
      <c r="H19" t="n">
        <v>1093.78086534251</v>
      </c>
      <c r="I19" t="n">
        <v>1143.19132071715</v>
      </c>
      <c r="J19" t="n">
        <v>1172.05779128524</v>
      </c>
      <c r="K19" t="n">
        <v>1237.78416817316</v>
      </c>
      <c r="L19" t="n">
        <v>1296.42869963612</v>
      </c>
      <c r="M19" t="n">
        <v>1375.14254003089</v>
      </c>
      <c r="N19" t="n">
        <v>1388.53378706275</v>
      </c>
      <c r="O19" t="n">
        <v>1426.40497060904</v>
      </c>
      <c r="P19" t="n">
        <v>1434.57660952405</v>
      </c>
      <c r="Q19" t="n">
        <v>1478.07234616512</v>
      </c>
      <c r="R19" t="n">
        <v>1481.82351879851</v>
      </c>
      <c r="S19" t="n">
        <v>1493.60219989296</v>
      </c>
      <c r="T19" t="n">
        <v>1401.07816981109</v>
      </c>
      <c r="U19" t="n">
        <v>1315.8640802752</v>
      </c>
      <c r="V19" t="n">
        <v>1260.53686017102</v>
      </c>
      <c r="W19" t="n">
        <v>1120.87983565048</v>
      </c>
      <c r="X19" t="n">
        <v>1007.94636083009</v>
      </c>
      <c r="Y19" t="n">
        <v>940.07049871555</v>
      </c>
      <c r="Z19" t="n">
        <v>900.801071788596</v>
      </c>
      <c r="AA19" t="n">
        <v>936.120650943098</v>
      </c>
      <c r="AB19" t="n">
        <v>985.141868203264</v>
      </c>
      <c r="AC19" t="n">
        <v>1016.4863570205</v>
      </c>
      <c r="AD19" t="n">
        <v>1060.17193713312</v>
      </c>
      <c r="AE19" t="n">
        <v>1052.4</v>
      </c>
      <c r="AF19"/>
    </row>
    <row r="20">
      <c r="A20" t="s">
        <v>144</v>
      </c>
      <c r="B20" t="s">
        <v>310</v>
      </c>
      <c r="C20" t="s">
        <v>246</v>
      </c>
      <c r="D20" t="s">
        <v>311</v>
      </c>
      <c r="E20" t="s">
        <v>247</v>
      </c>
      <c r="F20" t="n">
        <v>832.925021603858</v>
      </c>
      <c r="G20" t="n">
        <v>744.50919952042</v>
      </c>
      <c r="H20" t="n">
        <v>632.777972566503</v>
      </c>
      <c r="I20" t="n">
        <v>552.362120048992</v>
      </c>
      <c r="J20" t="n">
        <v>535.175642455016</v>
      </c>
      <c r="K20" t="n">
        <v>502.955475122601</v>
      </c>
      <c r="L20" t="n">
        <v>479.451682490467</v>
      </c>
      <c r="M20" t="n">
        <v>466.144042180441</v>
      </c>
      <c r="N20" t="n">
        <v>449.985039924384</v>
      </c>
      <c r="O20" t="n">
        <v>437.889324759433</v>
      </c>
      <c r="P20" t="n">
        <v>423.353579539203</v>
      </c>
      <c r="Q20" t="n">
        <v>410.824795477305</v>
      </c>
      <c r="R20" t="n">
        <v>425.181892311516</v>
      </c>
      <c r="S20" t="n">
        <v>428.43820877342</v>
      </c>
      <c r="T20" t="n">
        <v>406.743697141468</v>
      </c>
      <c r="U20" t="n">
        <v>387.09855699413</v>
      </c>
      <c r="V20" t="n">
        <v>372.29150836594</v>
      </c>
      <c r="W20" t="n">
        <v>342.756241891962</v>
      </c>
      <c r="X20" t="n">
        <v>296.035301776927</v>
      </c>
      <c r="Y20" t="n">
        <v>257.883765149458</v>
      </c>
      <c r="Z20" t="n">
        <v>229.474618663481</v>
      </c>
      <c r="AA20" t="n">
        <v>223.256070578864</v>
      </c>
      <c r="AB20" t="n">
        <v>214.960776213319</v>
      </c>
      <c r="AC20" t="n">
        <v>209.9354527236</v>
      </c>
      <c r="AD20" t="n">
        <v>195.987616099071</v>
      </c>
      <c r="AE20" t="n">
        <v>193</v>
      </c>
      <c r="AF20" t="n">
        <v>187.9</v>
      </c>
    </row>
    <row r="21">
      <c r="A21" t="s">
        <v>144</v>
      </c>
      <c r="B21" t="s">
        <v>312</v>
      </c>
      <c r="C21" t="s">
        <v>246</v>
      </c>
      <c r="D21" t="s">
        <v>313</v>
      </c>
      <c r="E21" t="s">
        <v>247</v>
      </c>
      <c r="F21" t="n">
        <v>2218.82074434441</v>
      </c>
      <c r="G21" t="n">
        <v>2170.68627536056</v>
      </c>
      <c r="H21" t="n">
        <v>2122.43426336211</v>
      </c>
      <c r="I21" t="n">
        <v>2188.38201066262</v>
      </c>
      <c r="J21" t="n">
        <v>2262.33473832015</v>
      </c>
      <c r="K21" t="n">
        <v>2346.51985634248</v>
      </c>
      <c r="L21" t="n">
        <v>2469.07608467489</v>
      </c>
      <c r="M21" t="n">
        <v>2603.40986983865</v>
      </c>
      <c r="N21" t="n">
        <v>2656.17818741954</v>
      </c>
      <c r="O21" t="n">
        <v>2705.71363917063</v>
      </c>
      <c r="P21" t="n">
        <v>2733.80810986489</v>
      </c>
      <c r="Q21" t="n">
        <v>2782.75128619077</v>
      </c>
      <c r="R21" t="n">
        <v>2814.46882568655</v>
      </c>
      <c r="S21" t="n">
        <v>2827.7549712907</v>
      </c>
      <c r="T21" t="n">
        <v>2679.76476580961</v>
      </c>
      <c r="U21" t="n">
        <v>2565.67750685955</v>
      </c>
      <c r="V21" t="n">
        <v>2467.66360885154</v>
      </c>
      <c r="W21" t="n">
        <v>2308.22492828315</v>
      </c>
      <c r="X21" t="n">
        <v>2127.9739687173</v>
      </c>
      <c r="Y21" t="n">
        <v>1980.17676343685</v>
      </c>
      <c r="Z21" t="n">
        <v>1905.04331814874</v>
      </c>
      <c r="AA21" t="n">
        <v>1896.35187383252</v>
      </c>
      <c r="AB21" t="n">
        <v>1909.30046409442</v>
      </c>
      <c r="AC21" t="n">
        <v>1990.90592076078</v>
      </c>
      <c r="AD21" t="n">
        <v>2123.934307706</v>
      </c>
      <c r="AE21" t="n">
        <v>2232.5</v>
      </c>
      <c r="AF21" t="n">
        <v>2403.1</v>
      </c>
    </row>
    <row r="22">
      <c r="A22" t="s">
        <v>144</v>
      </c>
      <c r="B22" t="s">
        <v>314</v>
      </c>
      <c r="C22" t="s">
        <v>246</v>
      </c>
      <c r="D22" t="s">
        <v>315</v>
      </c>
      <c r="E22" t="s">
        <v>247</v>
      </c>
      <c r="F22" t="n">
        <v>1359.62038464566</v>
      </c>
      <c r="G22" t="n">
        <v>1403.71618090444</v>
      </c>
      <c r="H22" t="n">
        <v>1472.58394658731</v>
      </c>
      <c r="I22" t="n">
        <v>1623.28932598764</v>
      </c>
      <c r="J22" t="n">
        <v>1715.9299460184</v>
      </c>
      <c r="K22" t="n">
        <v>1834.9875390059</v>
      </c>
      <c r="L22" t="n">
        <v>1983.62302828167</v>
      </c>
      <c r="M22" t="n">
        <v>2133.34047951647</v>
      </c>
      <c r="N22" t="n">
        <v>2203.7494837481</v>
      </c>
      <c r="O22" t="n">
        <v>2266.56573409297</v>
      </c>
      <c r="P22" t="n">
        <v>2310.30895189396</v>
      </c>
      <c r="Q22" t="n">
        <v>2372.95454779049</v>
      </c>
      <c r="R22" t="n">
        <v>2389.76458420502</v>
      </c>
      <c r="S22" t="n">
        <v>2399.72501084496</v>
      </c>
      <c r="T22" t="n">
        <v>2273.36685320821</v>
      </c>
      <c r="U22" t="n">
        <v>2179.04117079721</v>
      </c>
      <c r="V22" t="n">
        <v>2095.8177930907</v>
      </c>
      <c r="W22" t="n">
        <v>1966.09852987346</v>
      </c>
      <c r="X22" t="n">
        <v>1832.35445986766</v>
      </c>
      <c r="Y22" t="n">
        <v>1722.44982715317</v>
      </c>
      <c r="Z22" t="n">
        <v>1675.5352551813</v>
      </c>
      <c r="AA22" t="n">
        <v>1673.01170669166</v>
      </c>
      <c r="AB22" t="n">
        <v>1694.29318050013</v>
      </c>
      <c r="AC22" t="n">
        <v>1780.95595285384</v>
      </c>
      <c r="AD22" t="n">
        <v>1927.98191157854</v>
      </c>
      <c r="AE22" t="n">
        <v>2039.5</v>
      </c>
      <c r="AF22" t="n">
        <v>2215.2</v>
      </c>
    </row>
    <row r="23">
      <c r="A23" t="s">
        <v>144</v>
      </c>
      <c r="B23" t="s">
        <v>316</v>
      </c>
      <c r="C23" t="s">
        <v>246</v>
      </c>
      <c r="D23" t="s">
        <v>317</v>
      </c>
      <c r="E23" t="s">
        <v>247</v>
      </c>
      <c r="F23" t="n">
        <v>6749.66618294335</v>
      </c>
      <c r="G23" t="n">
        <v>6794.21251119051</v>
      </c>
      <c r="H23" t="n">
        <v>6549.67228000496</v>
      </c>
      <c r="I23" t="n">
        <v>7086.22529834385</v>
      </c>
      <c r="J23" t="n">
        <v>7173.98746239958</v>
      </c>
      <c r="K23" t="n">
        <v>7442.01928179735</v>
      </c>
      <c r="L23" t="n">
        <v>7862.87104929447</v>
      </c>
      <c r="M23" t="n">
        <v>8528.1918259712</v>
      </c>
      <c r="N23" t="n">
        <v>8866.05237924515</v>
      </c>
      <c r="O23" t="n">
        <v>9281.70491683841</v>
      </c>
      <c r="P23" t="n">
        <v>9398.51756770319</v>
      </c>
      <c r="Q23" t="n">
        <v>9697.91003912763</v>
      </c>
      <c r="R23" t="n">
        <v>9834.82355413263</v>
      </c>
      <c r="S23" t="n">
        <v>9929.96143918082</v>
      </c>
      <c r="T23" t="n">
        <v>9383.13786858336</v>
      </c>
      <c r="U23" t="n">
        <v>8883.58910731074</v>
      </c>
      <c r="V23" t="n">
        <v>8509.12616537769</v>
      </c>
      <c r="W23" t="n">
        <v>7541.43170250279</v>
      </c>
      <c r="X23" t="n">
        <v>6683.43891426527</v>
      </c>
      <c r="Y23" t="n">
        <v>5973.35387946224</v>
      </c>
      <c r="Z23" t="n">
        <v>5489.59525459642</v>
      </c>
      <c r="AA23" t="n">
        <v>5574.3781998987</v>
      </c>
      <c r="AB23" t="n">
        <v>5757.56987732149</v>
      </c>
      <c r="AC23" t="n">
        <v>5995.93602378257</v>
      </c>
      <c r="AD23" t="n">
        <v>6317.57838770004</v>
      </c>
      <c r="AE23" t="n">
        <v>6485.9</v>
      </c>
      <c r="AF23" t="n">
        <v>7049.5</v>
      </c>
    </row>
    <row r="24">
      <c r="A24" t="s">
        <v>144</v>
      </c>
      <c r="B24" t="s">
        <v>318</v>
      </c>
      <c r="C24" t="s">
        <v>246</v>
      </c>
      <c r="D24" t="s">
        <v>319</v>
      </c>
      <c r="E24" t="s">
        <v>247</v>
      </c>
      <c r="F24" t="n">
        <v>13163.2618885209</v>
      </c>
      <c r="G24" t="n">
        <v>13672.067947463</v>
      </c>
      <c r="H24" t="n">
        <v>13834.75187335</v>
      </c>
      <c r="I24" t="n">
        <v>14692.5958607006</v>
      </c>
      <c r="J24" t="n">
        <v>15990.8893174572</v>
      </c>
      <c r="K24" t="n">
        <v>16890.6603621421</v>
      </c>
      <c r="L24" t="n">
        <v>17796.5296008011</v>
      </c>
      <c r="M24" t="n">
        <v>18723.6212888981</v>
      </c>
      <c r="N24" t="n">
        <v>19148.7529078166</v>
      </c>
      <c r="O24" t="n">
        <v>19898.0010837793</v>
      </c>
      <c r="P24" t="n">
        <v>20353.6594283611</v>
      </c>
      <c r="Q24" t="n">
        <v>20776.921013687</v>
      </c>
      <c r="R24" t="n">
        <v>21073.8655918752</v>
      </c>
      <c r="S24" t="n">
        <v>20944.6493698731</v>
      </c>
      <c r="T24" t="n">
        <v>19835.7971374712</v>
      </c>
      <c r="U24" t="n">
        <v>18698.3745086481</v>
      </c>
      <c r="V24" t="n">
        <v>17927.502454413</v>
      </c>
      <c r="W24" t="n">
        <v>15778.6675605041</v>
      </c>
      <c r="X24" t="n">
        <v>14217.4425697812</v>
      </c>
      <c r="Y24" t="n">
        <v>12908.3290608588</v>
      </c>
      <c r="Z24" t="n">
        <v>11966.3355667548</v>
      </c>
      <c r="AA24" t="n">
        <v>12419.5518632834</v>
      </c>
      <c r="AB24" t="n">
        <v>12519.5505696755</v>
      </c>
      <c r="AC24" t="n">
        <v>13215.2975386058</v>
      </c>
      <c r="AD24" t="n">
        <v>14207.8498437277</v>
      </c>
      <c r="AE24" t="n">
        <v>14003.7</v>
      </c>
      <c r="AF24" t="n">
        <v>13777.7</v>
      </c>
    </row>
    <row r="25">
      <c r="A25" t="s">
        <v>144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144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144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144</v>
      </c>
      <c r="B28" t="s">
        <v>326</v>
      </c>
      <c r="C28" t="s">
        <v>246</v>
      </c>
      <c r="D28" t="s">
        <v>327</v>
      </c>
      <c r="E28" t="s">
        <v>247</v>
      </c>
      <c r="F28" t="n">
        <v>55113.9819318616</v>
      </c>
      <c r="G28" t="n">
        <v>55841.1447689515</v>
      </c>
      <c r="H28" t="n">
        <v>57263.7105832623</v>
      </c>
      <c r="I28" t="n">
        <v>58695.5478505886</v>
      </c>
      <c r="J28" t="n">
        <v>61065.3285552369</v>
      </c>
      <c r="K28" t="n">
        <v>63263.4127244983</v>
      </c>
      <c r="L28" t="n">
        <v>64845.351883097</v>
      </c>
      <c r="M28" t="n">
        <v>66939.6267167964</v>
      </c>
      <c r="N28" t="n">
        <v>69149.535488163</v>
      </c>
      <c r="O28" t="n">
        <v>71097.4598497351</v>
      </c>
      <c r="P28" t="n">
        <v>71806.3972717325</v>
      </c>
      <c r="Q28" t="n">
        <v>73553.4115850165</v>
      </c>
      <c r="R28" t="n">
        <v>73639.4187919086</v>
      </c>
      <c r="S28" t="n">
        <v>74697.4436650056</v>
      </c>
      <c r="T28" t="n">
        <v>75436.1035770531</v>
      </c>
      <c r="U28" t="n">
        <v>75020.1170246635</v>
      </c>
      <c r="V28" t="n">
        <v>74633.6164719581</v>
      </c>
      <c r="W28" t="n">
        <v>72748.694248682</v>
      </c>
      <c r="X28" t="n">
        <v>69211.3706728205</v>
      </c>
      <c r="Y28" t="n">
        <v>65881.0802549294</v>
      </c>
      <c r="Z28" t="n">
        <v>64161.1957626573</v>
      </c>
      <c r="AA28" t="n">
        <v>62597.1563548705</v>
      </c>
      <c r="AB28" t="n">
        <v>61192.3138999216</v>
      </c>
      <c r="AC28" t="n">
        <v>60851.0109803804</v>
      </c>
      <c r="AD28" t="n">
        <v>61127.7953650965</v>
      </c>
      <c r="AE28" t="n">
        <v>59542.2</v>
      </c>
      <c r="AF28" t="n">
        <v>59917.7</v>
      </c>
    </row>
    <row r="29">
      <c r="A29" t="s">
        <v>144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144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144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144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144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144</v>
      </c>
      <c r="B34" t="s">
        <v>338</v>
      </c>
      <c r="C34" t="s">
        <v>246</v>
      </c>
      <c r="D34" t="s">
        <v>339</v>
      </c>
      <c r="E34" t="s">
        <v>247</v>
      </c>
      <c r="F34" t="n">
        <v>921.487226034067</v>
      </c>
      <c r="G34" t="n">
        <v>899.718550901075</v>
      </c>
      <c r="H34" t="n">
        <v>920.809137150425</v>
      </c>
      <c r="I34" t="n">
        <v>965.931489365093</v>
      </c>
      <c r="J34" t="n">
        <v>1065.38288713515</v>
      </c>
      <c r="K34" t="n">
        <v>1125.14252307128</v>
      </c>
      <c r="L34" t="n">
        <v>1203.30881657427</v>
      </c>
      <c r="M34" t="n">
        <v>1248.43144350293</v>
      </c>
      <c r="N34" t="n">
        <v>1254.02979078321</v>
      </c>
      <c r="O34" t="n">
        <v>1327.98278034173</v>
      </c>
      <c r="P34" t="n">
        <v>1343.70785766963</v>
      </c>
      <c r="Q34" t="n">
        <v>1374.03037068244</v>
      </c>
      <c r="R34" t="n">
        <v>1380.69035102504</v>
      </c>
      <c r="S34" t="n">
        <v>1378.09993760848</v>
      </c>
      <c r="T34" t="n">
        <v>1285.5724804593</v>
      </c>
      <c r="U34" t="n">
        <v>1196.9477621167</v>
      </c>
      <c r="V34" t="n">
        <v>1149.56777572527</v>
      </c>
      <c r="W34" t="n">
        <v>980.628576608317</v>
      </c>
      <c r="X34" t="n">
        <v>870.544450533143</v>
      </c>
      <c r="Y34" t="n">
        <v>790.167329608336</v>
      </c>
      <c r="Z34" t="n">
        <v>750.368654489787</v>
      </c>
      <c r="AA34" t="n">
        <v>779.651834899151</v>
      </c>
      <c r="AB34" t="n">
        <v>862.848892544311</v>
      </c>
      <c r="AC34" t="n">
        <v>905.595723471836</v>
      </c>
      <c r="AD34" t="n">
        <v>950.536911652288</v>
      </c>
      <c r="AE34" t="n">
        <v>916.7</v>
      </c>
      <c r="AF34" t="n">
        <v>901.4</v>
      </c>
    </row>
    <row r="35">
      <c r="A35" t="s">
        <v>144</v>
      </c>
      <c r="B35" t="s">
        <v>340</v>
      </c>
      <c r="C35" t="s">
        <v>246</v>
      </c>
      <c r="D35" t="s">
        <v>341</v>
      </c>
      <c r="E35" t="s">
        <v>247</v>
      </c>
      <c r="F35" t="n">
        <v>632.339777770298</v>
      </c>
      <c r="G35" t="n">
        <v>662.359560281609</v>
      </c>
      <c r="H35" t="n">
        <v>684.373637664007</v>
      </c>
      <c r="I35" t="n">
        <v>709.885689706023</v>
      </c>
      <c r="J35" t="n">
        <v>738.632996901465</v>
      </c>
      <c r="K35" t="n">
        <v>791.59496698832</v>
      </c>
      <c r="L35" t="n">
        <v>841.275461389649</v>
      </c>
      <c r="M35" t="n">
        <v>920.770464229329</v>
      </c>
      <c r="N35" t="n">
        <v>952.260374072298</v>
      </c>
      <c r="O35" t="n">
        <v>1016.05336792655</v>
      </c>
      <c r="P35" t="n">
        <v>1037.55356562423</v>
      </c>
      <c r="Q35" t="n">
        <v>1048.87766078063</v>
      </c>
      <c r="R35" t="n">
        <v>1073.72261351751</v>
      </c>
      <c r="S35" t="n">
        <v>1074.24232436626</v>
      </c>
      <c r="T35" t="n">
        <v>1004.88719735857</v>
      </c>
      <c r="U35" t="n">
        <v>935.593165771232</v>
      </c>
      <c r="V35" t="n">
        <v>899.16709583296</v>
      </c>
      <c r="W35" t="n">
        <v>781.192954695425</v>
      </c>
      <c r="X35" t="n">
        <v>689.826052465648</v>
      </c>
      <c r="Y35" t="n">
        <v>1404.90585251674</v>
      </c>
      <c r="Z35" t="n">
        <v>2700.11935618834</v>
      </c>
      <c r="AA35" t="n">
        <v>2864.05642439821</v>
      </c>
      <c r="AB35" t="n">
        <v>2969.99030832303</v>
      </c>
      <c r="AC35" t="n">
        <v>3133.79478772357</v>
      </c>
      <c r="AD35" t="n">
        <v>3393.64700781055</v>
      </c>
      <c r="AE35" t="n">
        <v>3656.8</v>
      </c>
      <c r="AF35" t="n">
        <v>3641.2</v>
      </c>
    </row>
    <row r="36">
      <c r="A36" t="s">
        <v>144</v>
      </c>
      <c r="B36" t="s">
        <v>342</v>
      </c>
      <c r="C36" t="s">
        <v>246</v>
      </c>
      <c r="D36" t="s">
        <v>343</v>
      </c>
      <c r="E36" t="s">
        <v>247</v>
      </c>
      <c r="F36" t="n">
        <v>85.7704549357943</v>
      </c>
      <c r="G36" t="n">
        <v>87.2635576329358</v>
      </c>
      <c r="H36" t="n">
        <v>88.3296045848216</v>
      </c>
      <c r="I36" t="n">
        <v>99.1303770047412</v>
      </c>
      <c r="J36" t="n">
        <v>103.204228114525</v>
      </c>
      <c r="K36" t="n">
        <v>111.331561078544</v>
      </c>
      <c r="L36" t="n">
        <v>125.20156646319</v>
      </c>
      <c r="M36" t="n">
        <v>130.892546756971</v>
      </c>
      <c r="N36" t="n">
        <v>135.771268954277</v>
      </c>
      <c r="O36" t="n">
        <v>141.90515773414</v>
      </c>
      <c r="P36" t="n">
        <v>146.350661438919</v>
      </c>
      <c r="Q36" t="n">
        <v>147.733502334405</v>
      </c>
      <c r="R36" t="n">
        <v>150.235532397035</v>
      </c>
      <c r="S36" t="n">
        <v>149.786061843865</v>
      </c>
      <c r="T36" t="n">
        <v>140.005460593606</v>
      </c>
      <c r="U36" t="n">
        <v>130.357304809973</v>
      </c>
      <c r="V36" t="n">
        <v>125.126919123153</v>
      </c>
      <c r="W36" t="n">
        <v>108.395427886833</v>
      </c>
      <c r="X36" t="n">
        <v>95.014556884535</v>
      </c>
      <c r="Y36" t="n">
        <v>83.7309191635081</v>
      </c>
      <c r="Z36" t="n">
        <v>76.1770497091128</v>
      </c>
      <c r="AA36" t="n">
        <v>70.4611728550866</v>
      </c>
      <c r="AB36" t="n">
        <v>68.6150285881411</v>
      </c>
      <c r="AC36" t="n">
        <v>70.6693707614387</v>
      </c>
      <c r="AD36" t="n">
        <v>72.3080808080808</v>
      </c>
      <c r="AE36" t="n">
        <v>69.5</v>
      </c>
      <c r="AF36"/>
    </row>
    <row r="37">
      <c r="A37" t="s">
        <v>144</v>
      </c>
      <c r="B37" t="s">
        <v>344</v>
      </c>
      <c r="C37" t="s">
        <v>246</v>
      </c>
      <c r="D37" t="s">
        <v>345</v>
      </c>
      <c r="E37" t="s">
        <v>247</v>
      </c>
      <c r="F37" t="n">
        <v>36.5569221737791</v>
      </c>
      <c r="G37" t="n">
        <v>36.5569221737791</v>
      </c>
      <c r="H37" t="n">
        <v>39.8306763982966</v>
      </c>
      <c r="I37" t="n">
        <v>41.9549791395391</v>
      </c>
      <c r="J37" t="n">
        <v>44.0689897163376</v>
      </c>
      <c r="K37" t="n">
        <v>44.3782457845224</v>
      </c>
      <c r="L37" t="n">
        <v>44.3782457845224</v>
      </c>
      <c r="M37" t="n">
        <v>49.0191080887862</v>
      </c>
      <c r="N37" t="n">
        <v>51.7265588262482</v>
      </c>
      <c r="O37" t="n">
        <v>50.5959236606471</v>
      </c>
      <c r="P37" t="n">
        <v>50.3156138342723</v>
      </c>
      <c r="Q37" t="n">
        <v>50.3156138342723</v>
      </c>
      <c r="R37" t="n">
        <v>51.8155372819065</v>
      </c>
      <c r="S37" t="n">
        <v>49.3929926817135</v>
      </c>
      <c r="T37" t="n">
        <v>44.7829800314202</v>
      </c>
      <c r="U37" t="n">
        <v>42.337932271084</v>
      </c>
      <c r="V37" t="n">
        <v>41.3702081048878</v>
      </c>
      <c r="W37" t="n">
        <v>41.8612491506432</v>
      </c>
      <c r="X37" t="n">
        <v>39.2832836604276</v>
      </c>
      <c r="Y37" t="n">
        <v>783.795040653294</v>
      </c>
      <c r="Z37" t="n">
        <v>2048.42625827646</v>
      </c>
      <c r="AA37" t="n">
        <v>2028.53284206733</v>
      </c>
      <c r="AB37" t="n">
        <v>2037.12376993209</v>
      </c>
      <c r="AC37" t="n">
        <v>2018.01735458225</v>
      </c>
      <c r="AD37" t="n">
        <v>2092.33557109995</v>
      </c>
      <c r="AE37" t="n">
        <v>2168.8</v>
      </c>
      <c r="AF37"/>
    </row>
    <row r="38">
      <c r="A38" t="s">
        <v>144</v>
      </c>
      <c r="B38" t="s">
        <v>346</v>
      </c>
      <c r="C38" t="s">
        <v>246</v>
      </c>
      <c r="D38" t="s">
        <v>347</v>
      </c>
      <c r="E38" t="s">
        <v>247</v>
      </c>
      <c r="F38" t="n">
        <v>475.24090968552</v>
      </c>
      <c r="G38" t="n">
        <v>502.266214801099</v>
      </c>
      <c r="H38" t="n">
        <v>519.08128727519</v>
      </c>
      <c r="I38" t="n">
        <v>529.544658105304</v>
      </c>
      <c r="J38" t="n">
        <v>550.540481422988</v>
      </c>
      <c r="K38" t="n">
        <v>591.838137815297</v>
      </c>
      <c r="L38" t="n">
        <v>623.951266974058</v>
      </c>
      <c r="M38" t="n">
        <v>689.271791390739</v>
      </c>
      <c r="N38" t="n">
        <v>711.45132923252</v>
      </c>
      <c r="O38" t="n">
        <v>766.608645669636</v>
      </c>
      <c r="P38" t="n">
        <v>782.482865100169</v>
      </c>
      <c r="Q38" t="n">
        <v>791.764836038146</v>
      </c>
      <c r="R38" t="n">
        <v>811.336269158405</v>
      </c>
      <c r="S38" t="n">
        <v>814.560778941058</v>
      </c>
      <c r="T38" t="n">
        <v>763.400688345266</v>
      </c>
      <c r="U38" t="n">
        <v>710.162137171041</v>
      </c>
      <c r="V38" t="n">
        <v>682.061002595337</v>
      </c>
      <c r="W38" t="n">
        <v>587.456195756947</v>
      </c>
      <c r="X38" t="n">
        <v>517.378071807525</v>
      </c>
      <c r="Y38" t="n">
        <v>523.711433469981</v>
      </c>
      <c r="Z38" t="n">
        <v>589.146357811379</v>
      </c>
      <c r="AA38" t="n">
        <v>773.056780712206</v>
      </c>
      <c r="AB38" t="n">
        <v>868.752602012228</v>
      </c>
      <c r="AC38" t="n">
        <v>1045.85905146918</v>
      </c>
      <c r="AD38" t="n">
        <v>1229.20435528856</v>
      </c>
      <c r="AE38" t="n">
        <v>1418.5</v>
      </c>
      <c r="AF38"/>
    </row>
    <row r="39">
      <c r="A39" t="s">
        <v>144</v>
      </c>
      <c r="B39" t="s">
        <v>348</v>
      </c>
      <c r="C39" t="s">
        <v>246</v>
      </c>
      <c r="D39" t="s">
        <v>349</v>
      </c>
      <c r="E39" t="s">
        <v>247</v>
      </c>
      <c r="F39" t="n">
        <v>991.047078749055</v>
      </c>
      <c r="G39" t="n">
        <v>960.076857538147</v>
      </c>
      <c r="H39" t="n">
        <v>997.207767335233</v>
      </c>
      <c r="I39" t="n">
        <v>960.386851910282</v>
      </c>
      <c r="J39" t="n">
        <v>946.655029399747</v>
      </c>
      <c r="K39" t="n">
        <v>950.520015441222</v>
      </c>
      <c r="L39" t="n">
        <v>958.975915295531</v>
      </c>
      <c r="M39" t="n">
        <v>995.830773947457</v>
      </c>
      <c r="N39" t="n">
        <v>1037.21116492407</v>
      </c>
      <c r="O39" t="n">
        <v>1047.19371369446</v>
      </c>
      <c r="P39" t="n">
        <v>1061.07582056188</v>
      </c>
      <c r="Q39" t="n">
        <v>1066.65418337692</v>
      </c>
      <c r="R39" t="n">
        <v>1085.26882668247</v>
      </c>
      <c r="S39" t="n">
        <v>1081.21974780667</v>
      </c>
      <c r="T39" t="n">
        <v>1096.26339530728</v>
      </c>
      <c r="U39" t="n">
        <v>998.107014842139</v>
      </c>
      <c r="V39" t="n">
        <v>961.52392105756</v>
      </c>
      <c r="W39" t="n">
        <v>827.908459732059</v>
      </c>
      <c r="X39" t="n">
        <v>823.889486626564</v>
      </c>
      <c r="Y39" t="n">
        <v>830.325285246222</v>
      </c>
      <c r="Z39" t="n">
        <v>867.969566313085</v>
      </c>
      <c r="AA39" t="n">
        <v>953.28146398492</v>
      </c>
      <c r="AB39" t="n">
        <v>1035.12626919832</v>
      </c>
      <c r="AC39" t="n">
        <v>1085.54759838248</v>
      </c>
      <c r="AD39" t="n">
        <v>1140.47448619285</v>
      </c>
      <c r="AE39" t="n">
        <v>1111.1</v>
      </c>
      <c r="AF39" t="n">
        <v>1115.9</v>
      </c>
    </row>
    <row r="40">
      <c r="A40" t="s">
        <v>144</v>
      </c>
      <c r="B40" t="s">
        <v>350</v>
      </c>
      <c r="C40" t="s">
        <v>246</v>
      </c>
      <c r="D40" t="s">
        <v>351</v>
      </c>
      <c r="E40" t="s">
        <v>247</v>
      </c>
      <c r="F40" t="n">
        <v>1008.04204473183</v>
      </c>
      <c r="G40" t="n">
        <v>1016.79209968167</v>
      </c>
      <c r="H40" t="n">
        <v>1017.93621553085</v>
      </c>
      <c r="I40" t="n">
        <v>1023.65674374801</v>
      </c>
      <c r="J40" t="n">
        <v>1043.92861828583</v>
      </c>
      <c r="K40" t="n">
        <v>1014.14167031882</v>
      </c>
      <c r="L40" t="n">
        <v>1201.00974203002</v>
      </c>
      <c r="M40" t="n">
        <v>1255.71923146896</v>
      </c>
      <c r="N40" t="n">
        <v>1278.32064533616</v>
      </c>
      <c r="O40" t="n">
        <v>1330.3445868386</v>
      </c>
      <c r="P40" t="n">
        <v>1330.84684057596</v>
      </c>
      <c r="Q40" t="n">
        <v>1346.18088705723</v>
      </c>
      <c r="R40" t="n">
        <v>1378.75863534367</v>
      </c>
      <c r="S40" t="n">
        <v>1355.12001633323</v>
      </c>
      <c r="T40" t="n">
        <v>1259.15101569853</v>
      </c>
      <c r="U40" t="n">
        <v>1191.38679976656</v>
      </c>
      <c r="V40" t="n">
        <v>1148.28697884709</v>
      </c>
      <c r="W40" t="n">
        <v>922.874718341724</v>
      </c>
      <c r="X40" t="n">
        <v>782.107917938027</v>
      </c>
      <c r="Y40" t="n">
        <v>688.900578257563</v>
      </c>
      <c r="Z40" t="n">
        <v>614.087845777103</v>
      </c>
      <c r="AA40" t="n">
        <v>584.345100551206</v>
      </c>
      <c r="AB40" t="n">
        <v>619.576313328331</v>
      </c>
      <c r="AC40" t="n">
        <v>634.474914560936</v>
      </c>
      <c r="AD40" t="n">
        <v>682.303774141236</v>
      </c>
      <c r="AE40" t="n">
        <v>681.5</v>
      </c>
      <c r="AF40" t="n">
        <v>724.7</v>
      </c>
    </row>
    <row r="41">
      <c r="A41" t="s">
        <v>144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144</v>
      </c>
      <c r="B42" t="s">
        <v>354</v>
      </c>
      <c r="C42" t="s">
        <v>246</v>
      </c>
      <c r="D42" t="s">
        <v>355</v>
      </c>
      <c r="E42" t="s">
        <v>247</v>
      </c>
      <c r="F42" t="n">
        <v>1572.30343137033</v>
      </c>
      <c r="G42" t="n">
        <v>1639.94240613827</v>
      </c>
      <c r="H42" t="n">
        <v>1681.57414868791</v>
      </c>
      <c r="I42" t="n">
        <v>1706.66078480691</v>
      </c>
      <c r="J42" t="n">
        <v>1763.72367954017</v>
      </c>
      <c r="K42" t="n">
        <v>1950.65718677592</v>
      </c>
      <c r="L42" t="n">
        <v>2051.12685170495</v>
      </c>
      <c r="M42" t="n">
        <v>2166.0785928876</v>
      </c>
      <c r="N42" t="n">
        <v>2256.76488535885</v>
      </c>
      <c r="O42" t="n">
        <v>2308.15813971862</v>
      </c>
      <c r="P42" t="n">
        <v>2388.81958008513</v>
      </c>
      <c r="Q42" t="n">
        <v>2464.69507781175</v>
      </c>
      <c r="R42" t="n">
        <v>2476.75604969511</v>
      </c>
      <c r="S42" t="n">
        <v>2485.28852688378</v>
      </c>
      <c r="T42" t="n">
        <v>2331.52872006333</v>
      </c>
      <c r="U42" t="n">
        <v>2177.98630817378</v>
      </c>
      <c r="V42" t="n">
        <v>2101.14077016726</v>
      </c>
      <c r="W42" t="n">
        <v>1724.16384343578</v>
      </c>
      <c r="X42" t="n">
        <v>1516.15955020533</v>
      </c>
      <c r="Y42" t="n">
        <v>1325.70001310461</v>
      </c>
      <c r="Z42" t="n">
        <v>1211.49077070708</v>
      </c>
      <c r="AA42" t="n">
        <v>1183.55565864466</v>
      </c>
      <c r="AB42" t="n">
        <v>1215.06377408031</v>
      </c>
      <c r="AC42" t="n">
        <v>1210.85158039322</v>
      </c>
      <c r="AD42" t="n">
        <v>1240.27452540827</v>
      </c>
      <c r="AE42" t="n">
        <v>1209.2</v>
      </c>
      <c r="AF42" t="n">
        <v>1239</v>
      </c>
    </row>
    <row r="43">
      <c r="A43" t="s">
        <v>144</v>
      </c>
      <c r="B43" t="s">
        <v>356</v>
      </c>
      <c r="C43" t="s">
        <v>246</v>
      </c>
      <c r="D43" t="s">
        <v>357</v>
      </c>
      <c r="E43" t="s">
        <v>247</v>
      </c>
      <c r="F43" t="n">
        <v>23519.013206641</v>
      </c>
      <c r="G43" t="n">
        <v>24266.9898279572</v>
      </c>
      <c r="H43" t="n">
        <v>24862.9488414546</v>
      </c>
      <c r="I43" t="n">
        <v>25302.1186486349</v>
      </c>
      <c r="J43" t="n">
        <v>26234.6298124499</v>
      </c>
      <c r="K43" t="n">
        <v>28680.9813145734</v>
      </c>
      <c r="L43" t="n">
        <v>30595.5098717004</v>
      </c>
      <c r="M43" t="n">
        <v>31754.9507843153</v>
      </c>
      <c r="N43" t="n">
        <v>31943.5292668673</v>
      </c>
      <c r="O43" t="n">
        <v>32154.2719069884</v>
      </c>
      <c r="P43" t="n">
        <v>33022.8625784668</v>
      </c>
      <c r="Q43" t="n">
        <v>33285.5702743407</v>
      </c>
      <c r="R43" t="n">
        <v>34561.9813148679</v>
      </c>
      <c r="S43" t="n">
        <v>35544.3940978769</v>
      </c>
      <c r="T43" t="n">
        <v>34261.8867774116</v>
      </c>
      <c r="U43" t="n">
        <v>32755.1423537953</v>
      </c>
      <c r="V43" t="n">
        <v>31874.2013724697</v>
      </c>
      <c r="W43" t="n">
        <v>30898.478461118</v>
      </c>
      <c r="X43" t="n">
        <v>28977.9719821206</v>
      </c>
      <c r="Y43" t="n">
        <v>27573.3377331231</v>
      </c>
      <c r="Z43" t="n">
        <v>27043.1146117968</v>
      </c>
      <c r="AA43" t="n">
        <v>27371.2064292307</v>
      </c>
      <c r="AB43" t="n">
        <v>30109.2585584196</v>
      </c>
      <c r="AC43" t="n">
        <v>31604.5688412545</v>
      </c>
      <c r="AD43" t="n">
        <v>33378.2601694915</v>
      </c>
      <c r="AE43" t="n">
        <v>32550.7</v>
      </c>
      <c r="AF43" t="n">
        <v>32474.5</v>
      </c>
    </row>
    <row r="44">
      <c r="A44" t="s">
        <v>144</v>
      </c>
      <c r="B44" t="s">
        <v>358</v>
      </c>
      <c r="C44" t="s">
        <v>246</v>
      </c>
      <c r="D44" t="s">
        <v>359</v>
      </c>
      <c r="E44" t="s">
        <v>247</v>
      </c>
      <c r="F44" t="n">
        <v>116427.317821162</v>
      </c>
      <c r="G44" t="n">
        <v>118462.597436194</v>
      </c>
      <c r="H44" t="n">
        <v>120307.226200686</v>
      </c>
      <c r="I44" t="n">
        <v>124020.083825757</v>
      </c>
      <c r="J44" t="n">
        <v>129378.498008857</v>
      </c>
      <c r="K44" t="n">
        <v>136026.923211659</v>
      </c>
      <c r="L44" t="n">
        <v>141819.910875042</v>
      </c>
      <c r="M44" t="n">
        <v>147821.539695476</v>
      </c>
      <c r="N44" t="n">
        <v>151279.151370857</v>
      </c>
      <c r="O44" t="n">
        <v>155401.277493598</v>
      </c>
      <c r="P44" t="n">
        <v>157812.277915999</v>
      </c>
      <c r="Q44" t="n">
        <v>160967.866464104</v>
      </c>
      <c r="R44" t="n">
        <v>163085.610458214</v>
      </c>
      <c r="S44" t="n">
        <v>165196.112377982</v>
      </c>
      <c r="T44" t="n">
        <v>161641.577370477</v>
      </c>
      <c r="U44" t="n">
        <v>156651.645106479</v>
      </c>
      <c r="V44" t="n">
        <v>153301.325479454</v>
      </c>
      <c r="W44" t="n">
        <v>145235.277065355</v>
      </c>
      <c r="X44" t="n">
        <v>135323.993344978</v>
      </c>
      <c r="Y44" t="n">
        <v>127777.035153814</v>
      </c>
      <c r="Z44" t="n">
        <v>124246.327463333</v>
      </c>
      <c r="AA44" t="n">
        <v>123793.797710349</v>
      </c>
      <c r="AB44" t="n">
        <v>125764.178672541</v>
      </c>
      <c r="AC44" t="n">
        <v>128070.67616052</v>
      </c>
      <c r="AD44" t="n">
        <v>131368.73088054</v>
      </c>
      <c r="AE44" t="n">
        <v>128280.6</v>
      </c>
      <c r="AF44" t="n">
        <v>128776.5</v>
      </c>
    </row>
    <row r="45">
      <c r="A45" t="s">
        <v>144</v>
      </c>
      <c r="B45" t="s">
        <v>360</v>
      </c>
      <c r="C45" t="s">
        <v>246</v>
      </c>
      <c r="D45" t="s">
        <v>361</v>
      </c>
      <c r="E45" t="s">
        <v>247</v>
      </c>
      <c r="F45" t="n">
        <v>114086.348228496</v>
      </c>
      <c r="G45" t="n">
        <v>116146.182607804</v>
      </c>
      <c r="H45" t="n">
        <v>117916.489543024</v>
      </c>
      <c r="I45" t="n">
        <v>121590.380277977</v>
      </c>
      <c r="J45" t="n">
        <v>126806.015094788</v>
      </c>
      <c r="K45" t="n">
        <v>133384.913846006</v>
      </c>
      <c r="L45" t="n">
        <v>139122.816592657</v>
      </c>
      <c r="M45" t="n">
        <v>144959.072726909</v>
      </c>
      <c r="N45" t="n">
        <v>148396.402107251</v>
      </c>
      <c r="O45" t="n">
        <v>152395.081967834</v>
      </c>
      <c r="P45" t="n">
        <v>154756.761432787</v>
      </c>
      <c r="Q45" t="n">
        <v>157863.218434728</v>
      </c>
      <c r="R45" t="n">
        <v>159954.61346745</v>
      </c>
      <c r="S45" t="n">
        <v>162090.27283134</v>
      </c>
      <c r="T45" t="n">
        <v>158696.785829817</v>
      </c>
      <c r="U45" t="n">
        <v>153879.752601796</v>
      </c>
      <c r="V45" t="n">
        <v>150628.492635732</v>
      </c>
      <c r="W45" t="n">
        <v>142865.882821868</v>
      </c>
      <c r="X45" t="n">
        <v>133238.913018269</v>
      </c>
      <c r="Y45" t="n">
        <v>125941.552481274</v>
      </c>
      <c r="Z45" t="n">
        <v>122610.213239698</v>
      </c>
      <c r="AA45" t="n">
        <v>122258.169203878</v>
      </c>
      <c r="AB45" t="n">
        <v>124268.606227017</v>
      </c>
      <c r="AC45" t="n">
        <v>126599.992997562</v>
      </c>
      <c r="AD45" t="n">
        <v>129897.687707815</v>
      </c>
      <c r="AE45" t="n">
        <v>126826</v>
      </c>
      <c r="AF45" t="n">
        <v>127290.9</v>
      </c>
    </row>
    <row r="46">
      <c r="A46" t="s">
        <v>144</v>
      </c>
      <c r="B46" t="s">
        <v>362</v>
      </c>
      <c r="C46" t="s">
        <v>246</v>
      </c>
      <c r="D46" t="s">
        <v>363</v>
      </c>
      <c r="E46" t="s">
        <v>247</v>
      </c>
      <c r="F46" t="n">
        <v>21971.9541031275</v>
      </c>
      <c r="G46" t="n">
        <v>22655.2637158412</v>
      </c>
      <c r="H46" t="n">
        <v>23210.4118742812</v>
      </c>
      <c r="I46" t="n">
        <v>23624.5700752862</v>
      </c>
      <c r="J46" t="n">
        <v>24500.6890338845</v>
      </c>
      <c r="K46" t="n">
        <v>26763.8739247456</v>
      </c>
      <c r="L46" t="n">
        <v>28579.1193325073</v>
      </c>
      <c r="M46" t="n">
        <v>29626.4070490981</v>
      </c>
      <c r="N46" t="n">
        <v>29727.619994204</v>
      </c>
      <c r="O46" t="n">
        <v>29888.4668057356</v>
      </c>
      <c r="P46" t="n">
        <v>30678.3602649371</v>
      </c>
      <c r="Q46" t="n">
        <v>30868.0391922954</v>
      </c>
      <c r="R46" t="n">
        <v>32129.6230248062</v>
      </c>
      <c r="S46" t="n">
        <v>33100.7443068678</v>
      </c>
      <c r="T46" t="n">
        <v>31965.5196535616</v>
      </c>
      <c r="U46" t="n">
        <v>30608.4142291154</v>
      </c>
      <c r="V46" t="n">
        <v>29802.7215705198</v>
      </c>
      <c r="W46" t="n">
        <v>29192.3035103475</v>
      </c>
      <c r="X46" t="n">
        <v>27474.8438376551</v>
      </c>
      <c r="Y46" t="n">
        <v>26252.1511846768</v>
      </c>
      <c r="Z46" t="n">
        <v>25832.2594127689</v>
      </c>
      <c r="AA46" t="n">
        <v>26187.1050744707</v>
      </c>
      <c r="AB46" t="n">
        <v>28894.3594056925</v>
      </c>
      <c r="AC46" t="n">
        <v>30393.7696516353</v>
      </c>
      <c r="AD46" t="n">
        <v>32137.985779642</v>
      </c>
      <c r="AE46" t="n">
        <v>31341.5</v>
      </c>
      <c r="AF46" t="n">
        <v>31235.5</v>
      </c>
    </row>
    <row r="47">
      <c r="A47" t="s">
        <v>144</v>
      </c>
      <c r="B47" t="s">
        <v>364</v>
      </c>
      <c r="C47" t="s">
        <v>246</v>
      </c>
      <c r="D47" t="s">
        <v>365</v>
      </c>
      <c r="E47" t="s">
        <v>247</v>
      </c>
      <c r="F47" t="n">
        <v>6478.19256556955</v>
      </c>
      <c r="G47" t="n">
        <v>6563.03358330144</v>
      </c>
      <c r="H47" t="n">
        <v>6638.16413521586</v>
      </c>
      <c r="I47" t="n">
        <v>6824.61151466186</v>
      </c>
      <c r="J47" t="n">
        <v>7165.30191579735</v>
      </c>
      <c r="K47" t="n">
        <v>7065.2183549345</v>
      </c>
      <c r="L47" t="n">
        <v>7096.95354137401</v>
      </c>
      <c r="M47" t="n">
        <v>7210.18174135354</v>
      </c>
      <c r="N47" t="n">
        <v>7636.04118346767</v>
      </c>
      <c r="O47" t="n">
        <v>7750.5609794386</v>
      </c>
      <c r="P47" t="n">
        <v>8703.71452952466</v>
      </c>
      <c r="Q47" t="n">
        <v>8738.4703579025</v>
      </c>
      <c r="R47" t="n">
        <v>9436.84064248229</v>
      </c>
      <c r="S47" t="n">
        <v>9724.36572405725</v>
      </c>
      <c r="T47" t="n">
        <v>10048.436929961</v>
      </c>
      <c r="U47" t="n">
        <v>10310.1570251559</v>
      </c>
      <c r="V47" t="n">
        <v>10432.7966618332</v>
      </c>
      <c r="W47" t="n">
        <v>10611.798309063</v>
      </c>
      <c r="X47" t="n">
        <v>10257.012534094</v>
      </c>
      <c r="Y47" t="n">
        <v>9721.23500371309</v>
      </c>
      <c r="Z47" t="n">
        <v>9056.74950812688</v>
      </c>
      <c r="AA47" t="n">
        <v>8586.18529880783</v>
      </c>
      <c r="AB47" t="n">
        <v>8421.37952681797</v>
      </c>
      <c r="AC47" t="n">
        <v>8060.05271381184</v>
      </c>
      <c r="AD47" t="n">
        <v>7935.06671347249</v>
      </c>
      <c r="AE47" t="n">
        <v>7955.9</v>
      </c>
      <c r="AF47" t="n">
        <v>7969.4</v>
      </c>
    </row>
    <row r="48">
      <c r="A48" t="s">
        <v>144</v>
      </c>
      <c r="B48" t="s">
        <v>366</v>
      </c>
      <c r="C48" t="s">
        <v>246</v>
      </c>
      <c r="D48" t="s">
        <v>367</v>
      </c>
      <c r="E48" t="s">
        <v>247</v>
      </c>
      <c r="F48" t="n">
        <v>8217.73242973634</v>
      </c>
      <c r="G48" t="n">
        <v>8261.17763834371</v>
      </c>
      <c r="H48" t="n">
        <v>8263.54609523543</v>
      </c>
      <c r="I48" t="n">
        <v>8502.5616767246</v>
      </c>
      <c r="J48" t="n">
        <v>8931.59350887393</v>
      </c>
      <c r="K48" t="n">
        <v>8913.02746446054</v>
      </c>
      <c r="L48" t="n">
        <v>9013.67402866291</v>
      </c>
      <c r="M48" t="n">
        <v>9221.92386375549</v>
      </c>
      <c r="N48" t="n">
        <v>9708.16498954958</v>
      </c>
      <c r="O48" t="n">
        <v>9915.2098600493</v>
      </c>
      <c r="P48" t="n">
        <v>10954.7922951042</v>
      </c>
      <c r="Q48" t="n">
        <v>11053.1258361076</v>
      </c>
      <c r="R48" t="n">
        <v>11835.2336460647</v>
      </c>
      <c r="S48" t="n">
        <v>12101.3009335559</v>
      </c>
      <c r="T48" t="n">
        <v>12353.0415756678</v>
      </c>
      <c r="U48" t="n">
        <v>12452.8511507542</v>
      </c>
      <c r="V48" t="n">
        <v>12459.349783198</v>
      </c>
      <c r="W48" t="n">
        <v>12419.6290681733</v>
      </c>
      <c r="X48" t="n">
        <v>11895.1232686156</v>
      </c>
      <c r="Y48" t="n">
        <v>11212.9398559892</v>
      </c>
      <c r="Z48" t="n">
        <v>10430.8102637672</v>
      </c>
      <c r="AA48" t="n">
        <v>9901.56859163979</v>
      </c>
      <c r="AB48" t="n">
        <v>9790.03774371577</v>
      </c>
      <c r="AC48" t="n">
        <v>9453.16768582997</v>
      </c>
      <c r="AD48" t="n">
        <v>9387.53854686396</v>
      </c>
      <c r="AE48" t="n">
        <v>9378.1</v>
      </c>
      <c r="AF48" t="n">
        <v>9394.6</v>
      </c>
    </row>
    <row r="49">
      <c r="A49" t="s">
        <v>144</v>
      </c>
      <c r="B49" t="s">
        <v>368</v>
      </c>
      <c r="C49" t="s">
        <v>246</v>
      </c>
      <c r="D49" t="s">
        <v>369</v>
      </c>
      <c r="E49" t="s">
        <v>247</v>
      </c>
      <c r="F49" t="n">
        <v>430.54809748195</v>
      </c>
      <c r="G49" t="n">
        <v>439.268491831266</v>
      </c>
      <c r="H49" t="n">
        <v>433.167540555832</v>
      </c>
      <c r="I49" t="n">
        <v>436.817828818943</v>
      </c>
      <c r="J49" t="n">
        <v>467.092331806394</v>
      </c>
      <c r="K49" t="n">
        <v>480.873211950469</v>
      </c>
      <c r="L49" t="n">
        <v>498.678620486059</v>
      </c>
      <c r="M49" t="n">
        <v>517.203455802046</v>
      </c>
      <c r="N49" t="n">
        <v>520.379480802248</v>
      </c>
      <c r="O49" t="n">
        <v>514.325740913901</v>
      </c>
      <c r="P49" t="n">
        <v>539.549562864373</v>
      </c>
      <c r="Q49" t="n">
        <v>564.87052919178</v>
      </c>
      <c r="R49" t="n">
        <v>588.105178904298</v>
      </c>
      <c r="S49" t="n">
        <v>621.226487056875</v>
      </c>
      <c r="T49" t="n">
        <v>606.561616289235</v>
      </c>
      <c r="U49" t="n">
        <v>563.957360836624</v>
      </c>
      <c r="V49" t="n">
        <v>535.347845086153</v>
      </c>
      <c r="W49" t="n">
        <v>486.20458586926</v>
      </c>
      <c r="X49" t="n">
        <v>441.397905216928</v>
      </c>
      <c r="Y49" t="n">
        <v>415.259021834386</v>
      </c>
      <c r="Z49" t="n">
        <v>378.489625821252</v>
      </c>
      <c r="AA49" t="n">
        <v>359.288608134152</v>
      </c>
      <c r="AB49" t="n">
        <v>370.00748800964</v>
      </c>
      <c r="AC49" t="n">
        <v>396.731397489422</v>
      </c>
      <c r="AD49" t="n">
        <v>441.694976721392</v>
      </c>
      <c r="AE49" t="n">
        <v>409.3</v>
      </c>
      <c r="AF49" t="n">
        <v>387</v>
      </c>
    </row>
    <row r="50">
      <c r="A50" t="s">
        <v>144</v>
      </c>
      <c r="B50" t="s">
        <v>370</v>
      </c>
      <c r="C50" t="s">
        <v>246</v>
      </c>
      <c r="D50" t="s">
        <v>371</v>
      </c>
      <c r="E50" t="s">
        <v>247</v>
      </c>
      <c r="F50" t="n">
        <v>1276.96262652521</v>
      </c>
      <c r="G50" t="n">
        <v>1222.75106720852</v>
      </c>
      <c r="H50" t="n">
        <v>1156.05555445169</v>
      </c>
      <c r="I50" t="n">
        <v>1204.85605545362</v>
      </c>
      <c r="J50" t="n">
        <v>1260.17094347825</v>
      </c>
      <c r="K50" t="n">
        <v>1324.81739399484</v>
      </c>
      <c r="L50" t="n">
        <v>1374.68136970978</v>
      </c>
      <c r="M50" t="n">
        <v>1451.0072865026</v>
      </c>
      <c r="N50" t="n">
        <v>1507.52272738787</v>
      </c>
      <c r="O50" t="n">
        <v>1604.5809547721</v>
      </c>
      <c r="P50" t="n">
        <v>1673.52675682808</v>
      </c>
      <c r="Q50" t="n">
        <v>1706.95010605985</v>
      </c>
      <c r="R50" t="n">
        <v>1767.77424737882</v>
      </c>
      <c r="S50" t="n">
        <v>1713.6013447416</v>
      </c>
      <c r="T50" t="n">
        <v>1663.98955051688</v>
      </c>
      <c r="U50" t="n">
        <v>1569.51635043748</v>
      </c>
      <c r="V50" t="n">
        <v>1497.78546075902</v>
      </c>
      <c r="W50" t="n">
        <v>1322.85351959421</v>
      </c>
      <c r="X50" t="n">
        <v>1198.07342865124</v>
      </c>
      <c r="Y50" t="n">
        <v>1082.32858436042</v>
      </c>
      <c r="Z50" t="n">
        <v>1001.97596893462</v>
      </c>
      <c r="AA50" t="n">
        <v>961.231888255826</v>
      </c>
      <c r="AB50" t="n">
        <v>1000.13520783419</v>
      </c>
      <c r="AC50" t="n">
        <v>996.343711656949</v>
      </c>
      <c r="AD50" t="n">
        <v>1010.63113556681</v>
      </c>
      <c r="AE50" t="n">
        <v>1012.9</v>
      </c>
      <c r="AF50" t="n">
        <v>1038.2</v>
      </c>
    </row>
    <row r="51">
      <c r="A51" t="s">
        <v>144</v>
      </c>
      <c r="B51" t="s">
        <v>372</v>
      </c>
      <c r="C51" t="s">
        <v>246</v>
      </c>
      <c r="D51" t="s">
        <v>373</v>
      </c>
      <c r="E51" t="s">
        <v>247</v>
      </c>
      <c r="F51" t="n">
        <v>882.217346428147</v>
      </c>
      <c r="G51" t="n">
        <v>840.490850313302</v>
      </c>
      <c r="H51" t="n">
        <v>792.263171757206</v>
      </c>
      <c r="I51" t="n">
        <v>821.311161503176</v>
      </c>
      <c r="J51" t="n">
        <v>854.053957669165</v>
      </c>
      <c r="K51" t="n">
        <v>877.167731895665</v>
      </c>
      <c r="L51" t="n">
        <v>906.156988057302</v>
      </c>
      <c r="M51" t="n">
        <v>972.702468334918</v>
      </c>
      <c r="N51" t="n">
        <v>1019.70643429279</v>
      </c>
      <c r="O51" t="n">
        <v>1079.40172095259</v>
      </c>
      <c r="P51" t="n">
        <v>1128.8409687717</v>
      </c>
      <c r="Q51" t="n">
        <v>1159.34669058896</v>
      </c>
      <c r="R51" t="n">
        <v>1194.66774572459</v>
      </c>
      <c r="S51" t="n">
        <v>1159.61575276296</v>
      </c>
      <c r="T51" t="n">
        <v>1128.19819890039</v>
      </c>
      <c r="U51" t="n">
        <v>1070.58706086988</v>
      </c>
      <c r="V51" t="n">
        <v>1020.47495103081</v>
      </c>
      <c r="W51" t="n">
        <v>879.06500269401</v>
      </c>
      <c r="X51" t="n">
        <v>790.571978894777</v>
      </c>
      <c r="Y51" t="n">
        <v>709.345973677284</v>
      </c>
      <c r="Z51" t="n">
        <v>653.344975755393</v>
      </c>
      <c r="AA51" t="n">
        <v>623.165237792863</v>
      </c>
      <c r="AB51" t="n">
        <v>615.096365191959</v>
      </c>
      <c r="AC51" t="n">
        <v>610.171490207937</v>
      </c>
      <c r="AD51" t="n">
        <v>622.129624940655</v>
      </c>
      <c r="AE51" t="n">
        <v>624.7</v>
      </c>
      <c r="AF51"/>
    </row>
    <row r="52">
      <c r="A52" t="s">
        <v>144</v>
      </c>
      <c r="B52" t="s">
        <v>374</v>
      </c>
      <c r="C52" t="s">
        <v>246</v>
      </c>
      <c r="D52" t="s">
        <v>375</v>
      </c>
      <c r="E52" t="s">
        <v>247</v>
      </c>
      <c r="F52" t="n">
        <v>395.423384472895</v>
      </c>
      <c r="G52" t="n">
        <v>382.966132265157</v>
      </c>
      <c r="H52" t="n">
        <v>364.491210645512</v>
      </c>
      <c r="I52" t="n">
        <v>384.329754398358</v>
      </c>
      <c r="J52" t="n">
        <v>407.000891596014</v>
      </c>
      <c r="K52" t="n">
        <v>448.842104750745</v>
      </c>
      <c r="L52" t="n">
        <v>469.857173242712</v>
      </c>
      <c r="M52" t="n">
        <v>479.566096205527</v>
      </c>
      <c r="N52" t="n">
        <v>489.074387976148</v>
      </c>
      <c r="O52" t="n">
        <v>526.633362445001</v>
      </c>
      <c r="P52" t="n">
        <v>546.087914454724</v>
      </c>
      <c r="Q52" t="n">
        <v>548.659332143606</v>
      </c>
      <c r="R52" t="n">
        <v>574.456692889088</v>
      </c>
      <c r="S52" t="n">
        <v>555.224710049876</v>
      </c>
      <c r="T52" t="n">
        <v>536.909338991714</v>
      </c>
      <c r="U52" t="n">
        <v>500.06030384754</v>
      </c>
      <c r="V52" t="n">
        <v>478.371206564852</v>
      </c>
      <c r="W52" t="n">
        <v>444.256505662399</v>
      </c>
      <c r="X52" t="n">
        <v>407.872111874494</v>
      </c>
      <c r="Y52" t="n">
        <v>373.271666830697</v>
      </c>
      <c r="Z52" t="n">
        <v>348.870701289778</v>
      </c>
      <c r="AA52" t="n">
        <v>338.261767683305</v>
      </c>
      <c r="AB52" t="n">
        <v>385.028435655321</v>
      </c>
      <c r="AC52" t="n">
        <v>386.153352731605</v>
      </c>
      <c r="AD52" t="n">
        <v>388.494910103824</v>
      </c>
      <c r="AE52" t="n">
        <v>388.2</v>
      </c>
      <c r="AF52"/>
    </row>
    <row r="53">
      <c r="A53" t="s">
        <v>144</v>
      </c>
      <c r="B53" t="s">
        <v>376</v>
      </c>
      <c r="C53" t="s">
        <v>246</v>
      </c>
      <c r="D53" t="s">
        <v>377</v>
      </c>
      <c r="E53" t="s">
        <v>247</v>
      </c>
      <c r="F53" t="n">
        <v>325.136683751902</v>
      </c>
      <c r="G53" t="n">
        <v>372.425839274229</v>
      </c>
      <c r="H53" t="n">
        <v>433.090104878388</v>
      </c>
      <c r="I53" t="n">
        <v>519.024748962738</v>
      </c>
      <c r="J53" t="n">
        <v>573.750239053917</v>
      </c>
      <c r="K53" t="n">
        <v>645.356194426142</v>
      </c>
      <c r="L53" t="n">
        <v>726.916191063463</v>
      </c>
      <c r="M53" t="n">
        <v>753.421281040175</v>
      </c>
      <c r="N53" t="n">
        <v>785.667269005341</v>
      </c>
      <c r="O53" t="n">
        <v>820.585814294467</v>
      </c>
      <c r="P53" t="n">
        <v>753.242905522581</v>
      </c>
      <c r="Q53" t="n">
        <v>760.246622602189</v>
      </c>
      <c r="R53" t="n">
        <v>835.514551644034</v>
      </c>
      <c r="S53" t="n">
        <v>810.531945127015</v>
      </c>
      <c r="T53" t="n">
        <v>727.100566455932</v>
      </c>
      <c r="U53" t="n">
        <v>718.682791441594</v>
      </c>
      <c r="V53" t="n">
        <v>684.187844999228</v>
      </c>
      <c r="W53" t="n">
        <v>607.938339132146</v>
      </c>
      <c r="X53" t="n">
        <v>509.215977079373</v>
      </c>
      <c r="Y53" t="n">
        <v>476.598287005259</v>
      </c>
      <c r="Z53" t="n">
        <v>440.693124576163</v>
      </c>
      <c r="AA53" t="n">
        <v>423.775324457012</v>
      </c>
      <c r="AB53" t="n">
        <v>417.89671810655</v>
      </c>
      <c r="AC53" t="n">
        <v>415.676010908882</v>
      </c>
      <c r="AD53" t="n">
        <v>409.682124666505</v>
      </c>
      <c r="AE53" t="n">
        <v>396.6</v>
      </c>
      <c r="AF53" t="n">
        <v>385.8</v>
      </c>
    </row>
    <row r="54">
      <c r="A54" t="s">
        <v>144</v>
      </c>
      <c r="B54" t="s">
        <v>378</v>
      </c>
      <c r="C54" t="s">
        <v>246</v>
      </c>
      <c r="D54" t="s">
        <v>379</v>
      </c>
      <c r="E54" t="s">
        <v>247</v>
      </c>
      <c r="F54" t="n">
        <v>781.383735625947</v>
      </c>
      <c r="G54" t="n">
        <v>860.736340863513</v>
      </c>
      <c r="H54" t="n">
        <v>973.280813820726</v>
      </c>
      <c r="I54" t="n">
        <v>1139.79132832648</v>
      </c>
      <c r="J54" t="n">
        <v>1241.45755186403</v>
      </c>
      <c r="K54" t="n">
        <v>1341.5209377927</v>
      </c>
      <c r="L54" t="n">
        <v>1496.42619885059</v>
      </c>
      <c r="M54" t="n">
        <v>1609.41393457188</v>
      </c>
      <c r="N54" t="n">
        <v>1681.66374145865</v>
      </c>
      <c r="O54" t="n">
        <v>1775.98565886052</v>
      </c>
      <c r="P54" t="n">
        <v>1735.05134031388</v>
      </c>
      <c r="Q54" t="n">
        <v>1793.01950603965</v>
      </c>
      <c r="R54" t="n">
        <v>1863.04162366624</v>
      </c>
      <c r="S54" t="n">
        <v>1839.69169066928</v>
      </c>
      <c r="T54" t="n">
        <v>1691.61894483492</v>
      </c>
      <c r="U54" t="n">
        <v>1617.82497255207</v>
      </c>
      <c r="V54" t="n">
        <v>1545.98162525013</v>
      </c>
      <c r="W54" t="n">
        <v>1375.73436793015</v>
      </c>
      <c r="X54" t="n">
        <v>1211.61309681136</v>
      </c>
      <c r="Y54" t="n">
        <v>1132.16980559866</v>
      </c>
      <c r="Z54" t="n">
        <v>1066.24466531902</v>
      </c>
      <c r="AA54" t="n">
        <v>1060.43601140301</v>
      </c>
      <c r="AB54" t="n">
        <v>1084.97791192836</v>
      </c>
      <c r="AC54" t="n">
        <v>1088.44592443241</v>
      </c>
      <c r="AD54" t="n">
        <v>1088.64918230812</v>
      </c>
      <c r="AE54" t="n">
        <v>1057.5</v>
      </c>
      <c r="AF54" t="n">
        <v>1041.3</v>
      </c>
    </row>
    <row r="55">
      <c r="A55" t="s">
        <v>144</v>
      </c>
      <c r="B55" t="s">
        <v>380</v>
      </c>
      <c r="C55" t="s">
        <v>246</v>
      </c>
      <c r="D55" t="s">
        <v>381</v>
      </c>
      <c r="E55" t="s">
        <v>247</v>
      </c>
      <c r="F55" t="n">
        <v>454.587609207642</v>
      </c>
      <c r="G55" t="n">
        <v>488.79703727192</v>
      </c>
      <c r="H55" t="n">
        <v>542.733262074339</v>
      </c>
      <c r="I55" t="n">
        <v>625.704304503355</v>
      </c>
      <c r="J55" t="n">
        <v>674.519971849047</v>
      </c>
      <c r="K55" t="n">
        <v>707.941572959268</v>
      </c>
      <c r="L55" t="n">
        <v>783.911718170699</v>
      </c>
      <c r="M55" t="n">
        <v>866.569869298454</v>
      </c>
      <c r="N55" t="n">
        <v>906.776878435765</v>
      </c>
      <c r="O55" t="n">
        <v>965.132120143037</v>
      </c>
      <c r="P55" t="n">
        <v>982.251980367304</v>
      </c>
      <c r="Q55" t="n">
        <v>1029.74450720838</v>
      </c>
      <c r="R55" t="n">
        <v>1033.02917868273</v>
      </c>
      <c r="S55" t="n">
        <v>1031.83855410545</v>
      </c>
      <c r="T55" t="n">
        <v>963.599461785346</v>
      </c>
      <c r="U55" t="n">
        <v>901.838210108215</v>
      </c>
      <c r="V55" t="n">
        <v>863.98255388798</v>
      </c>
      <c r="W55" t="n">
        <v>769.601955778592</v>
      </c>
      <c r="X55" t="n">
        <v>702.953746936171</v>
      </c>
      <c r="Y55" t="n">
        <v>656.1238786151</v>
      </c>
      <c r="Z55" t="n">
        <v>625.833258448205</v>
      </c>
      <c r="AA55" t="n">
        <v>636.503730604472</v>
      </c>
      <c r="AB55" t="n">
        <v>666.803683042382</v>
      </c>
      <c r="AC55" t="n">
        <v>672.551105891446</v>
      </c>
      <c r="AD55" t="n">
        <v>678.918210573882</v>
      </c>
      <c r="AE55" t="n">
        <v>660.9</v>
      </c>
      <c r="AF55" t="n">
        <v>655.5</v>
      </c>
    </row>
    <row r="56">
      <c r="A56" t="s">
        <v>144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144</v>
      </c>
      <c r="B57" t="s">
        <v>384</v>
      </c>
      <c r="C57" t="s">
        <v>246</v>
      </c>
      <c r="D57" t="s">
        <v>385</v>
      </c>
      <c r="E57" t="s">
        <v>247</v>
      </c>
      <c r="F57" t="n">
        <v>125743.740279843</v>
      </c>
      <c r="G57" t="n">
        <v>127843.113134631</v>
      </c>
      <c r="H57" t="n">
        <v>129706.64203769</v>
      </c>
      <c r="I57" t="n">
        <v>133670.855802315</v>
      </c>
      <c r="J57" t="n">
        <v>139479.792994608</v>
      </c>
      <c r="K57" t="n">
        <v>146123.531023911</v>
      </c>
      <c r="L57" t="n">
        <v>152223.01143803</v>
      </c>
      <c r="M57" t="n">
        <v>158501.553816095</v>
      </c>
      <c r="N57" t="n">
        <v>162460.451207974</v>
      </c>
      <c r="O57" t="n">
        <v>166851.386995533</v>
      </c>
      <c r="P57" t="n">
        <v>170205.183095906</v>
      </c>
      <c r="Q57" t="n">
        <v>173489.017557733</v>
      </c>
      <c r="R57" t="n">
        <v>176362.073958888</v>
      </c>
      <c r="S57" t="n">
        <v>178703.766188137</v>
      </c>
      <c r="T57" t="n">
        <v>175238.484943168</v>
      </c>
      <c r="U57" t="n">
        <v>170217.706244573</v>
      </c>
      <c r="V57" t="n">
        <v>166800.571870215</v>
      </c>
      <c r="W57" t="n">
        <v>158494.484537889</v>
      </c>
      <c r="X57" t="n">
        <v>147933.313626397</v>
      </c>
      <c r="Y57" t="n">
        <v>139616.309576742</v>
      </c>
      <c r="Z57" t="n">
        <v>135253.605280086</v>
      </c>
      <c r="AA57" t="n">
        <v>134266.557119615</v>
      </c>
      <c r="AB57" t="n">
        <v>136168.690028982</v>
      </c>
      <c r="AC57" t="n">
        <v>138158.039224277</v>
      </c>
      <c r="AD57" t="n">
        <v>141438.890097465</v>
      </c>
      <c r="AE57" t="n">
        <v>138340.2</v>
      </c>
      <c r="AF57" t="n">
        <v>138895.8</v>
      </c>
    </row>
    <row r="58">
      <c r="A58" t="s">
        <v>144</v>
      </c>
      <c r="B58" t="s">
        <v>386</v>
      </c>
      <c r="C58" t="s">
        <v>246</v>
      </c>
      <c r="D58" t="s">
        <v>387</v>
      </c>
      <c r="E58" t="s">
        <v>247</v>
      </c>
      <c r="F58" t="n">
        <v>125743.740279843</v>
      </c>
      <c r="G58" t="n">
        <v>127843.113134631</v>
      </c>
      <c r="H58" t="n">
        <v>129706.64203769</v>
      </c>
      <c r="I58" t="n">
        <v>133670.855802315</v>
      </c>
      <c r="J58" t="n">
        <v>139479.792994608</v>
      </c>
      <c r="K58" t="n">
        <v>146123.531023911</v>
      </c>
      <c r="L58" t="n">
        <v>152223.01143803</v>
      </c>
      <c r="M58" t="n">
        <v>158501.553816095</v>
      </c>
      <c r="N58" t="n">
        <v>162460.451207974</v>
      </c>
      <c r="O58" t="n">
        <v>166851.386995533</v>
      </c>
      <c r="P58" t="n">
        <v>170205.183095906</v>
      </c>
      <c r="Q58" t="n">
        <v>173489.017557733</v>
      </c>
      <c r="R58" t="n">
        <v>176362.073958888</v>
      </c>
      <c r="S58" t="n">
        <v>178703.766188137</v>
      </c>
      <c r="T58" t="n">
        <v>175238.484943168</v>
      </c>
      <c r="U58" t="n">
        <v>170217.706244573</v>
      </c>
      <c r="V58" t="n">
        <v>166800.571870215</v>
      </c>
      <c r="W58" t="n">
        <v>158494.484537889</v>
      </c>
      <c r="X58" t="n">
        <v>147933.313626397</v>
      </c>
      <c r="Y58" t="n">
        <v>139616.309576742</v>
      </c>
      <c r="Z58" t="n">
        <v>135253.605280086</v>
      </c>
      <c r="AA58" t="n">
        <v>134266.557119615</v>
      </c>
      <c r="AB58" t="n">
        <v>136168.690028982</v>
      </c>
      <c r="AC58" t="n">
        <v>138158.039224277</v>
      </c>
      <c r="AD58" t="n">
        <v>141438.890097465</v>
      </c>
      <c r="AE58" t="n">
        <v>138340.2</v>
      </c>
      <c r="AF58" t="n">
        <v>138895.8</v>
      </c>
    </row>
    <row r="59">
      <c r="A59" t="s">
        <v>144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145</v>
      </c>
      <c r="B2" t="s">
        <v>197</v>
      </c>
      <c r="C2" t="s">
        <v>246</v>
      </c>
      <c r="D2" t="s">
        <v>199</v>
      </c>
      <c r="E2" t="s">
        <v>247</v>
      </c>
      <c r="F2" t="n">
        <v>25976.2720732398</v>
      </c>
      <c r="G2" t="n">
        <v>26532.4674715</v>
      </c>
      <c r="H2" t="n">
        <v>27252.5104516141</v>
      </c>
      <c r="I2" t="n">
        <v>28325.7961515753</v>
      </c>
      <c r="J2" t="n">
        <v>29413.2973296676</v>
      </c>
      <c r="K2" t="n">
        <v>31004.0414756379</v>
      </c>
      <c r="L2" t="n">
        <v>31962.0563617232</v>
      </c>
      <c r="M2" t="n">
        <v>32642.9214562671</v>
      </c>
      <c r="N2" t="n">
        <v>33211.0626957334</v>
      </c>
      <c r="O2" t="n">
        <v>34225.8895712182</v>
      </c>
      <c r="P2" t="n">
        <v>35124.749323432</v>
      </c>
      <c r="Q2" t="n">
        <v>36246.3818168104</v>
      </c>
      <c r="R2" t="n">
        <v>37010.5500786681</v>
      </c>
      <c r="S2" t="n">
        <v>37078.5394970044</v>
      </c>
      <c r="T2" t="n">
        <v>36414.3761611716</v>
      </c>
      <c r="U2" t="n">
        <v>36500.4673355836</v>
      </c>
      <c r="V2" t="n">
        <v>36435.7078410223</v>
      </c>
      <c r="W2" t="n">
        <v>36053.4443985423</v>
      </c>
      <c r="X2" t="n">
        <v>35377.1825676691</v>
      </c>
      <c r="Y2" t="n">
        <v>35130.2500634478</v>
      </c>
      <c r="Z2" t="n">
        <v>34785.3862993854</v>
      </c>
      <c r="AA2" t="n">
        <v>34782.6379455236</v>
      </c>
      <c r="AB2" t="n">
        <v>35314.4660130138</v>
      </c>
      <c r="AC2" t="n">
        <v>36354.7291910161</v>
      </c>
      <c r="AD2" t="n">
        <v>37237.6169286507</v>
      </c>
      <c r="AE2" t="n">
        <v>37353.8</v>
      </c>
      <c r="AF2" t="n">
        <v>38681.8</v>
      </c>
    </row>
    <row r="3">
      <c r="A3" t="s">
        <v>145</v>
      </c>
      <c r="B3" t="s">
        <v>276</v>
      </c>
      <c r="C3" t="s">
        <v>246</v>
      </c>
      <c r="D3" t="s">
        <v>277</v>
      </c>
      <c r="E3" t="s">
        <v>247</v>
      </c>
      <c r="F3" t="n">
        <v>2628.27455833035</v>
      </c>
      <c r="G3" t="n">
        <v>2789.91712617221</v>
      </c>
      <c r="H3" t="n">
        <v>3012.37067353444</v>
      </c>
      <c r="I3" t="n">
        <v>3168.62331694969</v>
      </c>
      <c r="J3" t="n">
        <v>3332.36519857774</v>
      </c>
      <c r="K3" t="n">
        <v>3542.78144269195</v>
      </c>
      <c r="L3" t="n">
        <v>3644.44609270073</v>
      </c>
      <c r="M3" t="n">
        <v>3788.31989926645</v>
      </c>
      <c r="N3" t="n">
        <v>3775.38285325982</v>
      </c>
      <c r="O3" t="n">
        <v>3827.98306119459</v>
      </c>
      <c r="P3" t="n">
        <v>4028.63326908549</v>
      </c>
      <c r="Q3" t="n">
        <v>4098.7580303039</v>
      </c>
      <c r="R3" t="n">
        <v>4312.92116432992</v>
      </c>
      <c r="S3" t="n">
        <v>4323.00441600248</v>
      </c>
      <c r="T3" t="n">
        <v>4223.50544451252</v>
      </c>
      <c r="U3" t="n">
        <v>4280.84052222919</v>
      </c>
      <c r="V3" t="n">
        <v>4303.35672802269</v>
      </c>
      <c r="W3" t="n">
        <v>4270.75866670197</v>
      </c>
      <c r="X3" t="n">
        <v>4347.79876987287</v>
      </c>
      <c r="Y3" t="n">
        <v>4382.52757256183</v>
      </c>
      <c r="Z3" t="n">
        <v>4416.3428958896</v>
      </c>
      <c r="AA3" t="n">
        <v>4666.11741641537</v>
      </c>
      <c r="AB3" t="n">
        <v>4573.4322144145</v>
      </c>
      <c r="AC3" t="n">
        <v>4958.67848079845</v>
      </c>
      <c r="AD3" t="n">
        <v>4900.25204937023</v>
      </c>
      <c r="AE3" t="n">
        <v>4703.6</v>
      </c>
      <c r="AF3" t="n">
        <v>4671.8</v>
      </c>
    </row>
    <row r="4">
      <c r="A4" t="s">
        <v>145</v>
      </c>
      <c r="B4" t="s">
        <v>278</v>
      </c>
      <c r="C4" t="s">
        <v>246</v>
      </c>
      <c r="D4" t="s">
        <v>279</v>
      </c>
      <c r="E4" t="s">
        <v>247</v>
      </c>
      <c r="F4" t="n">
        <v>223825.774930268</v>
      </c>
      <c r="G4" t="n">
        <v>223586.631078217</v>
      </c>
      <c r="H4" t="n">
        <v>222991.335919275</v>
      </c>
      <c r="I4" t="n">
        <v>225742.798827733</v>
      </c>
      <c r="J4" t="n">
        <v>230200.516880398</v>
      </c>
      <c r="K4" t="n">
        <v>236763.847730411</v>
      </c>
      <c r="L4" t="n">
        <v>242295.686146802</v>
      </c>
      <c r="M4" t="n">
        <v>248361.575543634</v>
      </c>
      <c r="N4" t="n">
        <v>252775.327202564</v>
      </c>
      <c r="O4" t="n">
        <v>256491.19420198</v>
      </c>
      <c r="P4" t="n">
        <v>260031.902357895</v>
      </c>
      <c r="Q4" t="n">
        <v>266488.593487871</v>
      </c>
      <c r="R4" t="n">
        <v>273101.893661327</v>
      </c>
      <c r="S4" t="n">
        <v>277788.744335762</v>
      </c>
      <c r="T4" t="n">
        <v>274836.889020949</v>
      </c>
      <c r="U4" t="n">
        <v>275850.878616918</v>
      </c>
      <c r="V4" t="n">
        <v>275912.627938527</v>
      </c>
      <c r="W4" t="n">
        <v>273965.249221812</v>
      </c>
      <c r="X4" t="n">
        <v>270515.715707843</v>
      </c>
      <c r="Y4" t="n">
        <v>268501.352937196</v>
      </c>
      <c r="Z4" t="n">
        <v>267694.763743394</v>
      </c>
      <c r="AA4" t="n">
        <v>268976.697053934</v>
      </c>
      <c r="AB4" t="n">
        <v>271653.888611661</v>
      </c>
      <c r="AC4" t="n">
        <v>277639.668994505</v>
      </c>
      <c r="AD4" t="n">
        <v>280506.887526748</v>
      </c>
      <c r="AE4" t="n">
        <v>278596.9</v>
      </c>
      <c r="AF4" t="n">
        <v>283640.5</v>
      </c>
    </row>
    <row r="5">
      <c r="A5" t="s">
        <v>145</v>
      </c>
      <c r="B5" t="s">
        <v>280</v>
      </c>
      <c r="C5" t="s">
        <v>246</v>
      </c>
      <c r="D5" t="s">
        <v>281</v>
      </c>
      <c r="E5" t="s">
        <v>247</v>
      </c>
      <c r="F5" t="n">
        <v>29266.9592395776</v>
      </c>
      <c r="G5" t="n">
        <v>29841.7894145622</v>
      </c>
      <c r="H5" t="n">
        <v>30653.8369524612</v>
      </c>
      <c r="I5" t="n">
        <v>30755.978179096</v>
      </c>
      <c r="J5" t="n">
        <v>32533.0157614404</v>
      </c>
      <c r="K5" t="n">
        <v>33880.0419793165</v>
      </c>
      <c r="L5" t="n">
        <v>34896.1492427396</v>
      </c>
      <c r="M5" t="n">
        <v>35952.591889634</v>
      </c>
      <c r="N5" t="n">
        <v>36231.5378682643</v>
      </c>
      <c r="O5" t="n">
        <v>37481.776432765</v>
      </c>
      <c r="P5" t="n">
        <v>37823.8143409166</v>
      </c>
      <c r="Q5" t="n">
        <v>39163.6331112117</v>
      </c>
      <c r="R5" t="n">
        <v>39922.4678405255</v>
      </c>
      <c r="S5" t="n">
        <v>40497.6842686385</v>
      </c>
      <c r="T5" t="n">
        <v>39621.2647557568</v>
      </c>
      <c r="U5" t="n">
        <v>39801.1208138989</v>
      </c>
      <c r="V5" t="n">
        <v>39818.0254690412</v>
      </c>
      <c r="W5" t="n">
        <v>39681.2527508908</v>
      </c>
      <c r="X5" t="n">
        <v>39199.5203100206</v>
      </c>
      <c r="Y5" t="n">
        <v>38841.6235304098</v>
      </c>
      <c r="Z5" t="n">
        <v>38220.5588963044</v>
      </c>
      <c r="AA5" t="n">
        <v>38102.0317976106</v>
      </c>
      <c r="AB5" t="n">
        <v>38329.8665220401</v>
      </c>
      <c r="AC5" t="n">
        <v>39982.1669058504</v>
      </c>
      <c r="AD5" t="n">
        <v>40294.1477483825</v>
      </c>
      <c r="AE5" t="n">
        <v>39523.7</v>
      </c>
      <c r="AF5"/>
    </row>
    <row r="6">
      <c r="A6" t="s">
        <v>145</v>
      </c>
      <c r="B6" t="s">
        <v>282</v>
      </c>
      <c r="C6" t="s">
        <v>246</v>
      </c>
      <c r="D6" t="s">
        <v>283</v>
      </c>
      <c r="E6" t="s">
        <v>247</v>
      </c>
      <c r="F6" t="n">
        <v>11987.440677352</v>
      </c>
      <c r="G6" t="n">
        <v>12179.497064827</v>
      </c>
      <c r="H6" t="n">
        <v>12139.6701632452</v>
      </c>
      <c r="I6" t="n">
        <v>12833.6999268467</v>
      </c>
      <c r="J6" t="n">
        <v>13003.3255503516</v>
      </c>
      <c r="K6" t="n">
        <v>13391.8765471546</v>
      </c>
      <c r="L6" t="n">
        <v>13741.0981510842</v>
      </c>
      <c r="M6" t="n">
        <v>14408.6580112683</v>
      </c>
      <c r="N6" t="n">
        <v>15020.7696895435</v>
      </c>
      <c r="O6" t="n">
        <v>15443.9653616535</v>
      </c>
      <c r="P6" t="n">
        <v>15844.4502051565</v>
      </c>
      <c r="Q6" t="n">
        <v>16113.0213046547</v>
      </c>
      <c r="R6" t="n">
        <v>16423.0677787384</v>
      </c>
      <c r="S6" t="n">
        <v>16850.0696367003</v>
      </c>
      <c r="T6" t="n">
        <v>16696.0465972911</v>
      </c>
      <c r="U6" t="n">
        <v>16742.0573225364</v>
      </c>
      <c r="V6" t="n">
        <v>16586.1596227719</v>
      </c>
      <c r="W6" t="n">
        <v>16284.4289088945</v>
      </c>
      <c r="X6" t="n">
        <v>15936.7473464239</v>
      </c>
      <c r="Y6" t="n">
        <v>15608.5049152063</v>
      </c>
      <c r="Z6" t="n">
        <v>15063.9191706104</v>
      </c>
      <c r="AA6" t="n">
        <v>14662.1138688698</v>
      </c>
      <c r="AB6" t="n">
        <v>14681.1301341281</v>
      </c>
      <c r="AC6" t="n">
        <v>14973.4570891127</v>
      </c>
      <c r="AD6" t="n">
        <v>14850.8612334802</v>
      </c>
      <c r="AE6" t="n">
        <v>14345.3</v>
      </c>
      <c r="AF6"/>
    </row>
    <row r="7">
      <c r="A7" t="s">
        <v>145</v>
      </c>
      <c r="B7" t="s">
        <v>284</v>
      </c>
      <c r="C7" t="s">
        <v>246</v>
      </c>
      <c r="D7" t="s">
        <v>285</v>
      </c>
      <c r="E7" t="s">
        <v>247</v>
      </c>
      <c r="F7" t="n">
        <v>24933.0682467766</v>
      </c>
      <c r="G7" t="n">
        <v>23961.7567696654</v>
      </c>
      <c r="H7" t="n">
        <v>22735.4999841913</v>
      </c>
      <c r="I7" t="n">
        <v>22262.3476771697</v>
      </c>
      <c r="J7" t="n">
        <v>21715.2760433398</v>
      </c>
      <c r="K7" t="n">
        <v>21360.0483337962</v>
      </c>
      <c r="L7" t="n">
        <v>21122.7372188914</v>
      </c>
      <c r="M7" t="n">
        <v>20701.1892709881</v>
      </c>
      <c r="N7" t="n">
        <v>20350.7304469887</v>
      </c>
      <c r="O7" t="n">
        <v>20014.7152792835</v>
      </c>
      <c r="P7" t="n">
        <v>19941.3889344101</v>
      </c>
      <c r="Q7" t="n">
        <v>19992.3378690645</v>
      </c>
      <c r="R7" t="n">
        <v>20101.0135186298</v>
      </c>
      <c r="S7" t="n">
        <v>20016.1096754467</v>
      </c>
      <c r="T7" t="n">
        <v>19454.6078877804</v>
      </c>
      <c r="U7" t="n">
        <v>19405.7003481698</v>
      </c>
      <c r="V7" t="n">
        <v>19361.7826828883</v>
      </c>
      <c r="W7" t="n">
        <v>19311.6152781426</v>
      </c>
      <c r="X7" t="n">
        <v>18831.9227098834</v>
      </c>
      <c r="Y7" t="n">
        <v>18470.8411927766</v>
      </c>
      <c r="Z7" t="n">
        <v>18416.032527945</v>
      </c>
      <c r="AA7" t="n">
        <v>18447.016610827</v>
      </c>
      <c r="AB7" t="n">
        <v>18643.0340437228</v>
      </c>
      <c r="AC7" t="n">
        <v>19235.5518399982</v>
      </c>
      <c r="AD7" t="n">
        <v>19269.3938477746</v>
      </c>
      <c r="AE7" t="n">
        <v>18883.9</v>
      </c>
      <c r="AF7"/>
    </row>
    <row r="8">
      <c r="A8" t="s">
        <v>145</v>
      </c>
      <c r="B8" t="s">
        <v>286</v>
      </c>
      <c r="C8" t="s">
        <v>246</v>
      </c>
      <c r="D8" t="s">
        <v>287</v>
      </c>
      <c r="E8" t="s">
        <v>247</v>
      </c>
      <c r="F8" t="n">
        <v>7460.21599471933</v>
      </c>
      <c r="G8" t="n">
        <v>7833.24735092239</v>
      </c>
      <c r="H8" t="n">
        <v>7731.4325777319</v>
      </c>
      <c r="I8" t="n">
        <v>8468.2121551097</v>
      </c>
      <c r="J8" t="n">
        <v>8432.92738300473</v>
      </c>
      <c r="K8" t="n">
        <v>8971.11350577671</v>
      </c>
      <c r="L8" t="n">
        <v>9639.27551924338</v>
      </c>
      <c r="M8" t="n">
        <v>9866.49001910835</v>
      </c>
      <c r="N8" t="n">
        <v>9922.75102465105</v>
      </c>
      <c r="O8" t="n">
        <v>9656.87875178573</v>
      </c>
      <c r="P8" t="n">
        <v>9546.44477073028</v>
      </c>
      <c r="Q8" t="n">
        <v>9538.85062430173</v>
      </c>
      <c r="R8" t="n">
        <v>9782.89601638968</v>
      </c>
      <c r="S8" t="n">
        <v>9820.46877813749</v>
      </c>
      <c r="T8" t="n">
        <v>10094.2557465332</v>
      </c>
      <c r="U8" t="n">
        <v>10100.4380434852</v>
      </c>
      <c r="V8" t="n">
        <v>10082.3036226578</v>
      </c>
      <c r="W8" t="n">
        <v>10177.9485321612</v>
      </c>
      <c r="X8" t="n">
        <v>10021.8224487666</v>
      </c>
      <c r="Y8" t="n">
        <v>9808.6637114266</v>
      </c>
      <c r="Z8" t="n">
        <v>9354.47292631656</v>
      </c>
      <c r="AA8" t="n">
        <v>9124.03506199177</v>
      </c>
      <c r="AB8" t="n">
        <v>8910.36969027385</v>
      </c>
      <c r="AC8" t="n">
        <v>8519.43859784318</v>
      </c>
      <c r="AD8" t="n">
        <v>8430.49979642502</v>
      </c>
      <c r="AE8" t="n">
        <v>8017.2</v>
      </c>
      <c r="AF8"/>
    </row>
    <row r="9">
      <c r="A9" t="s">
        <v>145</v>
      </c>
      <c r="B9" t="s">
        <v>288</v>
      </c>
      <c r="C9" t="s">
        <v>246</v>
      </c>
      <c r="D9" t="s">
        <v>289</v>
      </c>
      <c r="E9" t="s">
        <v>247</v>
      </c>
      <c r="F9" t="n">
        <v>8376.10767814143</v>
      </c>
      <c r="G9" t="n">
        <v>8884.47541478622</v>
      </c>
      <c r="H9" t="n">
        <v>10045.6204173845</v>
      </c>
      <c r="I9" t="n">
        <v>11377.4652620325</v>
      </c>
      <c r="J9" t="n">
        <v>12786.6623390118</v>
      </c>
      <c r="K9" t="n">
        <v>14017.32667361</v>
      </c>
      <c r="L9" t="n">
        <v>15151.4011730131</v>
      </c>
      <c r="M9" t="n">
        <v>16084.1609592136</v>
      </c>
      <c r="N9" t="n">
        <v>17500.7282647033</v>
      </c>
      <c r="O9" t="n">
        <v>18077.1676077632</v>
      </c>
      <c r="P9" t="n">
        <v>18590.5421440049</v>
      </c>
      <c r="Q9" t="n">
        <v>19580.2963348989</v>
      </c>
      <c r="R9" t="n">
        <v>20335.4730224062</v>
      </c>
      <c r="S9" t="n">
        <v>20532.2400421959</v>
      </c>
      <c r="T9" t="n">
        <v>20658.5608463862</v>
      </c>
      <c r="U9" t="n">
        <v>20791.6382412771</v>
      </c>
      <c r="V9" t="n">
        <v>20849.4602931962</v>
      </c>
      <c r="W9" t="n">
        <v>20476.270242151</v>
      </c>
      <c r="X9" t="n">
        <v>20340.6823679429</v>
      </c>
      <c r="Y9" t="n">
        <v>20478.2720950126</v>
      </c>
      <c r="Z9" t="n">
        <v>20331.4602035027</v>
      </c>
      <c r="AA9" t="n">
        <v>20478.6759151418</v>
      </c>
      <c r="AB9" t="n">
        <v>19935.2348542083</v>
      </c>
      <c r="AC9" t="n">
        <v>19722.6733249174</v>
      </c>
      <c r="AD9" t="n">
        <v>19380.5428134157</v>
      </c>
      <c r="AE9" t="n">
        <v>19068</v>
      </c>
      <c r="AF9"/>
    </row>
    <row r="10">
      <c r="A10" t="s">
        <v>145</v>
      </c>
      <c r="B10" t="s">
        <v>290</v>
      </c>
      <c r="C10" t="s">
        <v>246</v>
      </c>
      <c r="D10" t="s">
        <v>291</v>
      </c>
      <c r="E10" t="s">
        <v>247</v>
      </c>
      <c r="F10" t="n">
        <v>14516.0217574445</v>
      </c>
      <c r="G10" t="n">
        <v>15142.8200909483</v>
      </c>
      <c r="H10" t="n">
        <v>16550.0821049098</v>
      </c>
      <c r="I10" t="n">
        <v>18598.4872382571</v>
      </c>
      <c r="J10" t="n">
        <v>20530.1986841151</v>
      </c>
      <c r="K10" t="n">
        <v>22047.4660314242</v>
      </c>
      <c r="L10" t="n">
        <v>23294.3150684548</v>
      </c>
      <c r="M10" t="n">
        <v>24571.1819026188</v>
      </c>
      <c r="N10" t="n">
        <v>26313.9686000158</v>
      </c>
      <c r="O10" t="n">
        <v>26946.6105863179</v>
      </c>
      <c r="P10" t="n">
        <v>27696.0044324</v>
      </c>
      <c r="Q10" t="n">
        <v>28917.0620163013</v>
      </c>
      <c r="R10" t="n">
        <v>29797.3320067449</v>
      </c>
      <c r="S10" t="n">
        <v>29863.5937471031</v>
      </c>
      <c r="T10" t="n">
        <v>29936.7082582699</v>
      </c>
      <c r="U10" t="n">
        <v>30045.8996250453</v>
      </c>
      <c r="V10" t="n">
        <v>30070.9623805382</v>
      </c>
      <c r="W10" t="n">
        <v>29619.7659167245</v>
      </c>
      <c r="X10" t="n">
        <v>29539.6369427632</v>
      </c>
      <c r="Y10" t="n">
        <v>29934.7696056683</v>
      </c>
      <c r="Z10" t="n">
        <v>29982.0412513148</v>
      </c>
      <c r="AA10" t="n">
        <v>30504.0578734898</v>
      </c>
      <c r="AB10" t="n">
        <v>30735.0128315639</v>
      </c>
      <c r="AC10" t="n">
        <v>30933.597136993</v>
      </c>
      <c r="AD10" t="n">
        <v>30724.9167169284</v>
      </c>
      <c r="AE10" t="n">
        <v>30718.4</v>
      </c>
      <c r="AF10"/>
    </row>
    <row r="11">
      <c r="A11" t="s">
        <v>145</v>
      </c>
      <c r="B11" t="s">
        <v>292</v>
      </c>
      <c r="C11" t="s">
        <v>246</v>
      </c>
      <c r="D11" t="s">
        <v>293</v>
      </c>
      <c r="E11" t="s">
        <v>247</v>
      </c>
      <c r="F11" t="n">
        <v>6249.92509587693</v>
      </c>
      <c r="G11" t="n">
        <v>6360.08494621497</v>
      </c>
      <c r="H11" t="n">
        <v>6585.81684712123</v>
      </c>
      <c r="I11" t="n">
        <v>7304.5801782017</v>
      </c>
      <c r="J11" t="n">
        <v>7815.56273605739</v>
      </c>
      <c r="K11" t="n">
        <v>8082.11108128957</v>
      </c>
      <c r="L11" t="n">
        <v>8168.04902159752</v>
      </c>
      <c r="M11" t="n">
        <v>8503.2670494541</v>
      </c>
      <c r="N11" t="n">
        <v>8803.68195490238</v>
      </c>
      <c r="O11" t="n">
        <v>8845.32328238339</v>
      </c>
      <c r="P11" t="n">
        <v>9079.59769476235</v>
      </c>
      <c r="Q11" t="n">
        <v>9289.8419819269</v>
      </c>
      <c r="R11" t="n">
        <v>9393.61066027839</v>
      </c>
      <c r="S11" t="n">
        <v>9242.66328143263</v>
      </c>
      <c r="T11" t="n">
        <v>9178.59000356917</v>
      </c>
      <c r="U11" t="n">
        <v>9149.95018020231</v>
      </c>
      <c r="V11" t="n">
        <v>9113.85662672508</v>
      </c>
      <c r="W11" t="n">
        <v>9042.35368960856</v>
      </c>
      <c r="X11" t="n">
        <v>9103.65173761967</v>
      </c>
      <c r="Y11" t="n">
        <v>9374.80388089391</v>
      </c>
      <c r="Z11" t="n">
        <v>9589.73122945536</v>
      </c>
      <c r="AA11" t="n">
        <v>9986.05411183813</v>
      </c>
      <c r="AB11" t="n">
        <v>10781.0357052087</v>
      </c>
      <c r="AC11" t="n">
        <v>11200.6223030633</v>
      </c>
      <c r="AD11" t="n">
        <v>11338.9429259933</v>
      </c>
      <c r="AE11" t="n">
        <v>11650.4</v>
      </c>
      <c r="AF11"/>
    </row>
    <row r="12">
      <c r="A12" t="s">
        <v>145</v>
      </c>
      <c r="B12" t="s">
        <v>294</v>
      </c>
      <c r="C12" t="s">
        <v>246</v>
      </c>
      <c r="D12" t="s">
        <v>295</v>
      </c>
      <c r="E12" t="s">
        <v>247</v>
      </c>
      <c r="F12" t="n">
        <v>39961.5338058795</v>
      </c>
      <c r="G12" t="n">
        <v>37467.8483539429</v>
      </c>
      <c r="H12" t="n">
        <v>34963.0539322868</v>
      </c>
      <c r="I12" t="n">
        <v>32809.6689661866</v>
      </c>
      <c r="J12" t="n">
        <v>31769.8284782673</v>
      </c>
      <c r="K12" t="n">
        <v>31141.3030428218</v>
      </c>
      <c r="L12" t="n">
        <v>30373.9473379951</v>
      </c>
      <c r="M12" t="n">
        <v>29641.2283510601</v>
      </c>
      <c r="N12" t="n">
        <v>29781.9175793986</v>
      </c>
      <c r="O12" t="n">
        <v>29933.5176036443</v>
      </c>
      <c r="P12" t="n">
        <v>29716.825459118</v>
      </c>
      <c r="Q12" t="n">
        <v>30490.0240589243</v>
      </c>
      <c r="R12" t="n">
        <v>31060.9833412967</v>
      </c>
      <c r="S12" t="n">
        <v>32036.0765176392</v>
      </c>
      <c r="T12" t="n">
        <v>31152.8644389</v>
      </c>
      <c r="U12" t="n">
        <v>31376.0163856896</v>
      </c>
      <c r="V12" t="n">
        <v>31499.0892343804</v>
      </c>
      <c r="W12" t="n">
        <v>31378.9275054927</v>
      </c>
      <c r="X12" t="n">
        <v>30977.1878351922</v>
      </c>
      <c r="Y12" t="n">
        <v>30655.2629430613</v>
      </c>
      <c r="Z12" t="n">
        <v>30674.4634835549</v>
      </c>
      <c r="AA12" t="n">
        <v>30989.6408739096</v>
      </c>
      <c r="AB12" t="n">
        <v>31899.8977912317</v>
      </c>
      <c r="AC12" t="n">
        <v>32899.1883816319</v>
      </c>
      <c r="AD12" t="n">
        <v>33544.6746534423</v>
      </c>
      <c r="AE12" t="n">
        <v>33449.6</v>
      </c>
      <c r="AF12"/>
    </row>
    <row r="13">
      <c r="A13" t="s">
        <v>145</v>
      </c>
      <c r="B13" t="s">
        <v>296</v>
      </c>
      <c r="C13" t="s">
        <v>246</v>
      </c>
      <c r="D13" t="s">
        <v>297</v>
      </c>
      <c r="E13" t="s">
        <v>247</v>
      </c>
      <c r="F13" t="n">
        <v>32138.1379356347</v>
      </c>
      <c r="G13" t="n">
        <v>33122.4544354997</v>
      </c>
      <c r="H13" t="n">
        <v>33392.1302272629</v>
      </c>
      <c r="I13" t="n">
        <v>34601.7735852273</v>
      </c>
      <c r="J13" t="n">
        <v>35497.9176396165</v>
      </c>
      <c r="K13" t="n">
        <v>36783.2583417518</v>
      </c>
      <c r="L13" t="n">
        <v>38090.8177447118</v>
      </c>
      <c r="M13" t="n">
        <v>40064.6325934144</v>
      </c>
      <c r="N13" t="n">
        <v>41341.7480019328</v>
      </c>
      <c r="O13" t="n">
        <v>42374.8900184913</v>
      </c>
      <c r="P13" t="n">
        <v>42839.2931689322</v>
      </c>
      <c r="Q13" t="n">
        <v>43252.8489024893</v>
      </c>
      <c r="R13" t="n">
        <v>44826.1381224996</v>
      </c>
      <c r="S13" t="n">
        <v>45686.595636742</v>
      </c>
      <c r="T13" t="n">
        <v>45331.8259559681</v>
      </c>
      <c r="U13" t="n">
        <v>45602.8469075416</v>
      </c>
      <c r="V13" t="n">
        <v>45677.8819960505</v>
      </c>
      <c r="W13" t="n">
        <v>45409.3592159926</v>
      </c>
      <c r="X13" t="n">
        <v>44161.8351086843</v>
      </c>
      <c r="Y13" t="n">
        <v>43559.6648120888</v>
      </c>
      <c r="Z13" t="n">
        <v>43505.2613027479</v>
      </c>
      <c r="AA13" t="n">
        <v>43171.608794519</v>
      </c>
      <c r="AB13" t="n">
        <v>43057.8577302448</v>
      </c>
      <c r="AC13" t="n">
        <v>43762.557935749</v>
      </c>
      <c r="AD13" t="n">
        <v>45138.5156662214</v>
      </c>
      <c r="AE13" t="n">
        <v>45101.8</v>
      </c>
      <c r="AF13"/>
    </row>
    <row r="14">
      <c r="A14" t="s">
        <v>145</v>
      </c>
      <c r="B14" t="s">
        <v>298</v>
      </c>
      <c r="C14" t="s">
        <v>246</v>
      </c>
      <c r="D14" t="s">
        <v>299</v>
      </c>
      <c r="E14" t="s">
        <v>247</v>
      </c>
      <c r="F14" t="n">
        <v>5807.88671253472</v>
      </c>
      <c r="G14" t="n">
        <v>6109.8708827357</v>
      </c>
      <c r="H14" t="n">
        <v>6008.95353623944</v>
      </c>
      <c r="I14" t="n">
        <v>6738.77095093683</v>
      </c>
      <c r="J14" t="n">
        <v>7075.63624035622</v>
      </c>
      <c r="K14" t="n">
        <v>7245.94348165311</v>
      </c>
      <c r="L14" t="n">
        <v>7812.6646557169</v>
      </c>
      <c r="M14" t="n">
        <v>7710.15024936907</v>
      </c>
      <c r="N14" t="n">
        <v>7737.12527220105</v>
      </c>
      <c r="O14" t="n">
        <v>7855.99686489223</v>
      </c>
      <c r="P14" t="n">
        <v>8071.9201869412</v>
      </c>
      <c r="Q14" t="n">
        <v>8319.55704738208</v>
      </c>
      <c r="R14" t="n">
        <v>8602.66214286438</v>
      </c>
      <c r="S14" t="n">
        <v>8417.33090702395</v>
      </c>
      <c r="T14" t="n">
        <v>8504.43711810784</v>
      </c>
      <c r="U14" t="n">
        <v>8512.48930889411</v>
      </c>
      <c r="V14" t="n">
        <v>8496.0130237455</v>
      </c>
      <c r="W14" t="n">
        <v>8354.65578131674</v>
      </c>
      <c r="X14" t="n">
        <v>7924.62900090079</v>
      </c>
      <c r="Y14" t="n">
        <v>7551.61623623559</v>
      </c>
      <c r="Z14" t="n">
        <v>7132.38822166116</v>
      </c>
      <c r="AA14" t="n">
        <v>6859.95249418369</v>
      </c>
      <c r="AB14" t="n">
        <v>6900.50092833883</v>
      </c>
      <c r="AC14" t="n">
        <v>7023.8030578861</v>
      </c>
      <c r="AD14" t="n">
        <v>7121.74918512213</v>
      </c>
      <c r="AE14" t="n">
        <v>7245.2</v>
      </c>
      <c r="AF14"/>
    </row>
    <row r="15">
      <c r="A15" t="s">
        <v>145</v>
      </c>
      <c r="B15" t="s">
        <v>300</v>
      </c>
      <c r="C15" t="s">
        <v>246</v>
      </c>
      <c r="D15" t="s">
        <v>301</v>
      </c>
      <c r="E15" t="s">
        <v>247</v>
      </c>
      <c r="F15" t="n">
        <v>12754.1850426656</v>
      </c>
      <c r="G15" t="n">
        <v>13866.4439549169</v>
      </c>
      <c r="H15" t="n">
        <v>14116.095134896</v>
      </c>
      <c r="I15" t="n">
        <v>15232.6035258292</v>
      </c>
      <c r="J15" t="n">
        <v>16034.3932527083</v>
      </c>
      <c r="K15" t="n">
        <v>16817.3338272359</v>
      </c>
      <c r="L15" t="n">
        <v>17978.7221334449</v>
      </c>
      <c r="M15" t="n">
        <v>18301.9375648292</v>
      </c>
      <c r="N15" t="n">
        <v>18614.9782934891</v>
      </c>
      <c r="O15" t="n">
        <v>19180.5710283558</v>
      </c>
      <c r="P15" t="n">
        <v>19781.1098550697</v>
      </c>
      <c r="Q15" t="n">
        <v>20448.4626648011</v>
      </c>
      <c r="R15" t="n">
        <v>21306.4208120846</v>
      </c>
      <c r="S15" t="n">
        <v>21394.7991462814</v>
      </c>
      <c r="T15" t="n">
        <v>21256.165273518</v>
      </c>
      <c r="U15" t="n">
        <v>21352.4548083285</v>
      </c>
      <c r="V15" t="n">
        <v>21382.7180777319</v>
      </c>
      <c r="W15" t="n">
        <v>20833.9656276336</v>
      </c>
      <c r="X15" t="n">
        <v>19842.0629904031</v>
      </c>
      <c r="Y15" t="n">
        <v>18931.64234132</v>
      </c>
      <c r="Z15" t="n">
        <v>18048.6760552204</v>
      </c>
      <c r="AA15" t="n">
        <v>17479.3795486398</v>
      </c>
      <c r="AB15" t="n">
        <v>17477.9069542754</v>
      </c>
      <c r="AC15" t="n">
        <v>17503.5272929657</v>
      </c>
      <c r="AD15" t="n">
        <v>17441.4233886317</v>
      </c>
      <c r="AE15" t="n">
        <v>17304.8</v>
      </c>
      <c r="AF15"/>
    </row>
    <row r="16">
      <c r="A16" t="s">
        <v>145</v>
      </c>
      <c r="B16" t="s">
        <v>302</v>
      </c>
      <c r="C16" t="s">
        <v>246</v>
      </c>
      <c r="D16" t="s">
        <v>303</v>
      </c>
      <c r="E16" t="s">
        <v>247</v>
      </c>
      <c r="F16" t="n">
        <v>6898.3105879364</v>
      </c>
      <c r="G16" t="n">
        <v>7719.51528074207</v>
      </c>
      <c r="H16" t="n">
        <v>8084.76962707541</v>
      </c>
      <c r="I16" t="n">
        <v>8451.06643803231</v>
      </c>
      <c r="J16" t="n">
        <v>8915.07898573037</v>
      </c>
      <c r="K16" t="n">
        <v>9538.8937764213</v>
      </c>
      <c r="L16" t="n">
        <v>10126.1602015065</v>
      </c>
      <c r="M16" t="n">
        <v>10569.8321690982</v>
      </c>
      <c r="N16" t="n">
        <v>10863.1581264903</v>
      </c>
      <c r="O16" t="n">
        <v>11317.0826415815</v>
      </c>
      <c r="P16" t="n">
        <v>11703.0853112817</v>
      </c>
      <c r="Q16" t="n">
        <v>12123.5987075917</v>
      </c>
      <c r="R16" t="n">
        <v>12700.8183420791</v>
      </c>
      <c r="S16" t="n">
        <v>12980.9270591311</v>
      </c>
      <c r="T16" t="n">
        <v>12751.9741914968</v>
      </c>
      <c r="U16" t="n">
        <v>12840.6827980059</v>
      </c>
      <c r="V16" t="n">
        <v>12887.5433616778</v>
      </c>
      <c r="W16" t="n">
        <v>12479.7550388145</v>
      </c>
      <c r="X16" t="n">
        <v>11918.0470561393</v>
      </c>
      <c r="Y16" t="n">
        <v>11380.6466546458</v>
      </c>
      <c r="Z16" t="n">
        <v>10917.0698147049</v>
      </c>
      <c r="AA16" t="n">
        <v>10620.3465551967</v>
      </c>
      <c r="AB16" t="n">
        <v>10578.4087834013</v>
      </c>
      <c r="AC16" t="n">
        <v>10480.4605539254</v>
      </c>
      <c r="AD16" t="n">
        <v>10319.7689330378</v>
      </c>
      <c r="AE16" t="n">
        <v>10059.6</v>
      </c>
      <c r="AF16"/>
    </row>
    <row r="17">
      <c r="A17" t="s">
        <v>145</v>
      </c>
      <c r="B17" t="s">
        <v>304</v>
      </c>
      <c r="C17" t="s">
        <v>246</v>
      </c>
      <c r="D17" t="s">
        <v>305</v>
      </c>
      <c r="E17" t="s">
        <v>247</v>
      </c>
      <c r="F17" t="n">
        <v>17117.5792453602</v>
      </c>
      <c r="G17" t="n">
        <v>16871.6241715822</v>
      </c>
      <c r="H17" t="n">
        <v>17132.2359528764</v>
      </c>
      <c r="I17" t="n">
        <v>16996.60969039</v>
      </c>
      <c r="J17" t="n">
        <v>17459.8599675322</v>
      </c>
      <c r="K17" t="n">
        <v>18272.3992100759</v>
      </c>
      <c r="L17" t="n">
        <v>18617.4398165707</v>
      </c>
      <c r="M17" t="n">
        <v>19295.7155618123</v>
      </c>
      <c r="N17" t="n">
        <v>19371.6573876414</v>
      </c>
      <c r="O17" t="n">
        <v>19603.3877277774</v>
      </c>
      <c r="P17" t="n">
        <v>20107.2599698853</v>
      </c>
      <c r="Q17" t="n">
        <v>20472.358892689</v>
      </c>
      <c r="R17" t="n">
        <v>21076.9117727415</v>
      </c>
      <c r="S17" t="n">
        <v>21787.9056014343</v>
      </c>
      <c r="T17" t="n">
        <v>21360.9000625444</v>
      </c>
      <c r="U17" t="n">
        <v>21416.6384219025</v>
      </c>
      <c r="V17" t="n">
        <v>21417.2927513312</v>
      </c>
      <c r="W17" t="n">
        <v>21131.8794206468</v>
      </c>
      <c r="X17" t="n">
        <v>21070.6699107906</v>
      </c>
      <c r="Y17" t="n">
        <v>21021.4600989387</v>
      </c>
      <c r="Z17" t="n">
        <v>21225.8854496318</v>
      </c>
      <c r="AA17" t="n">
        <v>21436.9758420834</v>
      </c>
      <c r="AB17" t="n">
        <v>22069.6095936874</v>
      </c>
      <c r="AC17" t="n">
        <v>23170.3560929766</v>
      </c>
      <c r="AD17" t="n">
        <v>23173.7976308377</v>
      </c>
      <c r="AE17" t="n">
        <v>23101.2</v>
      </c>
      <c r="AF17"/>
    </row>
    <row r="18">
      <c r="A18" t="s">
        <v>145</v>
      </c>
      <c r="B18" t="s">
        <v>306</v>
      </c>
      <c r="C18" t="s">
        <v>246</v>
      </c>
      <c r="D18" t="s">
        <v>307</v>
      </c>
      <c r="E18" t="s">
        <v>247</v>
      </c>
      <c r="F18" t="n">
        <v>23831.2659269299</v>
      </c>
      <c r="G18" t="n">
        <v>23393.7293719829</v>
      </c>
      <c r="H18" t="n">
        <v>23462.4997730843</v>
      </c>
      <c r="I18" t="n">
        <v>22946.2465221971</v>
      </c>
      <c r="J18" t="n">
        <v>23011.3018168863</v>
      </c>
      <c r="K18" t="n">
        <v>23510.6607584128</v>
      </c>
      <c r="L18" t="n">
        <v>23661.6841877802</v>
      </c>
      <c r="M18" t="n">
        <v>24229.0266324151</v>
      </c>
      <c r="N18" t="n">
        <v>24239.2553480555</v>
      </c>
      <c r="O18" t="n">
        <v>24123.7041410162</v>
      </c>
      <c r="P18" t="n">
        <v>24878.1459243303</v>
      </c>
      <c r="Q18" t="n">
        <v>25961.4647014417</v>
      </c>
      <c r="R18" t="n">
        <v>26244.344075841</v>
      </c>
      <c r="S18" t="n">
        <v>27240.0955628574</v>
      </c>
      <c r="T18" t="n">
        <v>27337.0933247372</v>
      </c>
      <c r="U18" t="n">
        <v>27398.416825128</v>
      </c>
      <c r="V18" t="n">
        <v>27393.3859203432</v>
      </c>
      <c r="W18" t="n">
        <v>27795.6403239671</v>
      </c>
      <c r="X18" t="n">
        <v>28910.0783404638</v>
      </c>
      <c r="Y18" t="n">
        <v>29988.9742009266</v>
      </c>
      <c r="Z18" t="n">
        <v>31717.5160905127</v>
      </c>
      <c r="AA18" t="n">
        <v>33753.3678999972</v>
      </c>
      <c r="AB18" t="n">
        <v>34568.4990954488</v>
      </c>
      <c r="AC18" t="n">
        <v>35232.0159521638</v>
      </c>
      <c r="AD18" t="n">
        <v>35914.1101377083</v>
      </c>
      <c r="AE18" t="n">
        <v>36496.7</v>
      </c>
      <c r="AF18"/>
    </row>
    <row r="19">
      <c r="A19" t="s">
        <v>145</v>
      </c>
      <c r="B19" t="s">
        <v>308</v>
      </c>
      <c r="C19" t="s">
        <v>246</v>
      </c>
      <c r="D19" t="s">
        <v>309</v>
      </c>
      <c r="E19" t="s">
        <v>247</v>
      </c>
      <c r="F19" t="n">
        <v>9579.97444064727</v>
      </c>
      <c r="G19" t="n">
        <v>9632.90852178107</v>
      </c>
      <c r="H19" t="n">
        <v>9876.31330816492</v>
      </c>
      <c r="I19" t="n">
        <v>10092.7553624441</v>
      </c>
      <c r="J19" t="n">
        <v>10096.4469817586</v>
      </c>
      <c r="K19" t="n">
        <v>10488.3840481949</v>
      </c>
      <c r="L19" t="n">
        <v>10785.1983571528</v>
      </c>
      <c r="M19" t="n">
        <v>11279.7668335422</v>
      </c>
      <c r="N19" t="n">
        <v>11619.4499632783</v>
      </c>
      <c r="O19" t="n">
        <v>11791.453680509</v>
      </c>
      <c r="P19" t="n">
        <v>11931.6260351496</v>
      </c>
      <c r="Q19" t="n">
        <v>12225.4487631033</v>
      </c>
      <c r="R19" t="n">
        <v>12627.6952293512</v>
      </c>
      <c r="S19" t="n">
        <v>12660.9921771559</v>
      </c>
      <c r="T19" t="n">
        <v>12650.059448564</v>
      </c>
      <c r="U19" t="n">
        <v>12661.0783732519</v>
      </c>
      <c r="V19" t="n">
        <v>12655.7759978044</v>
      </c>
      <c r="W19" t="n">
        <v>12346.6261147205</v>
      </c>
      <c r="X19" t="n">
        <v>12013.4371202193</v>
      </c>
      <c r="Y19" t="n">
        <v>11660.6600594882</v>
      </c>
      <c r="Z19" t="n">
        <v>11454.69932813</v>
      </c>
      <c r="AA19" t="n">
        <v>11305.4090853913</v>
      </c>
      <c r="AB19" t="n">
        <v>11294.8910559871</v>
      </c>
      <c r="AC19" t="n">
        <v>11445.6846187547</v>
      </c>
      <c r="AD19" t="n">
        <v>11730.2370700256</v>
      </c>
      <c r="AE19" t="n">
        <v>11654.3</v>
      </c>
      <c r="AF19"/>
    </row>
    <row r="20">
      <c r="A20" t="s">
        <v>145</v>
      </c>
      <c r="B20" t="s">
        <v>310</v>
      </c>
      <c r="C20" t="s">
        <v>246</v>
      </c>
      <c r="D20" t="s">
        <v>311</v>
      </c>
      <c r="E20" t="s">
        <v>247</v>
      </c>
      <c r="F20" t="n">
        <v>22351.5700412043</v>
      </c>
      <c r="G20" t="n">
        <v>23285.3020197047</v>
      </c>
      <c r="H20" t="n">
        <v>24610.6382341543</v>
      </c>
      <c r="I20" t="n">
        <v>26635.1871971499</v>
      </c>
      <c r="J20" t="n">
        <v>28631.2163266197</v>
      </c>
      <c r="K20" t="n">
        <v>29846.3057752396</v>
      </c>
      <c r="L20" t="n">
        <v>30389.2979074179</v>
      </c>
      <c r="M20" t="n">
        <v>31209.4170842464</v>
      </c>
      <c r="N20" t="n">
        <v>32110.6313340021</v>
      </c>
      <c r="O20" t="n">
        <v>32039.807300672</v>
      </c>
      <c r="P20" t="n">
        <v>32819.0096945986</v>
      </c>
      <c r="Q20" t="n">
        <v>33414.244763066</v>
      </c>
      <c r="R20" t="n">
        <v>33981.2589407648</v>
      </c>
      <c r="S20" t="n">
        <v>35451.8536748061</v>
      </c>
      <c r="T20" t="n">
        <v>35104.0831073149</v>
      </c>
      <c r="U20" t="n">
        <v>35118.5863451491</v>
      </c>
      <c r="V20" t="n">
        <v>35079.0909397592</v>
      </c>
      <c r="W20" t="n">
        <v>34609.2768799967</v>
      </c>
      <c r="X20" t="n">
        <v>34761.2522791092</v>
      </c>
      <c r="Y20" t="n">
        <v>33515.7931504889</v>
      </c>
      <c r="Z20" t="n">
        <v>31575.6466954687</v>
      </c>
      <c r="AA20" t="n">
        <v>30576.645999198</v>
      </c>
      <c r="AB20" t="n">
        <v>28504.0495933466</v>
      </c>
      <c r="AC20" t="n">
        <v>26628.2969752435</v>
      </c>
      <c r="AD20" t="n">
        <v>24816.5735477406</v>
      </c>
      <c r="AE20" t="n">
        <v>23052.7</v>
      </c>
      <c r="AF20" t="n">
        <v>21942.5</v>
      </c>
    </row>
    <row r="21">
      <c r="A21" t="s">
        <v>145</v>
      </c>
      <c r="B21" t="s">
        <v>312</v>
      </c>
      <c r="C21" t="s">
        <v>246</v>
      </c>
      <c r="D21" t="s">
        <v>313</v>
      </c>
      <c r="E21" t="s">
        <v>247</v>
      </c>
      <c r="F21" t="n">
        <v>31445.2525866108</v>
      </c>
      <c r="G21" t="n">
        <v>32961.7046420765</v>
      </c>
      <c r="H21" t="n">
        <v>35073.6925966103</v>
      </c>
      <c r="I21" t="n">
        <v>37953.9660123031</v>
      </c>
      <c r="J21" t="n">
        <v>40777.8406130898</v>
      </c>
      <c r="K21" t="n">
        <v>42400.1109899329</v>
      </c>
      <c r="L21" t="n">
        <v>43534.0854786899</v>
      </c>
      <c r="M21" t="n">
        <v>44853.0458796906</v>
      </c>
      <c r="N21" t="n">
        <v>46211.8575235929</v>
      </c>
      <c r="O21" t="n">
        <v>46774.9126446211</v>
      </c>
      <c r="P21" t="n">
        <v>47790.7285243278</v>
      </c>
      <c r="Q21" t="n">
        <v>49084.1425760409</v>
      </c>
      <c r="R21" t="n">
        <v>50096.4563232332</v>
      </c>
      <c r="S21" t="n">
        <v>51707.5889013861</v>
      </c>
      <c r="T21" t="n">
        <v>51270.5091124952</v>
      </c>
      <c r="U21" t="n">
        <v>51384.947243499</v>
      </c>
      <c r="V21" t="n">
        <v>51394.9729942445</v>
      </c>
      <c r="W21" t="n">
        <v>51488.7462783041</v>
      </c>
      <c r="X21" t="n">
        <v>51420.7559138279</v>
      </c>
      <c r="Y21" t="n">
        <v>49881.2739536246</v>
      </c>
      <c r="Z21" t="n">
        <v>47997.2109107273</v>
      </c>
      <c r="AA21" t="n">
        <v>47288.2287452867</v>
      </c>
      <c r="AB21" t="n">
        <v>45622.2073755135</v>
      </c>
      <c r="AC21" t="n">
        <v>44492.3638285797</v>
      </c>
      <c r="AD21" t="n">
        <v>43467.6840212281</v>
      </c>
      <c r="AE21" t="n">
        <v>42337.5</v>
      </c>
      <c r="AF21" t="n">
        <v>42466.1</v>
      </c>
    </row>
    <row r="22">
      <c r="A22" t="s">
        <v>145</v>
      </c>
      <c r="B22" t="s">
        <v>314</v>
      </c>
      <c r="C22" t="s">
        <v>246</v>
      </c>
      <c r="D22" t="s">
        <v>315</v>
      </c>
      <c r="E22" t="s">
        <v>247</v>
      </c>
      <c r="F22" t="n">
        <v>9079.65624829783</v>
      </c>
      <c r="G22" t="n">
        <v>9665.11246119911</v>
      </c>
      <c r="H22" t="n">
        <v>10454.4360298962</v>
      </c>
      <c r="I22" t="n">
        <v>11309.3874328668</v>
      </c>
      <c r="J22" t="n">
        <v>12136.2782699778</v>
      </c>
      <c r="K22" t="n">
        <v>12542.0242691392</v>
      </c>
      <c r="L22" t="n">
        <v>13135.573669248</v>
      </c>
      <c r="M22" t="n">
        <v>13634.6538303787</v>
      </c>
      <c r="N22" t="n">
        <v>14092.0428068519</v>
      </c>
      <c r="O22" t="n">
        <v>14728.2675084582</v>
      </c>
      <c r="P22" t="n">
        <v>14964.5434020176</v>
      </c>
      <c r="Q22" t="n">
        <v>15662.800460179</v>
      </c>
      <c r="R22" t="n">
        <v>16107.7147245196</v>
      </c>
      <c r="S22" t="n">
        <v>16252.1465809918</v>
      </c>
      <c r="T22" t="n">
        <v>16162.2848776115</v>
      </c>
      <c r="U22" t="n">
        <v>16261.7566805291</v>
      </c>
      <c r="V22" t="n">
        <v>16311.066346236</v>
      </c>
      <c r="W22" t="n">
        <v>16874.563619586</v>
      </c>
      <c r="X22" t="n">
        <v>16654.4291230774</v>
      </c>
      <c r="Y22" t="n">
        <v>16360.6060800974</v>
      </c>
      <c r="Z22" t="n">
        <v>16415.4408187651</v>
      </c>
      <c r="AA22" t="n">
        <v>16704.2303101867</v>
      </c>
      <c r="AB22" t="n">
        <v>17113.2431188947</v>
      </c>
      <c r="AC22" t="n">
        <v>17859.5262546223</v>
      </c>
      <c r="AD22" t="n">
        <v>18646.357049419</v>
      </c>
      <c r="AE22" t="n">
        <v>19284.8</v>
      </c>
      <c r="AF22" t="n">
        <v>20523.6</v>
      </c>
    </row>
    <row r="23">
      <c r="A23" t="s">
        <v>145</v>
      </c>
      <c r="B23" t="s">
        <v>316</v>
      </c>
      <c r="C23" t="s">
        <v>246</v>
      </c>
      <c r="D23" t="s">
        <v>317</v>
      </c>
      <c r="E23" t="s">
        <v>247</v>
      </c>
      <c r="F23" t="n">
        <v>17105.4669066158</v>
      </c>
      <c r="G23" t="n">
        <v>16777.7602565307</v>
      </c>
      <c r="H23" t="n">
        <v>16751.6192702953</v>
      </c>
      <c r="I23" t="n">
        <v>17743.262124807</v>
      </c>
      <c r="J23" t="n">
        <v>17555.2965469114</v>
      </c>
      <c r="K23" t="n">
        <v>18037.8731222418</v>
      </c>
      <c r="L23" t="n">
        <v>19038.8417542936</v>
      </c>
      <c r="M23" t="n">
        <v>19649.4288521299</v>
      </c>
      <c r="N23" t="n">
        <v>20698.154564296</v>
      </c>
      <c r="O23" t="n">
        <v>20714.0006834434</v>
      </c>
      <c r="P23" t="n">
        <v>21193.5893952154</v>
      </c>
      <c r="Q23" t="n">
        <v>22053.8641939152</v>
      </c>
      <c r="R23" t="n">
        <v>23040.6085974809</v>
      </c>
      <c r="S23" t="n">
        <v>23250.4989993751</v>
      </c>
      <c r="T23" t="n">
        <v>22270.5849060333</v>
      </c>
      <c r="U23" t="n">
        <v>22393.3713945123</v>
      </c>
      <c r="V23" t="n">
        <v>22300.6165434545</v>
      </c>
      <c r="W23" t="n">
        <v>20930.3594376377</v>
      </c>
      <c r="X23" t="n">
        <v>19480.8975392005</v>
      </c>
      <c r="Y23" t="n">
        <v>18152.0323929068</v>
      </c>
      <c r="Z23" t="n">
        <v>17013.6110697275</v>
      </c>
      <c r="AA23" t="n">
        <v>16299.7022767081</v>
      </c>
      <c r="AB23" t="n">
        <v>16698.0150092092</v>
      </c>
      <c r="AC23" t="n">
        <v>16256.7450086977</v>
      </c>
      <c r="AD23" t="n">
        <v>16051.1441759607</v>
      </c>
      <c r="AE23" t="n">
        <v>15651.9</v>
      </c>
      <c r="AF23" t="n">
        <v>16220.5</v>
      </c>
    </row>
    <row r="24">
      <c r="A24" t="s">
        <v>145</v>
      </c>
      <c r="B24" t="s">
        <v>318</v>
      </c>
      <c r="C24" t="s">
        <v>246</v>
      </c>
      <c r="D24" t="s">
        <v>319</v>
      </c>
      <c r="E24" t="s">
        <v>247</v>
      </c>
      <c r="F24" t="n">
        <v>35706.3708858585</v>
      </c>
      <c r="G24" t="n">
        <v>36537.2961140287</v>
      </c>
      <c r="H24" t="n">
        <v>38623.4089326588</v>
      </c>
      <c r="I24" t="n">
        <v>39094.6299957282</v>
      </c>
      <c r="J24" t="n">
        <v>40205.9431445543</v>
      </c>
      <c r="K24" t="n">
        <v>42473.7145860268</v>
      </c>
      <c r="L24" t="n">
        <v>43943.6593797936</v>
      </c>
      <c r="M24" t="n">
        <v>45909.050053431</v>
      </c>
      <c r="N24" t="n">
        <v>46712.5147012507</v>
      </c>
      <c r="O24" t="n">
        <v>48195.4458595877</v>
      </c>
      <c r="P24" t="n">
        <v>49611.5607386782</v>
      </c>
      <c r="Q24" t="n">
        <v>51338.3880583172</v>
      </c>
      <c r="R24" t="n">
        <v>53330.8204599844</v>
      </c>
      <c r="S24" t="n">
        <v>53382.6768823397</v>
      </c>
      <c r="T24" t="n">
        <v>52672.3512682572</v>
      </c>
      <c r="U24" t="n">
        <v>52506.0481275574</v>
      </c>
      <c r="V24" t="n">
        <v>52346.8085446275</v>
      </c>
      <c r="W24" t="n">
        <v>50544.6407289636</v>
      </c>
      <c r="X24" t="n">
        <v>48735.0071157342</v>
      </c>
      <c r="Y24" t="n">
        <v>46528.9693106129</v>
      </c>
      <c r="Z24" t="n">
        <v>45157.7974114452</v>
      </c>
      <c r="AA24" t="n">
        <v>44626.1142225216</v>
      </c>
      <c r="AB24" t="n">
        <v>44767.4676679814</v>
      </c>
      <c r="AC24" t="n">
        <v>45891.1159656043</v>
      </c>
      <c r="AD24" t="n">
        <v>45880.8030539989</v>
      </c>
      <c r="AE24" t="n">
        <v>44932.1</v>
      </c>
      <c r="AF24" t="n">
        <v>44685.6</v>
      </c>
    </row>
    <row r="25">
      <c r="A25" t="s">
        <v>145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145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145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145</v>
      </c>
      <c r="B28" t="s">
        <v>326</v>
      </c>
      <c r="C28" t="s">
        <v>246</v>
      </c>
      <c r="D28" t="s">
        <v>327</v>
      </c>
      <c r="E28" t="s">
        <v>247</v>
      </c>
      <c r="F28" t="n">
        <v>13939.1595520096</v>
      </c>
      <c r="G28" t="n">
        <v>14383.1760128957</v>
      </c>
      <c r="H28" t="n">
        <v>15673.7322931437</v>
      </c>
      <c r="I28" t="n">
        <v>17053.9010617229</v>
      </c>
      <c r="J28" t="n">
        <v>18700.0569385694</v>
      </c>
      <c r="K28" t="n">
        <v>19747.6069246495</v>
      </c>
      <c r="L28" t="n">
        <v>20783.6033494664</v>
      </c>
      <c r="M28" t="n">
        <v>22371.438714677</v>
      </c>
      <c r="N28" t="n">
        <v>22746.2702658431</v>
      </c>
      <c r="O28" t="n">
        <v>23460.1528221021</v>
      </c>
      <c r="P28" t="n">
        <v>24706.2339576361</v>
      </c>
      <c r="Q28" t="n">
        <v>25823.9629593247</v>
      </c>
      <c r="R28" t="n">
        <v>27293.5282354715</v>
      </c>
      <c r="S28" t="n">
        <v>27465.7148562006</v>
      </c>
      <c r="T28" t="n">
        <v>28182.1131599454</v>
      </c>
      <c r="U28" t="n">
        <v>28479.6096822576</v>
      </c>
      <c r="V28" t="n">
        <v>28541.317645104</v>
      </c>
      <c r="W28" t="n">
        <v>27476.0225950361</v>
      </c>
      <c r="X28" t="n">
        <v>26404.9987421647</v>
      </c>
      <c r="Y28" t="n">
        <v>25859.4144195891</v>
      </c>
      <c r="Z28" t="n">
        <v>24491.6502143794</v>
      </c>
      <c r="AA28" t="n">
        <v>22905.7256565019</v>
      </c>
      <c r="AB28" t="n">
        <v>21821.4340632809</v>
      </c>
      <c r="AC28" t="n">
        <v>20840.4659712082</v>
      </c>
      <c r="AD28" t="n">
        <v>20582.9629770116</v>
      </c>
      <c r="AE28" t="n">
        <v>20013.8</v>
      </c>
      <c r="AF28" t="n">
        <v>19906.4</v>
      </c>
    </row>
    <row r="29">
      <c r="A29" t="s">
        <v>145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145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145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145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145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145</v>
      </c>
      <c r="B34" t="s">
        <v>338</v>
      </c>
      <c r="C34" t="s">
        <v>246</v>
      </c>
      <c r="D34" t="s">
        <v>339</v>
      </c>
      <c r="E34" t="s">
        <v>247</v>
      </c>
      <c r="F34" t="n">
        <v>11310.4713017006</v>
      </c>
      <c r="G34" t="n">
        <v>12218.1263245019</v>
      </c>
      <c r="H34" t="n">
        <v>12008.8099431206</v>
      </c>
      <c r="I34" t="n">
        <v>12415.3061797782</v>
      </c>
      <c r="J34" t="n">
        <v>12792.6952433473</v>
      </c>
      <c r="K34" t="n">
        <v>13686.36407991</v>
      </c>
      <c r="L34" t="n">
        <v>14433.4722644051</v>
      </c>
      <c r="M34" t="n">
        <v>14931.0657794519</v>
      </c>
      <c r="N34" t="n">
        <v>15284.5205256704</v>
      </c>
      <c r="O34" t="n">
        <v>15773.7821793157</v>
      </c>
      <c r="P34" t="n">
        <v>16424.3555440519</v>
      </c>
      <c r="Q34" t="n">
        <v>17004.022511105</v>
      </c>
      <c r="R34" t="n">
        <v>17986.7930085052</v>
      </c>
      <c r="S34" t="n">
        <v>18518.2290024059</v>
      </c>
      <c r="T34" t="n">
        <v>18515.7324357358</v>
      </c>
      <c r="U34" t="n">
        <v>18420.4445237413</v>
      </c>
      <c r="V34" t="n">
        <v>18355.7145238646</v>
      </c>
      <c r="W34" t="n">
        <v>17772.560062191</v>
      </c>
      <c r="X34" t="n">
        <v>17089.632654659</v>
      </c>
      <c r="Y34" t="n">
        <v>16302.9289662517</v>
      </c>
      <c r="Z34" t="n">
        <v>15312.9806504175</v>
      </c>
      <c r="AA34" t="n">
        <v>14507.5699524949</v>
      </c>
      <c r="AB34" t="n">
        <v>13795.2135387227</v>
      </c>
      <c r="AC34" t="n">
        <v>13278.7132447361</v>
      </c>
      <c r="AD34" t="n">
        <v>13036.222895929</v>
      </c>
      <c r="AE34" t="n">
        <v>12620.2</v>
      </c>
      <c r="AF34" t="n">
        <v>12509.3</v>
      </c>
    </row>
    <row r="35">
      <c r="A35" t="s">
        <v>145</v>
      </c>
      <c r="B35" t="s">
        <v>340</v>
      </c>
      <c r="C35" t="s">
        <v>246</v>
      </c>
      <c r="D35" t="s">
        <v>341</v>
      </c>
      <c r="E35" t="s">
        <v>247</v>
      </c>
      <c r="F35" t="n">
        <v>3368.74089633796</v>
      </c>
      <c r="G35" t="n">
        <v>3488.01784628247</v>
      </c>
      <c r="H35" t="n">
        <v>3698.12106006989</v>
      </c>
      <c r="I35" t="n">
        <v>3891.28641152706</v>
      </c>
      <c r="J35" t="n">
        <v>4093.54512440825</v>
      </c>
      <c r="K35" t="n">
        <v>4292.5913270533</v>
      </c>
      <c r="L35" t="n">
        <v>4479.81791906824</v>
      </c>
      <c r="M35" t="n">
        <v>4735.40705220731</v>
      </c>
      <c r="N35" t="n">
        <v>5045.04696518959</v>
      </c>
      <c r="O35" t="n">
        <v>5308.0798687513</v>
      </c>
      <c r="P35" t="n">
        <v>5691.71443659975</v>
      </c>
      <c r="Q35" t="n">
        <v>5911.27174857836</v>
      </c>
      <c r="R35" t="n">
        <v>6332.0177364621</v>
      </c>
      <c r="S35" t="n">
        <v>6570.67771325563</v>
      </c>
      <c r="T35" t="n">
        <v>6756.31609193908</v>
      </c>
      <c r="U35" t="n">
        <v>7008.3587140315</v>
      </c>
      <c r="V35" t="n">
        <v>7090.92310460922</v>
      </c>
      <c r="W35" t="n">
        <v>7393.95695085004</v>
      </c>
      <c r="X35" t="n">
        <v>7765.66522651053</v>
      </c>
      <c r="Y35" t="n">
        <v>8366.04789406326</v>
      </c>
      <c r="Z35" t="n">
        <v>9052.80405982466</v>
      </c>
      <c r="AA35" t="n">
        <v>8485.59263554997</v>
      </c>
      <c r="AB35" t="n">
        <v>8072.73562979076</v>
      </c>
      <c r="AC35" t="n">
        <v>7786.41290279237</v>
      </c>
      <c r="AD35" t="n">
        <v>7524.2720193421</v>
      </c>
      <c r="AE35" t="n">
        <v>7348.7</v>
      </c>
      <c r="AF35" t="n">
        <v>7543.8</v>
      </c>
    </row>
    <row r="36">
      <c r="A36" t="s">
        <v>145</v>
      </c>
      <c r="B36" t="s">
        <v>342</v>
      </c>
      <c r="C36" t="s">
        <v>246</v>
      </c>
      <c r="D36" t="s">
        <v>343</v>
      </c>
      <c r="E36" t="s">
        <v>247</v>
      </c>
      <c r="F36" t="n">
        <v>831.803320657804</v>
      </c>
      <c r="G36" t="n">
        <v>900.323698875605</v>
      </c>
      <c r="H36" t="n">
        <v>983.093015172727</v>
      </c>
      <c r="I36" t="n">
        <v>1069.69189044406</v>
      </c>
      <c r="J36" t="n">
        <v>1127.36381039436</v>
      </c>
      <c r="K36" t="n">
        <v>1208.66495475057</v>
      </c>
      <c r="L36" t="n">
        <v>1254.72942753327</v>
      </c>
      <c r="M36" t="n">
        <v>1346.39322884106</v>
      </c>
      <c r="N36" t="n">
        <v>1409.86580096048</v>
      </c>
      <c r="O36" t="n">
        <v>1495.48261126004</v>
      </c>
      <c r="P36" t="n">
        <v>1602.39111822794</v>
      </c>
      <c r="Q36" t="n">
        <v>1720.45773490749</v>
      </c>
      <c r="R36" t="n">
        <v>1863.48795124348</v>
      </c>
      <c r="S36" t="n">
        <v>1989.81546497028</v>
      </c>
      <c r="T36" t="n">
        <v>2086.37847335594</v>
      </c>
      <c r="U36" t="n">
        <v>2228.44748413061</v>
      </c>
      <c r="V36" t="n">
        <v>2281.9040409464</v>
      </c>
      <c r="W36" t="n">
        <v>2261.5975042321</v>
      </c>
      <c r="X36" t="n">
        <v>2233.87618650913</v>
      </c>
      <c r="Y36" t="n">
        <v>2134.49274590394</v>
      </c>
      <c r="Z36" t="n">
        <v>1992.20765638888</v>
      </c>
      <c r="AA36" t="n">
        <v>1894.48264359125</v>
      </c>
      <c r="AB36" t="n">
        <v>1787.01311420786</v>
      </c>
      <c r="AC36" t="n">
        <v>1705.18683084166</v>
      </c>
      <c r="AD36" t="n">
        <v>1634.10377054463</v>
      </c>
      <c r="AE36" t="n">
        <v>1553.5</v>
      </c>
      <c r="AF36"/>
    </row>
    <row r="37">
      <c r="A37" t="s">
        <v>145</v>
      </c>
      <c r="B37" t="s">
        <v>344</v>
      </c>
      <c r="C37" t="s">
        <v>246</v>
      </c>
      <c r="D37" t="s">
        <v>345</v>
      </c>
      <c r="E37" t="s">
        <v>247</v>
      </c>
      <c r="F37" t="n">
        <v>709.69971989032</v>
      </c>
      <c r="G37" t="n">
        <v>724.064779115541</v>
      </c>
      <c r="H37" t="n">
        <v>801.895846577473</v>
      </c>
      <c r="I37" t="n">
        <v>881.22523306845</v>
      </c>
      <c r="J37" t="n">
        <v>974.419556277848</v>
      </c>
      <c r="K37" t="n">
        <v>1043.20836728841</v>
      </c>
      <c r="L37" t="n">
        <v>1107.45073000456</v>
      </c>
      <c r="M37" t="n">
        <v>1248.13330113328</v>
      </c>
      <c r="N37" t="n">
        <v>1257.09393757184</v>
      </c>
      <c r="O37" t="n">
        <v>1350.81810096477</v>
      </c>
      <c r="P37" t="n">
        <v>1446.91849738634</v>
      </c>
      <c r="Q37" t="n">
        <v>1514.53370544204</v>
      </c>
      <c r="R37" t="n">
        <v>1642.75663418848</v>
      </c>
      <c r="S37" t="n">
        <v>1701.20435897421</v>
      </c>
      <c r="T37" t="n">
        <v>1770.49648063675</v>
      </c>
      <c r="U37" t="n">
        <v>1857.24686498866</v>
      </c>
      <c r="V37" t="n">
        <v>1887.25043526074</v>
      </c>
      <c r="W37" t="n">
        <v>2120.59237770446</v>
      </c>
      <c r="X37" t="n">
        <v>2521.68396001879</v>
      </c>
      <c r="Y37" t="n">
        <v>3225.3807888617</v>
      </c>
      <c r="Z37" t="n">
        <v>4136.87734643442</v>
      </c>
      <c r="AA37" t="n">
        <v>3673.54793202821</v>
      </c>
      <c r="AB37" t="n">
        <v>3248.8627819608</v>
      </c>
      <c r="AC37" t="n">
        <v>2840.69156870753</v>
      </c>
      <c r="AD37" t="n">
        <v>2469.22267406038</v>
      </c>
      <c r="AE37" t="n">
        <v>2124.2</v>
      </c>
      <c r="AF37"/>
    </row>
    <row r="38">
      <c r="A38" t="s">
        <v>145</v>
      </c>
      <c r="B38" t="s">
        <v>346</v>
      </c>
      <c r="C38" t="s">
        <v>246</v>
      </c>
      <c r="D38" t="s">
        <v>347</v>
      </c>
      <c r="E38" t="s">
        <v>247</v>
      </c>
      <c r="F38" t="n">
        <v>1861.50312263203</v>
      </c>
      <c r="G38" t="n">
        <v>1888.55123727219</v>
      </c>
      <c r="H38" t="n">
        <v>1925.95310076755</v>
      </c>
      <c r="I38" t="n">
        <v>1937.61607059989</v>
      </c>
      <c r="J38" t="n">
        <v>1981.9707051524</v>
      </c>
      <c r="K38" t="n">
        <v>2018.97197665118</v>
      </c>
      <c r="L38" t="n">
        <v>2094.83438845752</v>
      </c>
      <c r="M38" t="n">
        <v>2101.0460768314</v>
      </c>
      <c r="N38" t="n">
        <v>2349.86617936793</v>
      </c>
      <c r="O38" t="n">
        <v>2426.67043031561</v>
      </c>
      <c r="P38" t="n">
        <v>2605.059903163</v>
      </c>
      <c r="Q38" t="n">
        <v>2629.32191161952</v>
      </c>
      <c r="R38" t="n">
        <v>2772.64020235497</v>
      </c>
      <c r="S38" t="n">
        <v>2820.04347863068</v>
      </c>
      <c r="T38" t="n">
        <v>2837.78587793</v>
      </c>
      <c r="U38" t="n">
        <v>2861.29666873584</v>
      </c>
      <c r="V38" t="n">
        <v>2862.8632762197</v>
      </c>
      <c r="W38" t="n">
        <v>2958.2884001563</v>
      </c>
      <c r="X38" t="n">
        <v>2968.41368470793</v>
      </c>
      <c r="Y38" t="n">
        <v>2979.64417774913</v>
      </c>
      <c r="Z38" t="n">
        <v>2913.79391293255</v>
      </c>
      <c r="AA38" t="n">
        <v>2906.03023059514</v>
      </c>
      <c r="AB38" t="n">
        <v>3024.04592033372</v>
      </c>
      <c r="AC38" t="n">
        <v>3237.77144676484</v>
      </c>
      <c r="AD38" t="n">
        <v>3423.81274965354</v>
      </c>
      <c r="AE38" t="n">
        <v>3671</v>
      </c>
      <c r="AF38"/>
    </row>
    <row r="39">
      <c r="A39" t="s">
        <v>145</v>
      </c>
      <c r="B39" t="s">
        <v>348</v>
      </c>
      <c r="C39" t="s">
        <v>246</v>
      </c>
      <c r="D39" t="s">
        <v>349</v>
      </c>
      <c r="E39" t="s">
        <v>247</v>
      </c>
      <c r="F39" t="n">
        <v>3091.58713271916</v>
      </c>
      <c r="G39" t="n">
        <v>2951.93723531386</v>
      </c>
      <c r="H39" t="n">
        <v>2807.48317374038</v>
      </c>
      <c r="I39" t="n">
        <v>2655.67159794666</v>
      </c>
      <c r="J39" t="n">
        <v>2521.83654967787</v>
      </c>
      <c r="K39" t="n">
        <v>2443.59652827335</v>
      </c>
      <c r="L39" t="n">
        <v>2392.97440652174</v>
      </c>
      <c r="M39" t="n">
        <v>2362.80273719009</v>
      </c>
      <c r="N39" t="n">
        <v>2298.70650909163</v>
      </c>
      <c r="O39" t="n">
        <v>2346.45336841206</v>
      </c>
      <c r="P39" t="n">
        <v>2411.42705980231</v>
      </c>
      <c r="Q39" t="n">
        <v>2485.95605546928</v>
      </c>
      <c r="R39" t="n">
        <v>2487.43205728342</v>
      </c>
      <c r="S39" t="n">
        <v>2572.53598753936</v>
      </c>
      <c r="T39" t="n">
        <v>2548.48262938905</v>
      </c>
      <c r="U39" t="n">
        <v>2562.90566412229</v>
      </c>
      <c r="V39" t="n">
        <v>2519.40295726101</v>
      </c>
      <c r="W39" t="n">
        <v>2463.37166719149</v>
      </c>
      <c r="X39" t="n">
        <v>2419.6406453641</v>
      </c>
      <c r="Y39" t="n">
        <v>2378.26260227478</v>
      </c>
      <c r="Z39" t="n">
        <v>2376.23818627894</v>
      </c>
      <c r="AA39" t="n">
        <v>2318.308910918</v>
      </c>
      <c r="AB39" t="n">
        <v>2311.51377602911</v>
      </c>
      <c r="AC39" t="n">
        <v>2324.61134925301</v>
      </c>
      <c r="AD39" t="n">
        <v>2444.79066568411</v>
      </c>
      <c r="AE39" t="n">
        <v>2448.6</v>
      </c>
      <c r="AF39" t="n">
        <v>2590.7</v>
      </c>
    </row>
    <row r="40">
      <c r="A40" t="s">
        <v>145</v>
      </c>
      <c r="B40" t="s">
        <v>350</v>
      </c>
      <c r="C40" t="s">
        <v>246</v>
      </c>
      <c r="D40" t="s">
        <v>351</v>
      </c>
      <c r="E40" t="s">
        <v>247</v>
      </c>
      <c r="F40" t="n">
        <v>2657.89115291806</v>
      </c>
      <c r="G40" t="n">
        <v>2700.02861586003</v>
      </c>
      <c r="H40" t="n">
        <v>2744.24377870469</v>
      </c>
      <c r="I40" t="n">
        <v>2812.30771323316</v>
      </c>
      <c r="J40" t="n">
        <v>2912.95599204894</v>
      </c>
      <c r="K40" t="n">
        <v>2971.37942780298</v>
      </c>
      <c r="L40" t="n">
        <v>3044.13903078184</v>
      </c>
      <c r="M40" t="n">
        <v>3254.45550855649</v>
      </c>
      <c r="N40" t="n">
        <v>3334.48210157014</v>
      </c>
      <c r="O40" t="n">
        <v>3286.28152072613</v>
      </c>
      <c r="P40" t="n">
        <v>3558.64096762372</v>
      </c>
      <c r="Q40" t="n">
        <v>3609.96187392863</v>
      </c>
      <c r="R40" t="n">
        <v>3696.93804790881</v>
      </c>
      <c r="S40" t="n">
        <v>3831.99147929013</v>
      </c>
      <c r="T40" t="n">
        <v>3587.10568905976</v>
      </c>
      <c r="U40" t="n">
        <v>3643.87168924776</v>
      </c>
      <c r="V40" t="n">
        <v>3597.1394086914</v>
      </c>
      <c r="W40" t="n">
        <v>3636.98389076671</v>
      </c>
      <c r="X40" t="n">
        <v>3384.31866294831</v>
      </c>
      <c r="Y40" t="n">
        <v>3282.4502159721</v>
      </c>
      <c r="Z40" t="n">
        <v>3041.36063352319</v>
      </c>
      <c r="AA40" t="n">
        <v>3058.50594731358</v>
      </c>
      <c r="AB40" t="n">
        <v>2932.2835577898</v>
      </c>
      <c r="AC40" t="n">
        <v>3025.27417360966</v>
      </c>
      <c r="AD40" t="n">
        <v>2981.10958713361</v>
      </c>
      <c r="AE40" t="n">
        <v>2858.8</v>
      </c>
      <c r="AF40" t="n">
        <v>2913.7</v>
      </c>
    </row>
    <row r="41">
      <c r="A41" t="s">
        <v>145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145</v>
      </c>
      <c r="B42" t="s">
        <v>354</v>
      </c>
      <c r="C42" t="s">
        <v>246</v>
      </c>
      <c r="D42" t="s">
        <v>355</v>
      </c>
      <c r="E42" t="s">
        <v>247</v>
      </c>
      <c r="F42" t="n">
        <v>6699.13480522342</v>
      </c>
      <c r="G42" t="n">
        <v>6791.11488351711</v>
      </c>
      <c r="H42" t="n">
        <v>6910.23219761759</v>
      </c>
      <c r="I42" t="n">
        <v>7004.36385587802</v>
      </c>
      <c r="J42" t="n">
        <v>7185.8630654036</v>
      </c>
      <c r="K42" t="n">
        <v>7569.9505425854</v>
      </c>
      <c r="L42" t="n">
        <v>7988.08174124814</v>
      </c>
      <c r="M42" t="n">
        <v>8230.12085530121</v>
      </c>
      <c r="N42" t="n">
        <v>8466.20837816842</v>
      </c>
      <c r="O42" t="n">
        <v>8749.21875219838</v>
      </c>
      <c r="P42" t="n">
        <v>9064.54161502429</v>
      </c>
      <c r="Q42" t="n">
        <v>9595.90370798469</v>
      </c>
      <c r="R42" t="n">
        <v>10012.7100619149</v>
      </c>
      <c r="S42" t="n">
        <v>10561.8158029989</v>
      </c>
      <c r="T42" t="n">
        <v>10370.8273504791</v>
      </c>
      <c r="U42" t="n">
        <v>10403.2764035257</v>
      </c>
      <c r="V42" t="n">
        <v>10301.1115137707</v>
      </c>
      <c r="W42" t="n">
        <v>10196.2142016227</v>
      </c>
      <c r="X42" t="n">
        <v>10323.4764061902</v>
      </c>
      <c r="Y42" t="n">
        <v>10346.6072747502</v>
      </c>
      <c r="Z42" t="n">
        <v>9996.1445043099</v>
      </c>
      <c r="AA42" t="n">
        <v>9455.65196406171</v>
      </c>
      <c r="AB42" t="n">
        <v>9151.8981293958</v>
      </c>
      <c r="AC42" t="n">
        <v>8853.24127995321</v>
      </c>
      <c r="AD42" t="n">
        <v>8519.50963404092</v>
      </c>
      <c r="AE42" t="n">
        <v>8302.4</v>
      </c>
      <c r="AF42" t="n">
        <v>8427</v>
      </c>
    </row>
    <row r="43">
      <c r="A43" t="s">
        <v>145</v>
      </c>
      <c r="B43" t="s">
        <v>356</v>
      </c>
      <c r="C43" t="s">
        <v>246</v>
      </c>
      <c r="D43" t="s">
        <v>357</v>
      </c>
      <c r="E43" t="s">
        <v>247</v>
      </c>
      <c r="F43" t="n">
        <v>13380.8156914581</v>
      </c>
      <c r="G43" t="n">
        <v>13585.5303529591</v>
      </c>
      <c r="H43" t="n">
        <v>13842.6751109764</v>
      </c>
      <c r="I43" t="n">
        <v>14013.9227079453</v>
      </c>
      <c r="J43" t="n">
        <v>14418.3207005037</v>
      </c>
      <c r="K43" t="n">
        <v>14818.7457509042</v>
      </c>
      <c r="L43" t="n">
        <v>15707.5077359646</v>
      </c>
      <c r="M43" t="n">
        <v>16268.9964234952</v>
      </c>
      <c r="N43" t="n">
        <v>16725.0885085266</v>
      </c>
      <c r="O43" t="n">
        <v>17430.8474615272</v>
      </c>
      <c r="P43" t="n">
        <v>17874.5309852434</v>
      </c>
      <c r="Q43" t="n">
        <v>18519.7121037848</v>
      </c>
      <c r="R43" t="n">
        <v>19390.1807772045</v>
      </c>
      <c r="S43" t="n">
        <v>20090.6203893615</v>
      </c>
      <c r="T43" t="n">
        <v>20036.1851367075</v>
      </c>
      <c r="U43" t="n">
        <v>20121.8640180989</v>
      </c>
      <c r="V43" t="n">
        <v>20071.6071183904</v>
      </c>
      <c r="W43" t="n">
        <v>20223.1967276534</v>
      </c>
      <c r="X43" t="n">
        <v>19839.075930223</v>
      </c>
      <c r="Y43" t="n">
        <v>19579.3264560686</v>
      </c>
      <c r="Z43" t="n">
        <v>19101.9945520411</v>
      </c>
      <c r="AA43" t="n">
        <v>18346.6648599285</v>
      </c>
      <c r="AB43" t="n">
        <v>17549.1885133238</v>
      </c>
      <c r="AC43" t="n">
        <v>17002.0684953888</v>
      </c>
      <c r="AD43" t="n">
        <v>16494.09376973</v>
      </c>
      <c r="AE43" t="n">
        <v>16403.4</v>
      </c>
      <c r="AF43" t="n">
        <v>16583.6</v>
      </c>
    </row>
    <row r="44">
      <c r="A44" t="s">
        <v>145</v>
      </c>
      <c r="B44" t="s">
        <v>358</v>
      </c>
      <c r="C44" t="s">
        <v>246</v>
      </c>
      <c r="D44" t="s">
        <v>359</v>
      </c>
      <c r="E44" t="s">
        <v>247</v>
      </c>
      <c r="F44" t="n">
        <v>386967.615400862</v>
      </c>
      <c r="G44" t="n">
        <v>391895.257854233</v>
      </c>
      <c r="H44" t="n">
        <v>398678.19360111</v>
      </c>
      <c r="I44" t="n">
        <v>409827.923091708</v>
      </c>
      <c r="J44" t="n">
        <v>422351.938473778</v>
      </c>
      <c r="K44" t="n">
        <v>438206.68523035</v>
      </c>
      <c r="L44" t="n">
        <v>451991.612548751</v>
      </c>
      <c r="M44" t="n">
        <v>466402.861607462</v>
      </c>
      <c r="N44" t="n">
        <v>476487.682420684</v>
      </c>
      <c r="O44" t="n">
        <v>485959.110500503</v>
      </c>
      <c r="P44" t="n">
        <v>497055.050056602</v>
      </c>
      <c r="Q44" t="n">
        <v>511898.38486424</v>
      </c>
      <c r="R44" t="n">
        <v>527725.231043184</v>
      </c>
      <c r="S44" t="n">
        <v>536258.704322348</v>
      </c>
      <c r="T44" t="n">
        <v>530901.738970197</v>
      </c>
      <c r="U44" t="n">
        <v>532599.974940555</v>
      </c>
      <c r="V44" t="n">
        <v>532505.967772429</v>
      </c>
      <c r="W44" t="n">
        <v>525408.317699776</v>
      </c>
      <c r="X44" t="n">
        <v>515858.001088411</v>
      </c>
      <c r="Y44" t="n">
        <v>507028.069048587</v>
      </c>
      <c r="Z44" t="n">
        <v>498936.226044529</v>
      </c>
      <c r="AA44" t="n">
        <v>494813.069034223</v>
      </c>
      <c r="AB44" t="n">
        <v>493987.406091691</v>
      </c>
      <c r="AC44" t="n">
        <v>498691.79338272</v>
      </c>
      <c r="AD44" t="n">
        <v>500226.02076733</v>
      </c>
      <c r="AE44" t="n">
        <v>494209.8</v>
      </c>
      <c r="AF44" t="n">
        <v>501110.5</v>
      </c>
    </row>
    <row r="45">
      <c r="A45" t="s">
        <v>145</v>
      </c>
      <c r="B45" t="s">
        <v>360</v>
      </c>
      <c r="C45" t="s">
        <v>246</v>
      </c>
      <c r="D45" t="s">
        <v>361</v>
      </c>
      <c r="E45" t="s">
        <v>247</v>
      </c>
      <c r="F45" t="n">
        <v>360904.34469455</v>
      </c>
      <c r="G45" t="n">
        <v>365290.761346884</v>
      </c>
      <c r="H45" t="n">
        <v>371366.638285405</v>
      </c>
      <c r="I45" t="n">
        <v>381455.827134921</v>
      </c>
      <c r="J45" t="n">
        <v>392902.184770003</v>
      </c>
      <c r="K45" t="n">
        <v>407189.362044928</v>
      </c>
      <c r="L45" t="n">
        <v>420014.906850131</v>
      </c>
      <c r="M45" t="n">
        <v>433729.668712774</v>
      </c>
      <c r="N45" t="n">
        <v>443240.227171498</v>
      </c>
      <c r="O45" t="n">
        <v>451710.11319529</v>
      </c>
      <c r="P45" t="n">
        <v>461910.031348398</v>
      </c>
      <c r="Q45" t="n">
        <v>475632.330570898</v>
      </c>
      <c r="R45" t="n">
        <v>490688.418208764</v>
      </c>
      <c r="S45" t="n">
        <v>499148.486981073</v>
      </c>
      <c r="T45" t="n">
        <v>494452.375123525</v>
      </c>
      <c r="U45" t="n">
        <v>496064.741249216</v>
      </c>
      <c r="V45" t="n">
        <v>496035.709222544</v>
      </c>
      <c r="W45" t="n">
        <v>489320.456875629</v>
      </c>
      <c r="X45" t="n">
        <v>480447.076188722</v>
      </c>
      <c r="Y45" t="n">
        <v>471866.209490896</v>
      </c>
      <c r="Z45" t="n">
        <v>464122.912603579</v>
      </c>
      <c r="AA45" t="n">
        <v>460009.396027536</v>
      </c>
      <c r="AB45" t="n">
        <v>458661.344743635</v>
      </c>
      <c r="AC45" t="n">
        <v>462337.863502059</v>
      </c>
      <c r="AD45" t="n">
        <v>462990.038239161</v>
      </c>
      <c r="AE45" t="n">
        <v>456856</v>
      </c>
      <c r="AF45" t="n">
        <v>462428.7</v>
      </c>
    </row>
    <row r="46">
      <c r="A46" t="s">
        <v>145</v>
      </c>
      <c r="B46" t="s">
        <v>362</v>
      </c>
      <c r="C46" t="s">
        <v>246</v>
      </c>
      <c r="D46" t="s">
        <v>363</v>
      </c>
      <c r="E46" t="s">
        <v>247</v>
      </c>
      <c r="F46" t="n">
        <v>6681.53894818776</v>
      </c>
      <c r="G46" t="n">
        <v>6794.76813971324</v>
      </c>
      <c r="H46" t="n">
        <v>6933.26866109729</v>
      </c>
      <c r="I46" t="n">
        <v>7009.99609295225</v>
      </c>
      <c r="J46" t="n">
        <v>7233.82261594191</v>
      </c>
      <c r="K46" t="n">
        <v>7241.97034180932</v>
      </c>
      <c r="L46" t="n">
        <v>7713.75994062426</v>
      </c>
      <c r="M46" t="n">
        <v>8034.77464547036</v>
      </c>
      <c r="N46" t="n">
        <v>8254.46097747148</v>
      </c>
      <c r="O46" t="n">
        <v>8678.98474165027</v>
      </c>
      <c r="P46" t="n">
        <v>8806.07036693108</v>
      </c>
      <c r="Q46" t="n">
        <v>8921.03873160605</v>
      </c>
      <c r="R46" t="n">
        <v>9374.24956779195</v>
      </c>
      <c r="S46" t="n">
        <v>9529.79344848008</v>
      </c>
      <c r="T46" t="n">
        <v>9660.77034013349</v>
      </c>
      <c r="U46" t="n">
        <v>9713.60450875221</v>
      </c>
      <c r="V46" t="n">
        <v>9762.98143844878</v>
      </c>
      <c r="W46" t="n">
        <v>10016.6209203002</v>
      </c>
      <c r="X46" t="n">
        <v>9513.32979546729</v>
      </c>
      <c r="Y46" t="n">
        <v>9233.4218455317</v>
      </c>
      <c r="Z46" t="n">
        <v>9104.79286891941</v>
      </c>
      <c r="AA46" t="n">
        <v>8887.56650853399</v>
      </c>
      <c r="AB46" t="n">
        <v>8397.17253887443</v>
      </c>
      <c r="AC46" t="n">
        <v>8148.4272499133</v>
      </c>
      <c r="AD46" t="n">
        <v>7974.27051615528</v>
      </c>
      <c r="AE46" t="n">
        <v>8101</v>
      </c>
      <c r="AF46" t="n">
        <v>8156.6</v>
      </c>
    </row>
    <row r="47">
      <c r="A47" t="s">
        <v>145</v>
      </c>
      <c r="B47" t="s">
        <v>364</v>
      </c>
      <c r="C47" t="s">
        <v>246</v>
      </c>
      <c r="D47" t="s">
        <v>365</v>
      </c>
      <c r="E47" t="s">
        <v>247</v>
      </c>
      <c r="F47" t="n">
        <v>45940.1188620667</v>
      </c>
      <c r="G47" t="n">
        <v>46131.5185349868</v>
      </c>
      <c r="H47" t="n">
        <v>46313.0311971005</v>
      </c>
      <c r="I47" t="n">
        <v>46463.2022756303</v>
      </c>
      <c r="J47" t="n">
        <v>47005.2066686144</v>
      </c>
      <c r="K47" t="n">
        <v>48060.5516905804</v>
      </c>
      <c r="L47" t="n">
        <v>49648.5495019781</v>
      </c>
      <c r="M47" t="n">
        <v>51423.0354749371</v>
      </c>
      <c r="N47" t="n">
        <v>52897.7757378363</v>
      </c>
      <c r="O47" t="n">
        <v>53642.5648213764</v>
      </c>
      <c r="P47" t="n">
        <v>52629.0921312196</v>
      </c>
      <c r="Q47" t="n">
        <v>51840.0502701818</v>
      </c>
      <c r="R47" t="n">
        <v>51026.3945027514</v>
      </c>
      <c r="S47" t="n">
        <v>50860.0995082293</v>
      </c>
      <c r="T47" t="n">
        <v>55000.7976767368</v>
      </c>
      <c r="U47" t="n">
        <v>55660.74683253</v>
      </c>
      <c r="V47" t="n">
        <v>56475.6653459138</v>
      </c>
      <c r="W47" t="n">
        <v>55198.4066343194</v>
      </c>
      <c r="X47" t="n">
        <v>53386.4781775456</v>
      </c>
      <c r="Y47" t="n">
        <v>51903.0132742814</v>
      </c>
      <c r="Z47" t="n">
        <v>51400.6990211947</v>
      </c>
      <c r="AA47" t="n">
        <v>52637.7555576801</v>
      </c>
      <c r="AB47" t="n">
        <v>53473.667528094</v>
      </c>
      <c r="AC47" t="n">
        <v>53069.8213118299</v>
      </c>
      <c r="AD47" t="n">
        <v>54174.2835026861</v>
      </c>
      <c r="AE47" t="n">
        <v>55630.6</v>
      </c>
      <c r="AF47" t="n">
        <v>53641.4</v>
      </c>
    </row>
    <row r="48">
      <c r="A48" t="s">
        <v>145</v>
      </c>
      <c r="B48" t="s">
        <v>366</v>
      </c>
      <c r="C48" t="s">
        <v>246</v>
      </c>
      <c r="D48" t="s">
        <v>367</v>
      </c>
      <c r="E48" t="s">
        <v>247</v>
      </c>
      <c r="F48" t="n">
        <v>61934.0756606878</v>
      </c>
      <c r="G48" t="n">
        <v>62261.1846150311</v>
      </c>
      <c r="H48" t="n">
        <v>62625.8989730017</v>
      </c>
      <c r="I48" t="n">
        <v>63319.3230576236</v>
      </c>
      <c r="J48" t="n">
        <v>64289.6182225212</v>
      </c>
      <c r="K48" t="n">
        <v>65929.7841041508</v>
      </c>
      <c r="L48" t="n">
        <v>68510.2235007917</v>
      </c>
      <c r="M48" t="n">
        <v>71097.8233184366</v>
      </c>
      <c r="N48" t="n">
        <v>73180.0150213549</v>
      </c>
      <c r="O48" t="n">
        <v>74414.7768207829</v>
      </c>
      <c r="P48" t="n">
        <v>74021.726055196</v>
      </c>
      <c r="Q48" t="n">
        <v>74476.5826846755</v>
      </c>
      <c r="R48" t="n">
        <v>74402.9499286548</v>
      </c>
      <c r="S48" t="n">
        <v>74294.0696380443</v>
      </c>
      <c r="T48" t="n">
        <v>78878.550529129</v>
      </c>
      <c r="U48" t="n">
        <v>79672.2030870135</v>
      </c>
      <c r="V48" t="n">
        <v>80359.5865465936</v>
      </c>
      <c r="W48" t="n">
        <v>78085.4139981212</v>
      </c>
      <c r="X48" t="n">
        <v>75425.5128330153</v>
      </c>
      <c r="Y48" t="n">
        <v>73510.1754233093</v>
      </c>
      <c r="Z48" t="n">
        <v>72224.5620396567</v>
      </c>
      <c r="AA48" t="n">
        <v>73121.8114482906</v>
      </c>
      <c r="AB48" t="n">
        <v>74104.8810258901</v>
      </c>
      <c r="AC48" t="n">
        <v>74104.0599646633</v>
      </c>
      <c r="AD48" t="n">
        <v>76222.7701992932</v>
      </c>
      <c r="AE48" t="n">
        <v>78811.6</v>
      </c>
      <c r="AF48" t="n">
        <v>78564.4</v>
      </c>
    </row>
    <row r="49">
      <c r="A49" t="s">
        <v>145</v>
      </c>
      <c r="B49" t="s">
        <v>368</v>
      </c>
      <c r="C49" t="s">
        <v>246</v>
      </c>
      <c r="D49" t="s">
        <v>369</v>
      </c>
      <c r="E49" t="s">
        <v>247</v>
      </c>
      <c r="F49" t="n">
        <v>2808.67275586365</v>
      </c>
      <c r="G49" t="n">
        <v>3030.15441588863</v>
      </c>
      <c r="H49" t="n">
        <v>3244.70626281128</v>
      </c>
      <c r="I49" t="n">
        <v>3469.28698219046</v>
      </c>
      <c r="J49" t="n">
        <v>3578.12874241724</v>
      </c>
      <c r="K49" t="n">
        <v>3690.24462566997</v>
      </c>
      <c r="L49" t="n">
        <v>3961.88154002277</v>
      </c>
      <c r="M49" t="n">
        <v>4323.75703047926</v>
      </c>
      <c r="N49" t="n">
        <v>4470.31380855342</v>
      </c>
      <c r="O49" t="n">
        <v>4643.23725870296</v>
      </c>
      <c r="P49" t="n">
        <v>4716.88254050989</v>
      </c>
      <c r="Q49" t="n">
        <v>5084.04344631722</v>
      </c>
      <c r="R49" t="n">
        <v>5222.55872411691</v>
      </c>
      <c r="S49" t="n">
        <v>5213.76495153436</v>
      </c>
      <c r="T49" t="n">
        <v>5287.38089486148</v>
      </c>
      <c r="U49" t="n">
        <v>5241.63337539445</v>
      </c>
      <c r="V49" t="n">
        <v>5271.79294908436</v>
      </c>
      <c r="W49" t="n">
        <v>5010.9529979197</v>
      </c>
      <c r="X49" t="n">
        <v>4628.87100851408</v>
      </c>
      <c r="Y49" t="n">
        <v>4482.3599301918</v>
      </c>
      <c r="Z49" t="n">
        <v>3891.05573287475</v>
      </c>
      <c r="AA49" t="n">
        <v>3632.38196097418</v>
      </c>
      <c r="AB49" t="n">
        <v>3290.31000058066</v>
      </c>
      <c r="AC49" t="n">
        <v>3071.40219080959</v>
      </c>
      <c r="AD49" t="n">
        <v>2935.45471502591</v>
      </c>
      <c r="AE49" t="n">
        <v>2833.3</v>
      </c>
      <c r="AF49" t="n">
        <v>3255</v>
      </c>
    </row>
    <row r="50">
      <c r="A50" t="s">
        <v>145</v>
      </c>
      <c r="B50" t="s">
        <v>370</v>
      </c>
      <c r="C50" t="s">
        <v>246</v>
      </c>
      <c r="D50" t="s">
        <v>371</v>
      </c>
      <c r="E50" t="s">
        <v>247</v>
      </c>
      <c r="F50" t="n">
        <v>13153.5516261382</v>
      </c>
      <c r="G50" t="n">
        <v>13033.2834874772</v>
      </c>
      <c r="H50" t="n">
        <v>12967.8974473448</v>
      </c>
      <c r="I50" t="n">
        <v>13266.1901429832</v>
      </c>
      <c r="J50" t="n">
        <v>13581.687357281</v>
      </c>
      <c r="K50" t="n">
        <v>14055.6209170551</v>
      </c>
      <c r="L50" t="n">
        <v>14768.7602562695</v>
      </c>
      <c r="M50" t="n">
        <v>15178.316652079</v>
      </c>
      <c r="N50" t="n">
        <v>15632.1623563017</v>
      </c>
      <c r="O50" t="n">
        <v>15937.2005418163</v>
      </c>
      <c r="P50" t="n">
        <v>16531.8821320622</v>
      </c>
      <c r="Q50" t="n">
        <v>17477.9772937257</v>
      </c>
      <c r="R50" t="n">
        <v>18156.7081126606</v>
      </c>
      <c r="S50" t="n">
        <v>18237.0800143276</v>
      </c>
      <c r="T50" t="n">
        <v>18492.250694498</v>
      </c>
      <c r="U50" t="n">
        <v>18679.5142906494</v>
      </c>
      <c r="V50" t="n">
        <v>18497.3981495556</v>
      </c>
      <c r="W50" t="n">
        <v>17745.5610106152</v>
      </c>
      <c r="X50" t="n">
        <v>17306.4584896446</v>
      </c>
      <c r="Y50" t="n">
        <v>17049.1363539706</v>
      </c>
      <c r="Z50" t="n">
        <v>16892.9275966326</v>
      </c>
      <c r="AA50" t="n">
        <v>16793.9097113927</v>
      </c>
      <c r="AB50" t="n">
        <v>17282.8981442136</v>
      </c>
      <c r="AC50" t="n">
        <v>17926.702472468</v>
      </c>
      <c r="AD50" t="n">
        <v>19103.7530301374</v>
      </c>
      <c r="AE50" t="n">
        <v>20347.7</v>
      </c>
      <c r="AF50" t="n">
        <v>21667.9</v>
      </c>
    </row>
    <row r="51">
      <c r="A51" t="s">
        <v>145</v>
      </c>
      <c r="B51" t="s">
        <v>372</v>
      </c>
      <c r="C51" t="s">
        <v>246</v>
      </c>
      <c r="D51" t="s">
        <v>373</v>
      </c>
      <c r="E51" t="s">
        <v>247</v>
      </c>
      <c r="F51" t="n">
        <v>12115.8641839783</v>
      </c>
      <c r="G51" t="n">
        <v>11975.8237142471</v>
      </c>
      <c r="H51" t="n">
        <v>11879.7817044848</v>
      </c>
      <c r="I51" t="n">
        <v>12132.2359934333</v>
      </c>
      <c r="J51" t="n">
        <v>12387.7583436655</v>
      </c>
      <c r="K51" t="n">
        <v>12807.9289458841</v>
      </c>
      <c r="L51" t="n">
        <v>13471.7670888339</v>
      </c>
      <c r="M51" t="n">
        <v>13862.7667600416</v>
      </c>
      <c r="N51" t="n">
        <v>14272.8259541867</v>
      </c>
      <c r="O51" t="n">
        <v>14503.9548221243</v>
      </c>
      <c r="P51" t="n">
        <v>15015.2104113575</v>
      </c>
      <c r="Q51" t="n">
        <v>15900.8518392353</v>
      </c>
      <c r="R51" t="n">
        <v>16472.3104243178</v>
      </c>
      <c r="S51" t="n">
        <v>16546.4230341924</v>
      </c>
      <c r="T51" t="n">
        <v>16859.8703385834</v>
      </c>
      <c r="U51" t="n">
        <v>17032.9530815456</v>
      </c>
      <c r="V51" t="n">
        <v>16826.9950269047</v>
      </c>
      <c r="W51" t="n">
        <v>16091.3785996988</v>
      </c>
      <c r="X51" t="n">
        <v>15707.064531002</v>
      </c>
      <c r="Y51" t="n">
        <v>15561.4426563235</v>
      </c>
      <c r="Z51" t="n">
        <v>15532.0776911942</v>
      </c>
      <c r="AA51" t="n">
        <v>15494.429856398</v>
      </c>
      <c r="AB51" t="n">
        <v>16052.7398232314</v>
      </c>
      <c r="AC51" t="n">
        <v>16735.4640560784</v>
      </c>
      <c r="AD51" t="n">
        <v>17872.617918315</v>
      </c>
      <c r="AE51" t="n">
        <v>19128.4</v>
      </c>
      <c r="AF51"/>
    </row>
    <row r="52">
      <c r="A52" t="s">
        <v>145</v>
      </c>
      <c r="B52" t="s">
        <v>374</v>
      </c>
      <c r="C52" t="s">
        <v>246</v>
      </c>
      <c r="D52" t="s">
        <v>375</v>
      </c>
      <c r="E52" t="s">
        <v>247</v>
      </c>
      <c r="F52" t="n">
        <v>1049.58920237112</v>
      </c>
      <c r="G52" t="n">
        <v>1062.87367939871</v>
      </c>
      <c r="H52" t="n">
        <v>1085.63157289993</v>
      </c>
      <c r="I52" t="n">
        <v>1126.86529752376</v>
      </c>
      <c r="J52" t="n">
        <v>1179.46746030556</v>
      </c>
      <c r="K52" t="n">
        <v>1230.0859403746</v>
      </c>
      <c r="L52" t="n">
        <v>1281.52043258685</v>
      </c>
      <c r="M52" t="n">
        <v>1303.51373919118</v>
      </c>
      <c r="N52" t="n">
        <v>1346.01485942699</v>
      </c>
      <c r="O52" t="n">
        <v>1410.62980062563</v>
      </c>
      <c r="P52" t="n">
        <v>1488.32583790855</v>
      </c>
      <c r="Q52" t="n">
        <v>1551.3139549011</v>
      </c>
      <c r="R52" t="n">
        <v>1650.4976203125</v>
      </c>
      <c r="S52" t="n">
        <v>1656.77540790589</v>
      </c>
      <c r="T52" t="n">
        <v>1608.58234309147</v>
      </c>
      <c r="U52" t="n">
        <v>1622.71560239141</v>
      </c>
      <c r="V52" t="n">
        <v>1644.02706433651</v>
      </c>
      <c r="W52" t="n">
        <v>1625.48581097176</v>
      </c>
      <c r="X52" t="n">
        <v>1572.43362742242</v>
      </c>
      <c r="Y52" t="n">
        <v>1469.53930231292</v>
      </c>
      <c r="Z52" t="n">
        <v>1354.52001535048</v>
      </c>
      <c r="AA52" t="n">
        <v>1298.71850922775</v>
      </c>
      <c r="AB52" t="n">
        <v>1231.04467550946</v>
      </c>
      <c r="AC52" t="n">
        <v>1192.91172836578</v>
      </c>
      <c r="AD52" t="n">
        <v>1232.54544842105</v>
      </c>
      <c r="AE52" t="n">
        <v>1219.3</v>
      </c>
      <c r="AF52"/>
    </row>
    <row r="53">
      <c r="A53" t="s">
        <v>145</v>
      </c>
      <c r="B53" t="s">
        <v>376</v>
      </c>
      <c r="C53" t="s">
        <v>246</v>
      </c>
      <c r="D53" t="s">
        <v>377</v>
      </c>
      <c r="E53" t="s">
        <v>247</v>
      </c>
      <c r="F53" t="n">
        <v>3384.99320497361</v>
      </c>
      <c r="G53" t="n">
        <v>3803.18189426366</v>
      </c>
      <c r="H53" t="n">
        <v>4274.85359991462</v>
      </c>
      <c r="I53" t="n">
        <v>4698.98146151243</v>
      </c>
      <c r="J53" t="n">
        <v>5056.57364860373</v>
      </c>
      <c r="K53" t="n">
        <v>5404.4971005957</v>
      </c>
      <c r="L53" t="n">
        <v>5824.76697140361</v>
      </c>
      <c r="M53" t="n">
        <v>6240.9185310453</v>
      </c>
      <c r="N53" t="n">
        <v>6418.93546598114</v>
      </c>
      <c r="O53" t="n">
        <v>6652.56995675241</v>
      </c>
      <c r="P53" t="n">
        <v>6985.27473969771</v>
      </c>
      <c r="Q53" t="n">
        <v>7288.82596409812</v>
      </c>
      <c r="R53" t="n">
        <v>7541.03517089657</v>
      </c>
      <c r="S53" t="n">
        <v>7366.807734926</v>
      </c>
      <c r="T53" t="n">
        <v>7276.13813979798</v>
      </c>
      <c r="U53" t="n">
        <v>7224.65919210506</v>
      </c>
      <c r="V53" t="n">
        <v>7381.38127417591</v>
      </c>
      <c r="W53" t="n">
        <v>7110.05150594457</v>
      </c>
      <c r="X53" t="n">
        <v>7008.98355771366</v>
      </c>
      <c r="Y53" t="n">
        <v>6876.8910199134</v>
      </c>
      <c r="Z53" t="n">
        <v>6802.51649258013</v>
      </c>
      <c r="AA53" t="n">
        <v>6909.45570256085</v>
      </c>
      <c r="AB53" t="n">
        <v>7017.21720222966</v>
      </c>
      <c r="AC53" t="n">
        <v>7183.7750179422</v>
      </c>
      <c r="AD53" t="n">
        <v>7440.08751534663</v>
      </c>
      <c r="AE53" t="n">
        <v>7345.1</v>
      </c>
      <c r="AF53" t="n">
        <v>7192.7</v>
      </c>
    </row>
    <row r="54">
      <c r="A54" t="s">
        <v>145</v>
      </c>
      <c r="B54" t="s">
        <v>378</v>
      </c>
      <c r="C54" t="s">
        <v>246</v>
      </c>
      <c r="D54" t="s">
        <v>379</v>
      </c>
      <c r="E54" t="s">
        <v>247</v>
      </c>
      <c r="F54" t="n">
        <v>5991.93515571913</v>
      </c>
      <c r="G54" t="n">
        <v>6677.70911404318</v>
      </c>
      <c r="H54" t="n">
        <v>7422.11701424664</v>
      </c>
      <c r="I54" t="n">
        <v>8122.47133522664</v>
      </c>
      <c r="J54" t="n">
        <v>8687.95481920839</v>
      </c>
      <c r="K54" t="n">
        <v>9267.91451456748</v>
      </c>
      <c r="L54" t="n">
        <v>9881.63958929665</v>
      </c>
      <c r="M54" t="n">
        <v>10538.5444115775</v>
      </c>
      <c r="N54" t="n">
        <v>10895.3372256434</v>
      </c>
      <c r="O54" t="n">
        <v>11240.1771189417</v>
      </c>
      <c r="P54" t="n">
        <v>11883.6072951398</v>
      </c>
      <c r="Q54" t="n">
        <v>12497.9849571714</v>
      </c>
      <c r="R54" t="n">
        <v>12901.5215267138</v>
      </c>
      <c r="S54" t="n">
        <v>13061.6049379136</v>
      </c>
      <c r="T54" t="n">
        <v>12786.8651435513</v>
      </c>
      <c r="U54" t="n">
        <v>12732.4787585525</v>
      </c>
      <c r="V54" t="n">
        <v>12879.8205118832</v>
      </c>
      <c r="W54" t="n">
        <v>12567.7217309055</v>
      </c>
      <c r="X54" t="n">
        <v>12294.1947758463</v>
      </c>
      <c r="Y54" t="n">
        <v>11905.9473386834</v>
      </c>
      <c r="Z54" t="n">
        <v>11574.2398551925</v>
      </c>
      <c r="AA54" t="n">
        <v>11676.4685306687</v>
      </c>
      <c r="AB54" t="n">
        <v>11820.3722929085</v>
      </c>
      <c r="AC54" t="n">
        <v>11884.2067986779</v>
      </c>
      <c r="AD54" t="n">
        <v>12109.6753870577</v>
      </c>
      <c r="AE54" t="n">
        <v>11799.3</v>
      </c>
      <c r="AF54" t="n">
        <v>11610.4</v>
      </c>
    </row>
    <row r="55">
      <c r="A55" t="s">
        <v>145</v>
      </c>
      <c r="B55" t="s">
        <v>380</v>
      </c>
      <c r="C55" t="s">
        <v>246</v>
      </c>
      <c r="D55" t="s">
        <v>381</v>
      </c>
      <c r="E55" t="s">
        <v>247</v>
      </c>
      <c r="F55" t="n">
        <v>2616.12311641906</v>
      </c>
      <c r="G55" t="n">
        <v>2880.86196462645</v>
      </c>
      <c r="H55" t="n">
        <v>3148.3503246983</v>
      </c>
      <c r="I55" t="n">
        <v>3422.00295894853</v>
      </c>
      <c r="J55" t="n">
        <v>3625.80257170999</v>
      </c>
      <c r="K55" t="n">
        <v>3856.0954689885</v>
      </c>
      <c r="L55" t="n">
        <v>4041.25468977992</v>
      </c>
      <c r="M55" t="n">
        <v>4277.47060001422</v>
      </c>
      <c r="N55" t="n">
        <v>4459.66088069479</v>
      </c>
      <c r="O55" t="n">
        <v>4566.12462322299</v>
      </c>
      <c r="P55" t="n">
        <v>4883.20189328666</v>
      </c>
      <c r="Q55" t="n">
        <v>5202.56439547585</v>
      </c>
      <c r="R55" t="n">
        <v>5350.92160443243</v>
      </c>
      <c r="S55" t="n">
        <v>5729.40959462702</v>
      </c>
      <c r="T55" t="n">
        <v>5533.47406060462</v>
      </c>
      <c r="U55" t="n">
        <v>5535.71846793821</v>
      </c>
      <c r="V55" t="n">
        <v>5514.32783144964</v>
      </c>
      <c r="W55" t="n">
        <v>5475.76151431966</v>
      </c>
      <c r="X55" t="n">
        <v>5299.46155919157</v>
      </c>
      <c r="Y55" t="n">
        <v>5039.50734731379</v>
      </c>
      <c r="Z55" t="n">
        <v>4779.35096152713</v>
      </c>
      <c r="AA55" t="n">
        <v>4774.50003464446</v>
      </c>
      <c r="AB55" t="n">
        <v>4810.08767054886</v>
      </c>
      <c r="AC55" t="n">
        <v>4701.41414014162</v>
      </c>
      <c r="AD55" t="n">
        <v>4670.91825809394</v>
      </c>
      <c r="AE55" t="n">
        <v>4454.2</v>
      </c>
      <c r="AF55" t="n">
        <v>4417.7</v>
      </c>
    </row>
    <row r="56">
      <c r="A56" t="s">
        <v>145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145</v>
      </c>
      <c r="B57" t="s">
        <v>384</v>
      </c>
      <c r="C57" t="s">
        <v>246</v>
      </c>
      <c r="D57" t="s">
        <v>385</v>
      </c>
      <c r="E57" t="s">
        <v>247</v>
      </c>
      <c r="F57" t="n">
        <v>451433.469171932</v>
      </c>
      <c r="G57" t="n">
        <v>456741.606251567</v>
      </c>
      <c r="H57" t="n">
        <v>463954.875004383</v>
      </c>
      <c r="I57" t="n">
        <v>475897.575303475</v>
      </c>
      <c r="J57" t="n">
        <v>489522.285909976</v>
      </c>
      <c r="K57" t="n">
        <v>507096.416099472</v>
      </c>
      <c r="L57" t="n">
        <v>523523.888809213</v>
      </c>
      <c r="M57" t="n">
        <v>540723.269040301</v>
      </c>
      <c r="N57" t="n">
        <v>552955.195839683</v>
      </c>
      <c r="O57" t="n">
        <v>563616.593095291</v>
      </c>
      <c r="P57" t="n">
        <v>574641.777878233</v>
      </c>
      <c r="Q57" t="n">
        <v>590015.948450919</v>
      </c>
      <c r="R57" t="n">
        <v>605885.005330352</v>
      </c>
      <c r="S57" t="n">
        <v>614462.49819783</v>
      </c>
      <c r="T57" t="n">
        <v>613415.739132499</v>
      </c>
      <c r="U57" t="n">
        <v>615963.599973283</v>
      </c>
      <c r="V57" t="n">
        <v>616510.812502798</v>
      </c>
      <c r="W57" t="n">
        <v>607167.319312265</v>
      </c>
      <c r="X57" t="n">
        <v>594679.203864073</v>
      </c>
      <c r="Y57" t="n">
        <v>583819.04815954</v>
      </c>
      <c r="Z57" t="n">
        <v>574190.745956993</v>
      </c>
      <c r="AA57" t="n">
        <v>570972.65553529</v>
      </c>
      <c r="AB57" t="n">
        <v>570999.955718153</v>
      </c>
      <c r="AC57" t="n">
        <v>575797.368771</v>
      </c>
      <c r="AD57" t="n">
        <v>579425.340832737</v>
      </c>
      <c r="AE57" t="n">
        <v>575880.2</v>
      </c>
      <c r="AF57" t="n">
        <v>582588.5</v>
      </c>
    </row>
    <row r="58">
      <c r="A58" t="s">
        <v>145</v>
      </c>
      <c r="B58" t="s">
        <v>386</v>
      </c>
      <c r="C58" t="s">
        <v>246</v>
      </c>
      <c r="D58" t="s">
        <v>387</v>
      </c>
      <c r="E58" t="s">
        <v>247</v>
      </c>
      <c r="F58" t="n">
        <v>451433.469171932</v>
      </c>
      <c r="G58" t="n">
        <v>456741.606251567</v>
      </c>
      <c r="H58" t="n">
        <v>463954.875004383</v>
      </c>
      <c r="I58" t="n">
        <v>475897.575303475</v>
      </c>
      <c r="J58" t="n">
        <v>489522.285909976</v>
      </c>
      <c r="K58" t="n">
        <v>507096.416099472</v>
      </c>
      <c r="L58" t="n">
        <v>523523.888809213</v>
      </c>
      <c r="M58" t="n">
        <v>540723.269040301</v>
      </c>
      <c r="N58" t="n">
        <v>552955.195839683</v>
      </c>
      <c r="O58" t="n">
        <v>563616.593095291</v>
      </c>
      <c r="P58" t="n">
        <v>574641.777878233</v>
      </c>
      <c r="Q58" t="n">
        <v>590015.948450919</v>
      </c>
      <c r="R58" t="n">
        <v>605885.005330352</v>
      </c>
      <c r="S58" t="n">
        <v>614462.49819783</v>
      </c>
      <c r="T58" t="n">
        <v>613415.739132499</v>
      </c>
      <c r="U58" t="n">
        <v>615963.599973283</v>
      </c>
      <c r="V58" t="n">
        <v>616510.812502798</v>
      </c>
      <c r="W58" t="n">
        <v>607167.319312265</v>
      </c>
      <c r="X58" t="n">
        <v>594679.203864073</v>
      </c>
      <c r="Y58" t="n">
        <v>583819.04815954</v>
      </c>
      <c r="Z58" t="n">
        <v>574190.745956993</v>
      </c>
      <c r="AA58" t="n">
        <v>570972.65553529</v>
      </c>
      <c r="AB58" t="n">
        <v>570999.955718153</v>
      </c>
      <c r="AC58" t="n">
        <v>575797.368771</v>
      </c>
      <c r="AD58" t="n">
        <v>579425.340832737</v>
      </c>
      <c r="AE58" t="n">
        <v>575880.2</v>
      </c>
      <c r="AF58" t="n">
        <v>582588.5</v>
      </c>
    </row>
    <row r="59">
      <c r="A59" t="s">
        <v>145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146</v>
      </c>
      <c r="B2" t="s">
        <v>197</v>
      </c>
      <c r="C2" t="s">
        <v>246</v>
      </c>
      <c r="D2" t="s">
        <v>199</v>
      </c>
      <c r="E2" t="s">
        <v>247</v>
      </c>
      <c r="F2" t="n">
        <v>185813.71717861</v>
      </c>
      <c r="G2" t="n">
        <v>181820.981237294</v>
      </c>
      <c r="H2" t="n">
        <v>177982.720723711</v>
      </c>
      <c r="I2" t="n">
        <v>174150.011517204</v>
      </c>
      <c r="J2" t="n">
        <v>170783.384690902</v>
      </c>
      <c r="K2" t="n">
        <v>168104.465784842</v>
      </c>
      <c r="L2" t="n">
        <v>165108.259007262</v>
      </c>
      <c r="M2" t="n">
        <v>162510.525337043</v>
      </c>
      <c r="N2" t="n">
        <v>160012.070595507</v>
      </c>
      <c r="O2" t="n">
        <v>157242.81951583</v>
      </c>
      <c r="P2" t="n">
        <v>154955.604404416</v>
      </c>
      <c r="Q2" t="n">
        <v>152950.950193021</v>
      </c>
      <c r="R2" t="n">
        <v>150413.4691827</v>
      </c>
      <c r="S2" t="n">
        <v>147714.883153419</v>
      </c>
      <c r="T2" t="n">
        <v>144300.016532059</v>
      </c>
      <c r="U2" t="n">
        <v>140694.687333069</v>
      </c>
      <c r="V2" t="n">
        <v>138004.766030339</v>
      </c>
      <c r="W2" t="n">
        <v>135088.133920949</v>
      </c>
      <c r="X2" t="n">
        <v>131072.008832771</v>
      </c>
      <c r="Y2" t="n">
        <v>126692.393137643</v>
      </c>
      <c r="Z2" t="n">
        <v>122591.398143692</v>
      </c>
      <c r="AA2" t="n">
        <v>118782.544019125</v>
      </c>
      <c r="AB2" t="n">
        <v>115665.834600404</v>
      </c>
      <c r="AC2" t="n">
        <v>113072.19539021</v>
      </c>
      <c r="AD2" t="n">
        <v>110831.377966944</v>
      </c>
      <c r="AE2" t="n">
        <v>108479</v>
      </c>
      <c r="AF2" t="n">
        <v>105824.6</v>
      </c>
    </row>
    <row r="3">
      <c r="A3" t="s">
        <v>146</v>
      </c>
      <c r="B3" t="s">
        <v>276</v>
      </c>
      <c r="C3" t="s">
        <v>246</v>
      </c>
      <c r="D3" t="s">
        <v>277</v>
      </c>
      <c r="E3" t="s">
        <v>247</v>
      </c>
      <c r="F3" t="n">
        <v>21302.0588071341</v>
      </c>
      <c r="G3" t="n">
        <v>21811.6675937173</v>
      </c>
      <c r="H3" t="n">
        <v>22091.1605127717</v>
      </c>
      <c r="I3" t="n">
        <v>22429.7963401506</v>
      </c>
      <c r="J3" t="n">
        <v>22598.0245515246</v>
      </c>
      <c r="K3" t="n">
        <v>23133.2359848792</v>
      </c>
      <c r="L3" t="n">
        <v>23826.0820823093</v>
      </c>
      <c r="M3" t="n">
        <v>24117.4507293572</v>
      </c>
      <c r="N3" t="n">
        <v>24599.9860946413</v>
      </c>
      <c r="O3" t="n">
        <v>25350.6103741606</v>
      </c>
      <c r="P3" t="n">
        <v>26059.5281442999</v>
      </c>
      <c r="Q3" t="n">
        <v>26451.2426470271</v>
      </c>
      <c r="R3" t="n">
        <v>26878.5138739973</v>
      </c>
      <c r="S3" t="n">
        <v>26977.9721605547</v>
      </c>
      <c r="T3" t="n">
        <v>27007.8516081658</v>
      </c>
      <c r="U3" t="n">
        <v>27315.9293478783</v>
      </c>
      <c r="V3" t="n">
        <v>27639.3779411467</v>
      </c>
      <c r="W3" t="n">
        <v>27733.4910929271</v>
      </c>
      <c r="X3" t="n">
        <v>27617.3230858782</v>
      </c>
      <c r="Y3" t="n">
        <v>28240.481927145</v>
      </c>
      <c r="Z3" t="n">
        <v>28581.6408637302</v>
      </c>
      <c r="AA3" t="n">
        <v>27761.1791084061</v>
      </c>
      <c r="AB3" t="n">
        <v>26811.5352713167</v>
      </c>
      <c r="AC3" t="n">
        <v>27042.9598816655</v>
      </c>
      <c r="AD3" t="n">
        <v>26893.5128471346</v>
      </c>
      <c r="AE3" t="n">
        <v>26307.5</v>
      </c>
      <c r="AF3" t="n">
        <v>25668.6</v>
      </c>
    </row>
    <row r="4">
      <c r="A4" t="s">
        <v>146</v>
      </c>
      <c r="B4" t="s">
        <v>278</v>
      </c>
      <c r="C4" t="s">
        <v>246</v>
      </c>
      <c r="D4" t="s">
        <v>279</v>
      </c>
      <c r="E4" t="s">
        <v>247</v>
      </c>
      <c r="F4" t="n">
        <v>150347.229655762</v>
      </c>
      <c r="G4" t="n">
        <v>148940.42498624</v>
      </c>
      <c r="H4" t="n">
        <v>148139.293913063</v>
      </c>
      <c r="I4" t="n">
        <v>146648.284538866</v>
      </c>
      <c r="J4" t="n">
        <v>146233.55353144</v>
      </c>
      <c r="K4" t="n">
        <v>146559.762759092</v>
      </c>
      <c r="L4" t="n">
        <v>147108.570955461</v>
      </c>
      <c r="M4" t="n">
        <v>148515.855380192</v>
      </c>
      <c r="N4" t="n">
        <v>149620.102919072</v>
      </c>
      <c r="O4" t="n">
        <v>150874.262304975</v>
      </c>
      <c r="P4" t="n">
        <v>151776.037268076</v>
      </c>
      <c r="Q4" t="n">
        <v>152432.015917762</v>
      </c>
      <c r="R4" t="n">
        <v>152879.500315907</v>
      </c>
      <c r="S4" t="n">
        <v>153162.560672471</v>
      </c>
      <c r="T4" t="n">
        <v>152134.615660365</v>
      </c>
      <c r="U4" t="n">
        <v>151634.983978926</v>
      </c>
      <c r="V4" t="n">
        <v>151305.551754909</v>
      </c>
      <c r="W4" t="n">
        <v>150355.873288805</v>
      </c>
      <c r="X4" t="n">
        <v>147303.664335992</v>
      </c>
      <c r="Y4" t="n">
        <v>143950.67797359</v>
      </c>
      <c r="Z4" t="n">
        <v>141711.851940955</v>
      </c>
      <c r="AA4" t="n">
        <v>140485.635982872</v>
      </c>
      <c r="AB4" t="n">
        <v>138666.146446213</v>
      </c>
      <c r="AC4" t="n">
        <v>137128.269463995</v>
      </c>
      <c r="AD4" t="n">
        <v>135111.806221648</v>
      </c>
      <c r="AE4" t="n">
        <v>133608.4</v>
      </c>
      <c r="AF4" t="n">
        <v>130629.9</v>
      </c>
    </row>
    <row r="5">
      <c r="A5" t="s">
        <v>146</v>
      </c>
      <c r="B5" t="s">
        <v>280</v>
      </c>
      <c r="C5" t="s">
        <v>246</v>
      </c>
      <c r="D5" t="s">
        <v>281</v>
      </c>
      <c r="E5" t="s">
        <v>247</v>
      </c>
      <c r="F5" t="n">
        <v>11473.1891591177</v>
      </c>
      <c r="G5" t="n">
        <v>11682.2047902517</v>
      </c>
      <c r="H5" t="n">
        <v>11685.7153695224</v>
      </c>
      <c r="I5" t="n">
        <v>11853.8307136596</v>
      </c>
      <c r="J5" t="n">
        <v>12009.8270502168</v>
      </c>
      <c r="K5" t="n">
        <v>12284.268811314</v>
      </c>
      <c r="L5" t="n">
        <v>12664.4750686403</v>
      </c>
      <c r="M5" t="n">
        <v>13144.7709685164</v>
      </c>
      <c r="N5" t="n">
        <v>13467.5570571735</v>
      </c>
      <c r="O5" t="n">
        <v>13801.7358653458</v>
      </c>
      <c r="P5" t="n">
        <v>14105.1140910816</v>
      </c>
      <c r="Q5" t="n">
        <v>14449.3530070565</v>
      </c>
      <c r="R5" t="n">
        <v>14695.2709344041</v>
      </c>
      <c r="S5" t="n">
        <v>14911.6890339677</v>
      </c>
      <c r="T5" t="n">
        <v>14845.8224798544</v>
      </c>
      <c r="U5" t="n">
        <v>14983.06701246</v>
      </c>
      <c r="V5" t="n">
        <v>15125.262006208</v>
      </c>
      <c r="W5" t="n">
        <v>15670.1405094543</v>
      </c>
      <c r="X5" t="n">
        <v>15708.0782451912</v>
      </c>
      <c r="Y5" t="n">
        <v>15703.2264088456</v>
      </c>
      <c r="Z5" t="n">
        <v>15861.2657866159</v>
      </c>
      <c r="AA5" t="n">
        <v>16083.1653034064</v>
      </c>
      <c r="AB5" t="n">
        <v>16181.7678858175</v>
      </c>
      <c r="AC5" t="n">
        <v>16164.1437013962</v>
      </c>
      <c r="AD5" t="n">
        <v>16296.105358771</v>
      </c>
      <c r="AE5" t="n">
        <v>16107.3</v>
      </c>
      <c r="AF5"/>
    </row>
    <row r="6">
      <c r="A6" t="s">
        <v>146</v>
      </c>
      <c r="B6" t="s">
        <v>282</v>
      </c>
      <c r="C6" t="s">
        <v>246</v>
      </c>
      <c r="D6" t="s">
        <v>283</v>
      </c>
      <c r="E6" t="s">
        <v>247</v>
      </c>
      <c r="F6" t="n">
        <v>14354.6458849857</v>
      </c>
      <c r="G6" t="n">
        <v>13810.8910884669</v>
      </c>
      <c r="H6" t="n">
        <v>13259.0513046887</v>
      </c>
      <c r="I6" t="n">
        <v>12734.2260134489</v>
      </c>
      <c r="J6" t="n">
        <v>12225.1094795613</v>
      </c>
      <c r="K6" t="n">
        <v>11776.8039359379</v>
      </c>
      <c r="L6" t="n">
        <v>11330.1966517571</v>
      </c>
      <c r="M6" t="n">
        <v>10983.9559379609</v>
      </c>
      <c r="N6" t="n">
        <v>10675.3289339403</v>
      </c>
      <c r="O6" t="n">
        <v>10355.3835187122</v>
      </c>
      <c r="P6" t="n">
        <v>10020.8806252465</v>
      </c>
      <c r="Q6" t="n">
        <v>9698.94231866971</v>
      </c>
      <c r="R6" t="n">
        <v>9357.3247344575</v>
      </c>
      <c r="S6" t="n">
        <v>9032.08050291701</v>
      </c>
      <c r="T6" t="n">
        <v>8708.06120236065</v>
      </c>
      <c r="U6" t="n">
        <v>8391.93542862638</v>
      </c>
      <c r="V6" t="n">
        <v>8104.12419784224</v>
      </c>
      <c r="W6" t="n">
        <v>8003.88496334352</v>
      </c>
      <c r="X6" t="n">
        <v>7712.07021726765</v>
      </c>
      <c r="Y6" t="n">
        <v>7464.67544316109</v>
      </c>
      <c r="Z6" t="n">
        <v>7228.75095983311</v>
      </c>
      <c r="AA6" t="n">
        <v>7022.98039509798</v>
      </c>
      <c r="AB6" t="n">
        <v>6736.03944624729</v>
      </c>
      <c r="AC6" t="n">
        <v>6606.7189658158</v>
      </c>
      <c r="AD6" t="n">
        <v>6346.03884305719</v>
      </c>
      <c r="AE6" t="n">
        <v>6084.5</v>
      </c>
      <c r="AF6"/>
    </row>
    <row r="7">
      <c r="A7" t="s">
        <v>146</v>
      </c>
      <c r="B7" t="s">
        <v>284</v>
      </c>
      <c r="C7" t="s">
        <v>246</v>
      </c>
      <c r="D7" t="s">
        <v>285</v>
      </c>
      <c r="E7" t="s">
        <v>247</v>
      </c>
      <c r="F7" t="n">
        <v>11980.8289282348</v>
      </c>
      <c r="G7" t="n">
        <v>11556.5662090547</v>
      </c>
      <c r="H7" t="n">
        <v>11128.4398999318</v>
      </c>
      <c r="I7" t="n">
        <v>10712.6157216596</v>
      </c>
      <c r="J7" t="n">
        <v>10344.9393678226</v>
      </c>
      <c r="K7" t="n">
        <v>10094.1652538407</v>
      </c>
      <c r="L7" t="n">
        <v>9774.46982086044</v>
      </c>
      <c r="M7" t="n">
        <v>9555.6362222294</v>
      </c>
      <c r="N7" t="n">
        <v>9355.54186106474</v>
      </c>
      <c r="O7" t="n">
        <v>9098.61805624965</v>
      </c>
      <c r="P7" t="n">
        <v>8879.08423424247</v>
      </c>
      <c r="Q7" t="n">
        <v>8672.41535178976</v>
      </c>
      <c r="R7" t="n">
        <v>8449.74588632721</v>
      </c>
      <c r="S7" t="n">
        <v>8260.39353380428</v>
      </c>
      <c r="T7" t="n">
        <v>7989.41046541811</v>
      </c>
      <c r="U7" t="n">
        <v>7799.4730326223</v>
      </c>
      <c r="V7" t="n">
        <v>7631.85405947137</v>
      </c>
      <c r="W7" t="n">
        <v>7405.55588414972</v>
      </c>
      <c r="X7" t="n">
        <v>7220.05887476397</v>
      </c>
      <c r="Y7" t="n">
        <v>6937.35847223687</v>
      </c>
      <c r="Z7" t="n">
        <v>6813.82199035257</v>
      </c>
      <c r="AA7" t="n">
        <v>6887.13225456635</v>
      </c>
      <c r="AB7" t="n">
        <v>6861.5264618233</v>
      </c>
      <c r="AC7" t="n">
        <v>6865.42022413307</v>
      </c>
      <c r="AD7" t="n">
        <v>6644.55339040463</v>
      </c>
      <c r="AE7" t="n">
        <v>6533.1</v>
      </c>
      <c r="AF7"/>
    </row>
    <row r="8">
      <c r="A8" t="s">
        <v>146</v>
      </c>
      <c r="B8" t="s">
        <v>286</v>
      </c>
      <c r="C8" t="s">
        <v>246</v>
      </c>
      <c r="D8" t="s">
        <v>287</v>
      </c>
      <c r="E8" t="s">
        <v>247</v>
      </c>
      <c r="F8" t="n">
        <v>5817.25974556217</v>
      </c>
      <c r="G8" t="n">
        <v>6452.86098127966</v>
      </c>
      <c r="H8" t="n">
        <v>7471.4164031398</v>
      </c>
      <c r="I8" t="n">
        <v>8499.40980022601</v>
      </c>
      <c r="J8" t="n">
        <v>9852.8240364671</v>
      </c>
      <c r="K8" t="n">
        <v>11216.12262308</v>
      </c>
      <c r="L8" t="n">
        <v>12780.2251057296</v>
      </c>
      <c r="M8" t="n">
        <v>13910.0011027093</v>
      </c>
      <c r="N8" t="n">
        <v>15219.9349410656</v>
      </c>
      <c r="O8" t="n">
        <v>16813.0696187477</v>
      </c>
      <c r="P8" t="n">
        <v>18291.8188162674</v>
      </c>
      <c r="Q8" t="n">
        <v>19417.9787225988</v>
      </c>
      <c r="R8" t="n">
        <v>20502.3969882939</v>
      </c>
      <c r="S8" t="n">
        <v>21247.9600445055</v>
      </c>
      <c r="T8" t="n">
        <v>21567.5258872779</v>
      </c>
      <c r="U8" t="n">
        <v>22238.0356476158</v>
      </c>
      <c r="V8" t="n">
        <v>22887.2946030703</v>
      </c>
      <c r="W8" t="n">
        <v>23176.936535205</v>
      </c>
      <c r="X8" t="n">
        <v>22853.1943503624</v>
      </c>
      <c r="Y8" t="n">
        <v>22397.1638025882</v>
      </c>
      <c r="Z8" t="n">
        <v>21835.0734173155</v>
      </c>
      <c r="AA8" t="n">
        <v>21468.8376884455</v>
      </c>
      <c r="AB8" t="n">
        <v>21564.053252274</v>
      </c>
      <c r="AC8" t="n">
        <v>21626.4730841607</v>
      </c>
      <c r="AD8" t="n">
        <v>21636.4487199689</v>
      </c>
      <c r="AE8" t="n">
        <v>21197.8</v>
      </c>
      <c r="AF8"/>
    </row>
    <row r="9">
      <c r="A9" t="s">
        <v>146</v>
      </c>
      <c r="B9" t="s">
        <v>288</v>
      </c>
      <c r="C9" t="s">
        <v>246</v>
      </c>
      <c r="D9" t="s">
        <v>289</v>
      </c>
      <c r="E9" t="s">
        <v>247</v>
      </c>
      <c r="F9" t="n">
        <v>11882.7663275528</v>
      </c>
      <c r="G9" t="n">
        <v>11710.9652284862</v>
      </c>
      <c r="H9" t="n">
        <v>11477.5857554252</v>
      </c>
      <c r="I9" t="n">
        <v>11218.7050243225</v>
      </c>
      <c r="J9" t="n">
        <v>11032.2550399473</v>
      </c>
      <c r="K9" t="n">
        <v>11001.3536762569</v>
      </c>
      <c r="L9" t="n">
        <v>10957.599061201</v>
      </c>
      <c r="M9" t="n">
        <v>10982.3320656398</v>
      </c>
      <c r="N9" t="n">
        <v>11091.1099880805</v>
      </c>
      <c r="O9" t="n">
        <v>11056.6531835677</v>
      </c>
      <c r="P9" t="n">
        <v>10989.7180812183</v>
      </c>
      <c r="Q9" t="n">
        <v>10969.7063403784</v>
      </c>
      <c r="R9" t="n">
        <v>10951.4375025867</v>
      </c>
      <c r="S9" t="n">
        <v>10943.7994516015</v>
      </c>
      <c r="T9" t="n">
        <v>10823.5889660732</v>
      </c>
      <c r="U9" t="n">
        <v>10761.630360263</v>
      </c>
      <c r="V9" t="n">
        <v>10712.993886806</v>
      </c>
      <c r="W9" t="n">
        <v>10541.9502691442</v>
      </c>
      <c r="X9" t="n">
        <v>10125.5468391835</v>
      </c>
      <c r="Y9" t="n">
        <v>9724.42166909503</v>
      </c>
      <c r="Z9" t="n">
        <v>9543.04291215442</v>
      </c>
      <c r="AA9" t="n">
        <v>9293.02310825175</v>
      </c>
      <c r="AB9" t="n">
        <v>8960.64634148846</v>
      </c>
      <c r="AC9" t="n">
        <v>8613.97632132383</v>
      </c>
      <c r="AD9" t="n">
        <v>8228.43385199241</v>
      </c>
      <c r="AE9" t="n">
        <v>7952</v>
      </c>
      <c r="AF9"/>
    </row>
    <row r="10">
      <c r="A10" t="s">
        <v>146</v>
      </c>
      <c r="B10" t="s">
        <v>290</v>
      </c>
      <c r="C10" t="s">
        <v>246</v>
      </c>
      <c r="D10" t="s">
        <v>291</v>
      </c>
      <c r="E10" t="s">
        <v>247</v>
      </c>
      <c r="F10" t="n">
        <v>13588.4405422838</v>
      </c>
      <c r="G10" t="n">
        <v>13395.6833140673</v>
      </c>
      <c r="H10" t="n">
        <v>13160.4893737629</v>
      </c>
      <c r="I10" t="n">
        <v>12922.5477258853</v>
      </c>
      <c r="J10" t="n">
        <v>12752.6864468131</v>
      </c>
      <c r="K10" t="n">
        <v>12764.545056503</v>
      </c>
      <c r="L10" t="n">
        <v>12758.8317652729</v>
      </c>
      <c r="M10" t="n">
        <v>12842.1061234835</v>
      </c>
      <c r="N10" t="n">
        <v>13000.626224154</v>
      </c>
      <c r="O10" t="n">
        <v>13037.6955550428</v>
      </c>
      <c r="P10" t="n">
        <v>13002.7123301387</v>
      </c>
      <c r="Q10" t="n">
        <v>13012.9064888241</v>
      </c>
      <c r="R10" t="n">
        <v>13037.874627105</v>
      </c>
      <c r="S10" t="n">
        <v>13061.2608439082</v>
      </c>
      <c r="T10" t="n">
        <v>12978.0883085601</v>
      </c>
      <c r="U10" t="n">
        <v>12940.196079922</v>
      </c>
      <c r="V10" t="n">
        <v>12915.9796990747</v>
      </c>
      <c r="W10" t="n">
        <v>12756.8075465442</v>
      </c>
      <c r="X10" t="n">
        <v>12339.7271589533</v>
      </c>
      <c r="Y10" t="n">
        <v>11943.3226993821</v>
      </c>
      <c r="Z10" t="n">
        <v>11751.4081667823</v>
      </c>
      <c r="AA10" t="n">
        <v>11468.8184973574</v>
      </c>
      <c r="AB10" t="n">
        <v>11112.9056694448</v>
      </c>
      <c r="AC10" t="n">
        <v>10727.2002904632</v>
      </c>
      <c r="AD10" t="n">
        <v>10287.7179158939</v>
      </c>
      <c r="AE10" t="n">
        <v>9979.7</v>
      </c>
      <c r="AF10"/>
    </row>
    <row r="11">
      <c r="A11" t="s">
        <v>146</v>
      </c>
      <c r="B11" t="s">
        <v>292</v>
      </c>
      <c r="C11" t="s">
        <v>246</v>
      </c>
      <c r="D11" t="s">
        <v>293</v>
      </c>
      <c r="E11" t="s">
        <v>247</v>
      </c>
      <c r="F11" t="n">
        <v>1705.58503975767</v>
      </c>
      <c r="G11" t="n">
        <v>1684.6323285654</v>
      </c>
      <c r="H11" t="n">
        <v>1682.79375771371</v>
      </c>
      <c r="I11" t="n">
        <v>1703.66285930428</v>
      </c>
      <c r="J11" t="n">
        <v>1720.2048049513</v>
      </c>
      <c r="K11" t="n">
        <v>1762.89442695625</v>
      </c>
      <c r="L11" t="n">
        <v>1800.91115812058</v>
      </c>
      <c r="M11" t="n">
        <v>1859.44881968797</v>
      </c>
      <c r="N11" t="n">
        <v>1909.19995867628</v>
      </c>
      <c r="O11" t="n">
        <v>1980.76576761723</v>
      </c>
      <c r="P11" t="n">
        <v>2012.73694540076</v>
      </c>
      <c r="Q11" t="n">
        <v>2042.9298866406</v>
      </c>
      <c r="R11" t="n">
        <v>2086.16843131104</v>
      </c>
      <c r="S11" t="n">
        <v>2117.20350771508</v>
      </c>
      <c r="T11" t="n">
        <v>2154.27781140057</v>
      </c>
      <c r="U11" t="n">
        <v>2178.36041192135</v>
      </c>
      <c r="V11" t="n">
        <v>2202.82177796996</v>
      </c>
      <c r="W11" t="n">
        <v>2214.77442987458</v>
      </c>
      <c r="X11" t="n">
        <v>2214.15583539645</v>
      </c>
      <c r="Y11" t="n">
        <v>2218.90458439068</v>
      </c>
      <c r="Z11" t="n">
        <v>2208.36886762279</v>
      </c>
      <c r="AA11" t="n">
        <v>2175.79858045633</v>
      </c>
      <c r="AB11" t="n">
        <v>2152.25857493559</v>
      </c>
      <c r="AC11" t="n">
        <v>2113.21975003436</v>
      </c>
      <c r="AD11" t="n">
        <v>2059.28536561167</v>
      </c>
      <c r="AE11" t="n">
        <v>2027.7</v>
      </c>
      <c r="AF11"/>
    </row>
    <row r="12">
      <c r="A12" t="s">
        <v>146</v>
      </c>
      <c r="B12" t="s">
        <v>294</v>
      </c>
      <c r="C12" t="s">
        <v>246</v>
      </c>
      <c r="D12" t="s">
        <v>295</v>
      </c>
      <c r="E12" t="s">
        <v>247</v>
      </c>
      <c r="F12" t="n">
        <v>19500.6264345954</v>
      </c>
      <c r="G12" t="n">
        <v>18844.9485225162</v>
      </c>
      <c r="H12" t="n">
        <v>18348.4649791001</v>
      </c>
      <c r="I12" t="n">
        <v>17887.2038533211</v>
      </c>
      <c r="J12" t="n">
        <v>17368.1805442294</v>
      </c>
      <c r="K12" t="n">
        <v>17029.5269537351</v>
      </c>
      <c r="L12" t="n">
        <v>16674.8109557058</v>
      </c>
      <c r="M12" t="n">
        <v>16533.1094632545</v>
      </c>
      <c r="N12" t="n">
        <v>16300.1433061193</v>
      </c>
      <c r="O12" t="n">
        <v>16098.7629164503</v>
      </c>
      <c r="P12" t="n">
        <v>15906.5035520993</v>
      </c>
      <c r="Q12" t="n">
        <v>15775.8200105728</v>
      </c>
      <c r="R12" t="n">
        <v>15543.401687675</v>
      </c>
      <c r="S12" t="n">
        <v>15477.240550353</v>
      </c>
      <c r="T12" t="n">
        <v>15174.7316211818</v>
      </c>
      <c r="U12" t="n">
        <v>14950.962528678</v>
      </c>
      <c r="V12" t="n">
        <v>14758.6074250217</v>
      </c>
      <c r="W12" t="n">
        <v>14388.5041380866</v>
      </c>
      <c r="X12" t="n">
        <v>14053.4110398535</v>
      </c>
      <c r="Y12" t="n">
        <v>13587.1860895792</v>
      </c>
      <c r="Z12" t="n">
        <v>13067.6331978967</v>
      </c>
      <c r="AA12" t="n">
        <v>12705.1144291689</v>
      </c>
      <c r="AB12" t="n">
        <v>12362.4110922834</v>
      </c>
      <c r="AC12" t="n">
        <v>12196.9149101695</v>
      </c>
      <c r="AD12" t="n">
        <v>11777.9130649892</v>
      </c>
      <c r="AE12" t="n">
        <v>11386</v>
      </c>
      <c r="AF12"/>
    </row>
    <row r="13">
      <c r="A13" t="s">
        <v>146</v>
      </c>
      <c r="B13" t="s">
        <v>296</v>
      </c>
      <c r="C13" t="s">
        <v>246</v>
      </c>
      <c r="D13" t="s">
        <v>297</v>
      </c>
      <c r="E13" t="s">
        <v>247</v>
      </c>
      <c r="F13" t="n">
        <v>28461.2587357429</v>
      </c>
      <c r="G13" t="n">
        <v>27634.7034733346</v>
      </c>
      <c r="H13" t="n">
        <v>27192.5763424708</v>
      </c>
      <c r="I13" t="n">
        <v>26547.3271191207</v>
      </c>
      <c r="J13" t="n">
        <v>25746.7092322653</v>
      </c>
      <c r="K13" t="n">
        <v>25289.3850789827</v>
      </c>
      <c r="L13" t="n">
        <v>24901.5558369398</v>
      </c>
      <c r="M13" t="n">
        <v>24657.6884278958</v>
      </c>
      <c r="N13" t="n">
        <v>24345.0830067959</v>
      </c>
      <c r="O13" t="n">
        <v>24128.362014166</v>
      </c>
      <c r="P13" t="n">
        <v>23681.438227839</v>
      </c>
      <c r="Q13" t="n">
        <v>23308.0124631481</v>
      </c>
      <c r="R13" t="n">
        <v>23044.6726169688</v>
      </c>
      <c r="S13" t="n">
        <v>22779.1241424455</v>
      </c>
      <c r="T13" t="n">
        <v>22496.2683416415</v>
      </c>
      <c r="U13" t="n">
        <v>22178.716436392</v>
      </c>
      <c r="V13" t="n">
        <v>21900.2212585939</v>
      </c>
      <c r="W13" t="n">
        <v>21695.3031495284</v>
      </c>
      <c r="X13" t="n">
        <v>21232.0531112353</v>
      </c>
      <c r="Y13" t="n">
        <v>20675.0744032748</v>
      </c>
      <c r="Z13" t="n">
        <v>20165.0352491474</v>
      </c>
      <c r="AA13" t="n">
        <v>19450.1434731988</v>
      </c>
      <c r="AB13" t="n">
        <v>18977.9533660525</v>
      </c>
      <c r="AC13" t="n">
        <v>18610.7796234674</v>
      </c>
      <c r="AD13" t="n">
        <v>17952.1961187597</v>
      </c>
      <c r="AE13" t="n">
        <v>17411.9</v>
      </c>
      <c r="AF13"/>
    </row>
    <row r="14">
      <c r="A14" t="s">
        <v>146</v>
      </c>
      <c r="B14" t="s">
        <v>298</v>
      </c>
      <c r="C14" t="s">
        <v>246</v>
      </c>
      <c r="D14" t="s">
        <v>299</v>
      </c>
      <c r="E14" t="s">
        <v>247</v>
      </c>
      <c r="F14" t="n">
        <v>1449.61227091004</v>
      </c>
      <c r="G14" t="n">
        <v>1635.61384540595</v>
      </c>
      <c r="H14" t="n">
        <v>1842.30402232975</v>
      </c>
      <c r="I14" t="n">
        <v>1927.58536667064</v>
      </c>
      <c r="J14" t="n">
        <v>2112.59315061446</v>
      </c>
      <c r="K14" t="n">
        <v>2246.00693088694</v>
      </c>
      <c r="L14" t="n">
        <v>2378.65579341822</v>
      </c>
      <c r="M14" t="n">
        <v>2559.36690961357</v>
      </c>
      <c r="N14" t="n">
        <v>2753.79746431609</v>
      </c>
      <c r="O14" t="n">
        <v>2868.62476853731</v>
      </c>
      <c r="P14" t="n">
        <v>3005.31356901742</v>
      </c>
      <c r="Q14" t="n">
        <v>3138.85788768088</v>
      </c>
      <c r="R14" t="n">
        <v>3276.80691742263</v>
      </c>
      <c r="S14" t="n">
        <v>3419.73634713854</v>
      </c>
      <c r="T14" t="n">
        <v>3528.54202286361</v>
      </c>
      <c r="U14" t="n">
        <v>3609.6195279182</v>
      </c>
      <c r="V14" t="n">
        <v>3688.53542320796</v>
      </c>
      <c r="W14" t="n">
        <v>3858.38038317149</v>
      </c>
      <c r="X14" t="n">
        <v>3810.09657934771</v>
      </c>
      <c r="Y14" t="n">
        <v>3915.8380299158</v>
      </c>
      <c r="Z14" t="n">
        <v>4080.16854019213</v>
      </c>
      <c r="AA14" t="n">
        <v>4606.15159596764</v>
      </c>
      <c r="AB14" t="n">
        <v>4835.60209245332</v>
      </c>
      <c r="AC14" t="n">
        <v>4746.64414962964</v>
      </c>
      <c r="AD14" t="n">
        <v>4662.49451343132</v>
      </c>
      <c r="AE14" t="n">
        <v>4763.7</v>
      </c>
      <c r="AF14"/>
    </row>
    <row r="15">
      <c r="A15" t="s">
        <v>146</v>
      </c>
      <c r="B15" t="s">
        <v>300</v>
      </c>
      <c r="C15" t="s">
        <v>246</v>
      </c>
      <c r="D15" t="s">
        <v>301</v>
      </c>
      <c r="E15" t="s">
        <v>247</v>
      </c>
      <c r="F15" t="n">
        <v>3683.02194742251</v>
      </c>
      <c r="G15" t="n">
        <v>4008.79208705379</v>
      </c>
      <c r="H15" t="n">
        <v>4406.86139476357</v>
      </c>
      <c r="I15" t="n">
        <v>4685.56962864524</v>
      </c>
      <c r="J15" t="n">
        <v>5039.75094274807</v>
      </c>
      <c r="K15" t="n">
        <v>5409.32747837321</v>
      </c>
      <c r="L15" t="n">
        <v>5814.00482307587</v>
      </c>
      <c r="M15" t="n">
        <v>6272.00787082529</v>
      </c>
      <c r="N15" t="n">
        <v>6722.62171078233</v>
      </c>
      <c r="O15" t="n">
        <v>7101.62196690742</v>
      </c>
      <c r="P15" t="n">
        <v>7496.10538388526</v>
      </c>
      <c r="Q15" t="n">
        <v>7846.6870457873</v>
      </c>
      <c r="R15" t="n">
        <v>8193.98904241318</v>
      </c>
      <c r="S15" t="n">
        <v>8511.22574518373</v>
      </c>
      <c r="T15" t="n">
        <v>8708.57633681548</v>
      </c>
      <c r="U15" t="n">
        <v>8920.17348180259</v>
      </c>
      <c r="V15" t="n">
        <v>9125.95795963997</v>
      </c>
      <c r="W15" t="n">
        <v>9321.37861632677</v>
      </c>
      <c r="X15" t="n">
        <v>9267.29356323807</v>
      </c>
      <c r="Y15" t="n">
        <v>9365.84556431702</v>
      </c>
      <c r="Z15" t="n">
        <v>9581.10486859428</v>
      </c>
      <c r="AA15" t="n">
        <v>10100.486368216</v>
      </c>
      <c r="AB15" t="n">
        <v>10347.1696160198</v>
      </c>
      <c r="AC15" t="n">
        <v>10252.2743604024</v>
      </c>
      <c r="AD15" t="n">
        <v>10248.5450877924</v>
      </c>
      <c r="AE15" t="n">
        <v>10375.7</v>
      </c>
      <c r="AF15"/>
    </row>
    <row r="16">
      <c r="A16" t="s">
        <v>146</v>
      </c>
      <c r="B16" t="s">
        <v>302</v>
      </c>
      <c r="C16" t="s">
        <v>246</v>
      </c>
      <c r="D16" t="s">
        <v>303</v>
      </c>
      <c r="E16" t="s">
        <v>247</v>
      </c>
      <c r="F16" t="n">
        <v>2233.61615420966</v>
      </c>
      <c r="G16" t="n">
        <v>2373.28158517201</v>
      </c>
      <c r="H16" t="n">
        <v>2564.71571092206</v>
      </c>
      <c r="I16" t="n">
        <v>2758.09291292546</v>
      </c>
      <c r="J16" t="n">
        <v>2927.34167240906</v>
      </c>
      <c r="K16" t="n">
        <v>3163.46789079366</v>
      </c>
      <c r="L16" t="n">
        <v>3435.48104434884</v>
      </c>
      <c r="M16" t="n">
        <v>3712.78379082587</v>
      </c>
      <c r="N16" t="n">
        <v>3968.96940501302</v>
      </c>
      <c r="O16" t="n">
        <v>4233.19199714633</v>
      </c>
      <c r="P16" t="n">
        <v>4491.0166860748</v>
      </c>
      <c r="Q16" t="n">
        <v>4708.06215110937</v>
      </c>
      <c r="R16" t="n">
        <v>4917.42573859273</v>
      </c>
      <c r="S16" t="n">
        <v>5091.73001629083</v>
      </c>
      <c r="T16" t="n">
        <v>5180.2493187288</v>
      </c>
      <c r="U16" t="n">
        <v>5310.7782699958</v>
      </c>
      <c r="V16" t="n">
        <v>5437.66062351445</v>
      </c>
      <c r="W16" t="n">
        <v>5462.99795173248</v>
      </c>
      <c r="X16" t="n">
        <v>5457.22616308829</v>
      </c>
      <c r="Y16" t="n">
        <v>5450.00078326199</v>
      </c>
      <c r="Z16" t="n">
        <v>5500.92475100674</v>
      </c>
      <c r="AA16" t="n">
        <v>5494.30697277661</v>
      </c>
      <c r="AB16" t="n">
        <v>5511.55024994067</v>
      </c>
      <c r="AC16" t="n">
        <v>5505.60688336764</v>
      </c>
      <c r="AD16" t="n">
        <v>5586.04692681353</v>
      </c>
      <c r="AE16" t="n">
        <v>5612</v>
      </c>
      <c r="AF16"/>
    </row>
    <row r="17">
      <c r="A17" t="s">
        <v>146</v>
      </c>
      <c r="B17" t="s">
        <v>304</v>
      </c>
      <c r="C17" t="s">
        <v>246</v>
      </c>
      <c r="D17" t="s">
        <v>305</v>
      </c>
      <c r="E17" t="s">
        <v>247</v>
      </c>
      <c r="F17" t="n">
        <v>12892.0154420681</v>
      </c>
      <c r="G17" t="n">
        <v>13539.4037233317</v>
      </c>
      <c r="H17" t="n">
        <v>13985.6620415376</v>
      </c>
      <c r="I17" t="n">
        <v>13860.6510807462</v>
      </c>
      <c r="J17" t="n">
        <v>14270.9312779929</v>
      </c>
      <c r="K17" t="n">
        <v>14349.3515715931</v>
      </c>
      <c r="L17" t="n">
        <v>14358.5277915542</v>
      </c>
      <c r="M17" t="n">
        <v>14564.0448422453</v>
      </c>
      <c r="N17" t="n">
        <v>14687.9382533716</v>
      </c>
      <c r="O17" t="n">
        <v>14831.9309192575</v>
      </c>
      <c r="P17" t="n">
        <v>15007.0863556754</v>
      </c>
      <c r="Q17" t="n">
        <v>15080.9831226207</v>
      </c>
      <c r="R17" t="n">
        <v>15099.1319962064</v>
      </c>
      <c r="S17" t="n">
        <v>15197.1355768561</v>
      </c>
      <c r="T17" t="n">
        <v>15075.0028904843</v>
      </c>
      <c r="U17" t="n">
        <v>15072.7741957096</v>
      </c>
      <c r="V17" t="n">
        <v>15081.4193199974</v>
      </c>
      <c r="W17" t="n">
        <v>14881.3817915941</v>
      </c>
      <c r="X17" t="n">
        <v>14492.7293415558</v>
      </c>
      <c r="Y17" t="n">
        <v>14210.8101805951</v>
      </c>
      <c r="Z17" t="n">
        <v>14201.9271976575</v>
      </c>
      <c r="AA17" t="n">
        <v>14378.5336166863</v>
      </c>
      <c r="AB17" t="n">
        <v>14166.8598603725</v>
      </c>
      <c r="AC17" t="n">
        <v>14178.7470451287</v>
      </c>
      <c r="AD17" t="n">
        <v>14242.5517092235</v>
      </c>
      <c r="AE17" t="n">
        <v>14233.8</v>
      </c>
      <c r="AF17"/>
    </row>
    <row r="18">
      <c r="A18" t="s">
        <v>146</v>
      </c>
      <c r="B18" t="s">
        <v>306</v>
      </c>
      <c r="C18" t="s">
        <v>246</v>
      </c>
      <c r="D18" t="s">
        <v>307</v>
      </c>
      <c r="E18" t="s">
        <v>247</v>
      </c>
      <c r="F18" t="n">
        <v>7650.70759586907</v>
      </c>
      <c r="G18" t="n">
        <v>7662.38098910889</v>
      </c>
      <c r="H18" t="n">
        <v>7633.26554771945</v>
      </c>
      <c r="I18" t="n">
        <v>7473.33786732719</v>
      </c>
      <c r="J18" t="n">
        <v>7493.69043836429</v>
      </c>
      <c r="K18" t="n">
        <v>7418.76602138348</v>
      </c>
      <c r="L18" t="n">
        <v>7405.08020354922</v>
      </c>
      <c r="M18" t="n">
        <v>7401.42048218738</v>
      </c>
      <c r="N18" t="n">
        <v>7333.02358455724</v>
      </c>
      <c r="O18" t="n">
        <v>7297.86835622625</v>
      </c>
      <c r="P18" t="n">
        <v>7280.89901670512</v>
      </c>
      <c r="Q18" t="n">
        <v>7225.76071822289</v>
      </c>
      <c r="R18" t="n">
        <v>7204.31929175932</v>
      </c>
      <c r="S18" t="n">
        <v>7245.22620850537</v>
      </c>
      <c r="T18" t="n">
        <v>7209.29590738688</v>
      </c>
      <c r="U18" t="n">
        <v>7112.75876216489</v>
      </c>
      <c r="V18" t="n">
        <v>7026.56251277772</v>
      </c>
      <c r="W18" t="n">
        <v>6864.5061015305</v>
      </c>
      <c r="X18" t="n">
        <v>6856.77661427518</v>
      </c>
      <c r="Y18" t="n">
        <v>6771.51976907654</v>
      </c>
      <c r="Z18" t="n">
        <v>6882.45716964991</v>
      </c>
      <c r="AA18" t="n">
        <v>7008.71137944772</v>
      </c>
      <c r="AB18" t="n">
        <v>6932.30414862831</v>
      </c>
      <c r="AC18" t="n">
        <v>7019.81486898615</v>
      </c>
      <c r="AD18" t="n">
        <v>7250.75768562142</v>
      </c>
      <c r="AE18" t="n">
        <v>7985.4</v>
      </c>
      <c r="AF18"/>
    </row>
    <row r="19">
      <c r="A19" t="s">
        <v>146</v>
      </c>
      <c r="B19" t="s">
        <v>308</v>
      </c>
      <c r="C19" t="s">
        <v>246</v>
      </c>
      <c r="D19" t="s">
        <v>309</v>
      </c>
      <c r="E19" t="s">
        <v>247</v>
      </c>
      <c r="F19" t="n">
        <v>20950.7940387301</v>
      </c>
      <c r="G19" t="n">
        <v>20356.6801026831</v>
      </c>
      <c r="H19" t="n">
        <v>19872.4915408435</v>
      </c>
      <c r="I19" t="n">
        <v>19477.4128310191</v>
      </c>
      <c r="J19" t="n">
        <v>19135.7204548795</v>
      </c>
      <c r="K19" t="n">
        <v>18935.5468614621</v>
      </c>
      <c r="L19" t="n">
        <v>18654.51206512</v>
      </c>
      <c r="M19" t="n">
        <v>18658.7570831277</v>
      </c>
      <c r="N19" t="n">
        <v>18518.9170474542</v>
      </c>
      <c r="O19" t="n">
        <v>18314.2873715528</v>
      </c>
      <c r="P19" t="n">
        <v>18108.2562404669</v>
      </c>
      <c r="Q19" t="n">
        <v>17946.9632344659</v>
      </c>
      <c r="R19" t="n">
        <v>17754.6321457179</v>
      </c>
      <c r="S19" t="n">
        <v>17441.8590430443</v>
      </c>
      <c r="T19" t="n">
        <v>17383.7516060272</v>
      </c>
      <c r="U19" t="n">
        <v>17048.0581453508</v>
      </c>
      <c r="V19" t="n">
        <v>16748.0048908681</v>
      </c>
      <c r="W19" t="n">
        <v>16191.1094016341</v>
      </c>
      <c r="X19" t="n">
        <v>15568.0734028052</v>
      </c>
      <c r="Y19" t="n">
        <v>14894.4171420557</v>
      </c>
      <c r="Z19" t="n">
        <v>14323.3228045192</v>
      </c>
      <c r="AA19" t="n">
        <v>13911.6890942251</v>
      </c>
      <c r="AB19" t="n">
        <v>13423.170166143</v>
      </c>
      <c r="AC19" t="n">
        <v>12879.8198976281</v>
      </c>
      <c r="AD19" t="n">
        <v>12428.9873971618</v>
      </c>
      <c r="AE19" t="n">
        <v>12313.2</v>
      </c>
      <c r="AF19"/>
    </row>
    <row r="20">
      <c r="A20" t="s">
        <v>146</v>
      </c>
      <c r="B20" t="s">
        <v>310</v>
      </c>
      <c r="C20" t="s">
        <v>246</v>
      </c>
      <c r="D20" t="s">
        <v>311</v>
      </c>
      <c r="E20" t="s">
        <v>247</v>
      </c>
      <c r="F20" t="n">
        <v>107405.162352956</v>
      </c>
      <c r="G20" t="n">
        <v>115941.612339752</v>
      </c>
      <c r="H20" t="n">
        <v>122572.05244112</v>
      </c>
      <c r="I20" t="n">
        <v>129375.563416861</v>
      </c>
      <c r="J20" t="n">
        <v>135192.594660247</v>
      </c>
      <c r="K20" t="n">
        <v>142777.841389492</v>
      </c>
      <c r="L20" t="n">
        <v>150498.994324622</v>
      </c>
      <c r="M20" t="n">
        <v>159290.350349898</v>
      </c>
      <c r="N20" t="n">
        <v>170375.674800298</v>
      </c>
      <c r="O20" t="n">
        <v>179497.85549932</v>
      </c>
      <c r="P20" t="n">
        <v>185839.30482219</v>
      </c>
      <c r="Q20" t="n">
        <v>191655.337104924</v>
      </c>
      <c r="R20" t="n">
        <v>198772.80568324</v>
      </c>
      <c r="S20" t="n">
        <v>206048.191040198</v>
      </c>
      <c r="T20" t="n">
        <v>209533.959984108</v>
      </c>
      <c r="U20" t="n">
        <v>206766.075441931</v>
      </c>
      <c r="V20" t="n">
        <v>208163.40448478</v>
      </c>
      <c r="W20" t="n">
        <v>205400.527332034</v>
      </c>
      <c r="X20" t="n">
        <v>202735.824113354</v>
      </c>
      <c r="Y20" t="n">
        <v>199517.572495259</v>
      </c>
      <c r="Z20" t="n">
        <v>194859.716965385</v>
      </c>
      <c r="AA20" t="n">
        <v>190464.178985863</v>
      </c>
      <c r="AB20" t="n">
        <v>186444.570488729</v>
      </c>
      <c r="AC20" t="n">
        <v>182985.559804148</v>
      </c>
      <c r="AD20" t="n">
        <v>181054.154787923</v>
      </c>
      <c r="AE20" t="n">
        <v>178462</v>
      </c>
      <c r="AF20" t="n">
        <v>175248.8</v>
      </c>
    </row>
    <row r="21">
      <c r="A21" t="s">
        <v>146</v>
      </c>
      <c r="B21" t="s">
        <v>312</v>
      </c>
      <c r="C21" t="s">
        <v>246</v>
      </c>
      <c r="D21" t="s">
        <v>313</v>
      </c>
      <c r="E21" t="s">
        <v>247</v>
      </c>
      <c r="F21" t="n">
        <v>137738.900282276</v>
      </c>
      <c r="G21" t="n">
        <v>145910.203722279</v>
      </c>
      <c r="H21" t="n">
        <v>152173.276370017</v>
      </c>
      <c r="I21" t="n">
        <v>158689.602686734</v>
      </c>
      <c r="J21" t="n">
        <v>164346.236949391</v>
      </c>
      <c r="K21" t="n">
        <v>172024.086146917</v>
      </c>
      <c r="L21" t="n">
        <v>179831.936167621</v>
      </c>
      <c r="M21" t="n">
        <v>188752.086308155</v>
      </c>
      <c r="N21" t="n">
        <v>200214.90823975</v>
      </c>
      <c r="O21" t="n">
        <v>209413.630500912</v>
      </c>
      <c r="P21" t="n">
        <v>215681.841511894</v>
      </c>
      <c r="Q21" t="n">
        <v>221441.709116655</v>
      </c>
      <c r="R21" t="n">
        <v>228453.906914244</v>
      </c>
      <c r="S21" t="n">
        <v>235299.456923789</v>
      </c>
      <c r="T21" t="n">
        <v>238477.250230697</v>
      </c>
      <c r="U21" t="n">
        <v>235527.624446372</v>
      </c>
      <c r="V21" t="n">
        <v>236739.945791861</v>
      </c>
      <c r="W21" t="n">
        <v>233586.979713329</v>
      </c>
      <c r="X21" t="n">
        <v>230356.485680915</v>
      </c>
      <c r="Y21" t="n">
        <v>226516.676266041</v>
      </c>
      <c r="Z21" t="n">
        <v>221415.396903422</v>
      </c>
      <c r="AA21" t="n">
        <v>216860.310872928</v>
      </c>
      <c r="AB21" t="n">
        <v>213012.146321453</v>
      </c>
      <c r="AC21" t="n">
        <v>209213.006571919</v>
      </c>
      <c r="AD21" t="n">
        <v>207077.404631672</v>
      </c>
      <c r="AE21" t="n">
        <v>204007.1</v>
      </c>
      <c r="AF21" t="n">
        <v>200964.1</v>
      </c>
    </row>
    <row r="22">
      <c r="A22" t="s">
        <v>146</v>
      </c>
      <c r="B22" t="s">
        <v>314</v>
      </c>
      <c r="C22" t="s">
        <v>246</v>
      </c>
      <c r="D22" t="s">
        <v>315</v>
      </c>
      <c r="E22" t="s">
        <v>247</v>
      </c>
      <c r="F22" t="n">
        <v>30333.4969601215</v>
      </c>
      <c r="G22" t="n">
        <v>29967.9752771674</v>
      </c>
      <c r="H22" t="n">
        <v>29601.040292235</v>
      </c>
      <c r="I22" t="n">
        <v>29314.5048556727</v>
      </c>
      <c r="J22" t="n">
        <v>29154.5777037744</v>
      </c>
      <c r="K22" t="n">
        <v>29247.8541033754</v>
      </c>
      <c r="L22" t="n">
        <v>29334.7992147321</v>
      </c>
      <c r="M22" t="n">
        <v>29463.5934916673</v>
      </c>
      <c r="N22" t="n">
        <v>29840.8176493125</v>
      </c>
      <c r="O22" t="n">
        <v>29916.9747388726</v>
      </c>
      <c r="P22" t="n">
        <v>29843.4890071653</v>
      </c>
      <c r="Q22" t="n">
        <v>29787.466765035</v>
      </c>
      <c r="R22" t="n">
        <v>29682.1229103888</v>
      </c>
      <c r="S22" t="n">
        <v>29251.9335958765</v>
      </c>
      <c r="T22" t="n">
        <v>28943.6751880903</v>
      </c>
      <c r="U22" t="n">
        <v>28761.9897941128</v>
      </c>
      <c r="V22" t="n">
        <v>28576.7016463845</v>
      </c>
      <c r="W22" t="n">
        <v>28186.5993598489</v>
      </c>
      <c r="X22" t="n">
        <v>27620.7216500405</v>
      </c>
      <c r="Y22" t="n">
        <v>26999.125935301</v>
      </c>
      <c r="Z22" t="n">
        <v>26555.7045443676</v>
      </c>
      <c r="AA22" t="n">
        <v>26396.1602107593</v>
      </c>
      <c r="AB22" t="n">
        <v>26567.5725652831</v>
      </c>
      <c r="AC22" t="n">
        <v>26227.4343412207</v>
      </c>
      <c r="AD22" t="n">
        <v>26023.2450878388</v>
      </c>
      <c r="AE22" t="n">
        <v>25545.1</v>
      </c>
      <c r="AF22" t="n">
        <v>25715.3</v>
      </c>
    </row>
    <row r="23">
      <c r="A23" t="s">
        <v>146</v>
      </c>
      <c r="B23" t="s">
        <v>316</v>
      </c>
      <c r="C23" t="s">
        <v>246</v>
      </c>
      <c r="D23" t="s">
        <v>317</v>
      </c>
      <c r="E23" t="s">
        <v>247</v>
      </c>
      <c r="F23" t="n">
        <v>33678.799373138</v>
      </c>
      <c r="G23" t="n">
        <v>33208.3133654535</v>
      </c>
      <c r="H23" t="n">
        <v>33180.375307429</v>
      </c>
      <c r="I23" t="n">
        <v>33123.8408594366</v>
      </c>
      <c r="J23" t="n">
        <v>33168.6362709501</v>
      </c>
      <c r="K23" t="n">
        <v>33518.3415862513</v>
      </c>
      <c r="L23" t="n">
        <v>33716.0637455084</v>
      </c>
      <c r="M23" t="n">
        <v>34427.3576687497</v>
      </c>
      <c r="N23" t="n">
        <v>35391.9069058638</v>
      </c>
      <c r="O23" t="n">
        <v>35716.4685252315</v>
      </c>
      <c r="P23" t="n">
        <v>36307.5037846908</v>
      </c>
      <c r="Q23" t="n">
        <v>36588.3016497921</v>
      </c>
      <c r="R23" t="n">
        <v>37048.8237172353</v>
      </c>
      <c r="S23" t="n">
        <v>37571.90105188</v>
      </c>
      <c r="T23" t="n">
        <v>37533.8281981907</v>
      </c>
      <c r="U23" t="n">
        <v>37690.8562512427</v>
      </c>
      <c r="V23" t="n">
        <v>37844.2517219995</v>
      </c>
      <c r="W23" t="n">
        <v>37956.3026042478</v>
      </c>
      <c r="X23" t="n">
        <v>37126.1978006017</v>
      </c>
      <c r="Y23" t="n">
        <v>36523.1968839909</v>
      </c>
      <c r="Z23" t="n">
        <v>35986.9128142118</v>
      </c>
      <c r="AA23" t="n">
        <v>35256.6030054933</v>
      </c>
      <c r="AB23" t="n">
        <v>34760.7800830393</v>
      </c>
      <c r="AC23" t="n">
        <v>34105.8753002567</v>
      </c>
      <c r="AD23" t="n">
        <v>33857.8102118621</v>
      </c>
      <c r="AE23" t="n">
        <v>33957.9</v>
      </c>
      <c r="AF23" t="n">
        <v>36223.2</v>
      </c>
    </row>
    <row r="24">
      <c r="A24" t="s">
        <v>146</v>
      </c>
      <c r="B24" t="s">
        <v>318</v>
      </c>
      <c r="C24" t="s">
        <v>246</v>
      </c>
      <c r="D24" t="s">
        <v>319</v>
      </c>
      <c r="E24" t="s">
        <v>247</v>
      </c>
      <c r="F24" t="n">
        <v>71940.854754382</v>
      </c>
      <c r="G24" t="n">
        <v>74059.0436578751</v>
      </c>
      <c r="H24" t="n">
        <v>75802.0718188118</v>
      </c>
      <c r="I24" t="n">
        <v>77910.9556212102</v>
      </c>
      <c r="J24" t="n">
        <v>81049.3711126729</v>
      </c>
      <c r="K24" t="n">
        <v>83326.0221866838</v>
      </c>
      <c r="L24" t="n">
        <v>85788.2567442738</v>
      </c>
      <c r="M24" t="n">
        <v>89408.9145874126</v>
      </c>
      <c r="N24" t="n">
        <v>92860.3881424863</v>
      </c>
      <c r="O24" t="n">
        <v>95893.2991265377</v>
      </c>
      <c r="P24" t="n">
        <v>98979.3996437403</v>
      </c>
      <c r="Q24" t="n">
        <v>101753.284650417</v>
      </c>
      <c r="R24" t="n">
        <v>104259.71154483</v>
      </c>
      <c r="S24" t="n">
        <v>105932.682227704</v>
      </c>
      <c r="T24" t="n">
        <v>107655.629977735</v>
      </c>
      <c r="U24" t="n">
        <v>109545.99851012</v>
      </c>
      <c r="V24" t="n">
        <v>111447.471027538</v>
      </c>
      <c r="W24" t="n">
        <v>112691.734083968</v>
      </c>
      <c r="X24" t="n">
        <v>114106.486735218</v>
      </c>
      <c r="Y24" t="n">
        <v>114380.76951584</v>
      </c>
      <c r="Z24" t="n">
        <v>114985.845098368</v>
      </c>
      <c r="AA24" t="n">
        <v>116378.431028881</v>
      </c>
      <c r="AB24" t="n">
        <v>117712.612905828</v>
      </c>
      <c r="AC24" t="n">
        <v>119082.633270213</v>
      </c>
      <c r="AD24" t="n">
        <v>120606.996121227</v>
      </c>
      <c r="AE24" t="n">
        <v>121568.6</v>
      </c>
      <c r="AF24" t="n">
        <v>121604.9</v>
      </c>
    </row>
    <row r="25">
      <c r="A25" t="s">
        <v>146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146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146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146</v>
      </c>
      <c r="B28" t="s">
        <v>326</v>
      </c>
      <c r="C28" t="s">
        <v>246</v>
      </c>
      <c r="D28" t="s">
        <v>327</v>
      </c>
      <c r="E28" t="s">
        <v>247</v>
      </c>
      <c r="F28" t="n">
        <v>196263.822040214</v>
      </c>
      <c r="G28" t="n">
        <v>196308.22530956</v>
      </c>
      <c r="H28" t="n">
        <v>196082.121645907</v>
      </c>
      <c r="I28" t="n">
        <v>195606.917803263</v>
      </c>
      <c r="J28" t="n">
        <v>195522.234012278</v>
      </c>
      <c r="K28" t="n">
        <v>195711.16296975</v>
      </c>
      <c r="L28" t="n">
        <v>198560.939863132</v>
      </c>
      <c r="M28" t="n">
        <v>201488.453939418</v>
      </c>
      <c r="N28" t="n">
        <v>204230.929517089</v>
      </c>
      <c r="O28" t="n">
        <v>208340.23355419</v>
      </c>
      <c r="P28" t="n">
        <v>213171.427215142</v>
      </c>
      <c r="Q28" t="n">
        <v>218191.816475145</v>
      </c>
      <c r="R28" t="n">
        <v>222730.746701757</v>
      </c>
      <c r="S28" t="n">
        <v>225698.878994395</v>
      </c>
      <c r="T28" t="n">
        <v>228183.110891124</v>
      </c>
      <c r="U28" t="n">
        <v>230670.429401115</v>
      </c>
      <c r="V28" t="n">
        <v>233271.676422572</v>
      </c>
      <c r="W28" t="n">
        <v>235135.857238684</v>
      </c>
      <c r="X28" t="n">
        <v>236605.759210843</v>
      </c>
      <c r="Y28" t="n">
        <v>236827.494861647</v>
      </c>
      <c r="Z28" t="n">
        <v>238355.732041315</v>
      </c>
      <c r="AA28" t="n">
        <v>240882.872418249</v>
      </c>
      <c r="AB28" t="n">
        <v>240922.733958128</v>
      </c>
      <c r="AC28" t="n">
        <v>242447.314886487</v>
      </c>
      <c r="AD28" t="n">
        <v>242836.777558206</v>
      </c>
      <c r="AE28" t="n">
        <v>243620.7</v>
      </c>
      <c r="AF28" t="n">
        <v>247510.5</v>
      </c>
    </row>
    <row r="29">
      <c r="A29" t="s">
        <v>146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146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146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146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146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146</v>
      </c>
      <c r="B34" t="s">
        <v>338</v>
      </c>
      <c r="C34" t="s">
        <v>246</v>
      </c>
      <c r="D34" t="s">
        <v>339</v>
      </c>
      <c r="E34" t="s">
        <v>247</v>
      </c>
      <c r="F34" t="n">
        <v>73388.5956041055</v>
      </c>
      <c r="G34" t="n">
        <v>74188.0154567605</v>
      </c>
      <c r="H34" t="n">
        <v>75328.7182327762</v>
      </c>
      <c r="I34" t="n">
        <v>76298.3168137128</v>
      </c>
      <c r="J34" t="n">
        <v>76991.794432152</v>
      </c>
      <c r="K34" t="n">
        <v>78473.9581787211</v>
      </c>
      <c r="L34" t="n">
        <v>80196.6412500017</v>
      </c>
      <c r="M34" t="n">
        <v>81487.6264918009</v>
      </c>
      <c r="N34" t="n">
        <v>83210.6780251562</v>
      </c>
      <c r="O34" t="n">
        <v>84360.1397016198</v>
      </c>
      <c r="P34" t="n">
        <v>85346.3974593487</v>
      </c>
      <c r="Q34" t="n">
        <v>86818.6683165839</v>
      </c>
      <c r="R34" t="n">
        <v>87715.8039733238</v>
      </c>
      <c r="S34" t="n">
        <v>89647.3934963129</v>
      </c>
      <c r="T34" t="n">
        <v>89800.4111534145</v>
      </c>
      <c r="U34" t="n">
        <v>90250.0393018957</v>
      </c>
      <c r="V34" t="n">
        <v>90702.749383098</v>
      </c>
      <c r="W34" t="n">
        <v>89987.6894217056</v>
      </c>
      <c r="X34" t="n">
        <v>88301.433991042</v>
      </c>
      <c r="Y34" t="n">
        <v>86945.15206252</v>
      </c>
      <c r="Z34" t="n">
        <v>86495.7395722627</v>
      </c>
      <c r="AA34" t="n">
        <v>85121.2583958076</v>
      </c>
      <c r="AB34" t="n">
        <v>84775.2366004618</v>
      </c>
      <c r="AC34" t="n">
        <v>83584.6154815432</v>
      </c>
      <c r="AD34" t="n">
        <v>82136.3335153054</v>
      </c>
      <c r="AE34" t="n">
        <v>80417.9</v>
      </c>
      <c r="AF34" t="n">
        <v>79343.8</v>
      </c>
    </row>
    <row r="35">
      <c r="A35" t="s">
        <v>146</v>
      </c>
      <c r="B35" t="s">
        <v>340</v>
      </c>
      <c r="C35" t="s">
        <v>246</v>
      </c>
      <c r="D35" t="s">
        <v>341</v>
      </c>
      <c r="E35" t="s">
        <v>247</v>
      </c>
      <c r="F35" t="n">
        <v>25963.032502788</v>
      </c>
      <c r="G35" t="n">
        <v>27460.2040386265</v>
      </c>
      <c r="H35" t="n">
        <v>28900.51702085</v>
      </c>
      <c r="I35" t="n">
        <v>30132.1657686082</v>
      </c>
      <c r="J35" t="n">
        <v>31432.2769810148</v>
      </c>
      <c r="K35" t="n">
        <v>32674.5816272557</v>
      </c>
      <c r="L35" t="n">
        <v>34505.597729493</v>
      </c>
      <c r="M35" t="n">
        <v>35638.3465347516</v>
      </c>
      <c r="N35" t="n">
        <v>36809.1336166761</v>
      </c>
      <c r="O35" t="n">
        <v>38034.3765316204</v>
      </c>
      <c r="P35" t="n">
        <v>39590.2112289517</v>
      </c>
      <c r="Q35" t="n">
        <v>40875.4850833088</v>
      </c>
      <c r="R35" t="n">
        <v>42051.8578899277</v>
      </c>
      <c r="S35" t="n">
        <v>42862.7966097499</v>
      </c>
      <c r="T35" t="n">
        <v>43108.9836020712</v>
      </c>
      <c r="U35" t="n">
        <v>43747.6632536429</v>
      </c>
      <c r="V35" t="n">
        <v>44367.2509973314</v>
      </c>
      <c r="W35" t="n">
        <v>44723.0921112252</v>
      </c>
      <c r="X35" t="n">
        <v>44716.2996993729</v>
      </c>
      <c r="Y35" t="n">
        <v>45147.6615666562</v>
      </c>
      <c r="Z35" t="n">
        <v>45521.0465043222</v>
      </c>
      <c r="AA35" t="n">
        <v>46418.0236342436</v>
      </c>
      <c r="AB35" t="n">
        <v>47590.1949051497</v>
      </c>
      <c r="AC35" t="n">
        <v>48590.8002194632</v>
      </c>
      <c r="AD35" t="n">
        <v>50003.8208954194</v>
      </c>
      <c r="AE35" t="n">
        <v>51049.3</v>
      </c>
      <c r="AF35" t="n">
        <v>51090</v>
      </c>
    </row>
    <row r="36">
      <c r="A36" t="s">
        <v>146</v>
      </c>
      <c r="B36" t="s">
        <v>342</v>
      </c>
      <c r="C36" t="s">
        <v>246</v>
      </c>
      <c r="D36" t="s">
        <v>343</v>
      </c>
      <c r="E36" t="s">
        <v>247</v>
      </c>
      <c r="F36" t="n">
        <v>5141.03250183255</v>
      </c>
      <c r="G36" t="n">
        <v>5310.13976562634</v>
      </c>
      <c r="H36" t="n">
        <v>5501.91339003356</v>
      </c>
      <c r="I36" t="n">
        <v>5730.28981439556</v>
      </c>
      <c r="J36" t="n">
        <v>5938.49491505888</v>
      </c>
      <c r="K36" t="n">
        <v>6211.95566803902</v>
      </c>
      <c r="L36" t="n">
        <v>6507.25499278492</v>
      </c>
      <c r="M36" t="n">
        <v>6874.78409931149</v>
      </c>
      <c r="N36" t="n">
        <v>7232.1762494596</v>
      </c>
      <c r="O36" t="n">
        <v>7525.94951927802</v>
      </c>
      <c r="P36" t="n">
        <v>7821.41739798329</v>
      </c>
      <c r="Q36" t="n">
        <v>8056.55434914595</v>
      </c>
      <c r="R36" t="n">
        <v>8332.22522310638</v>
      </c>
      <c r="S36" t="n">
        <v>8687.88044548699</v>
      </c>
      <c r="T36" t="n">
        <v>8764.1286822515</v>
      </c>
      <c r="U36" t="n">
        <v>8946.09023665014</v>
      </c>
      <c r="V36" t="n">
        <v>9127.4744564771</v>
      </c>
      <c r="W36" t="n">
        <v>9170.73852977464</v>
      </c>
      <c r="X36" t="n">
        <v>9213.28770702339</v>
      </c>
      <c r="Y36" t="n">
        <v>9162.10220200335</v>
      </c>
      <c r="Z36" t="n">
        <v>9147.64165040667</v>
      </c>
      <c r="AA36" t="n">
        <v>9133.57949075419</v>
      </c>
      <c r="AB36" t="n">
        <v>9202.45021348198</v>
      </c>
      <c r="AC36" t="n">
        <v>9210.7506796998</v>
      </c>
      <c r="AD36" t="n">
        <v>9253.48683728045</v>
      </c>
      <c r="AE36" t="n">
        <v>9272.6</v>
      </c>
      <c r="AF36"/>
    </row>
    <row r="37">
      <c r="A37" t="s">
        <v>146</v>
      </c>
      <c r="B37" t="s">
        <v>344</v>
      </c>
      <c r="C37" t="s">
        <v>246</v>
      </c>
      <c r="D37" t="s">
        <v>345</v>
      </c>
      <c r="E37" t="s">
        <v>247</v>
      </c>
      <c r="F37" t="n">
        <v>17997.7965570005</v>
      </c>
      <c r="G37" t="n">
        <v>19118.2986198117</v>
      </c>
      <c r="H37" t="n">
        <v>20097.5559225324</v>
      </c>
      <c r="I37" t="n">
        <v>20969.3158199798</v>
      </c>
      <c r="J37" t="n">
        <v>21810.9772192791</v>
      </c>
      <c r="K37" t="n">
        <v>22608.7032212667</v>
      </c>
      <c r="L37" t="n">
        <v>23996.4843492538</v>
      </c>
      <c r="M37" t="n">
        <v>24521.5670509493</v>
      </c>
      <c r="N37" t="n">
        <v>25167.759216494</v>
      </c>
      <c r="O37" t="n">
        <v>25897.9212348862</v>
      </c>
      <c r="P37" t="n">
        <v>26964.3286387081</v>
      </c>
      <c r="Q37" t="n">
        <v>27893.9289843517</v>
      </c>
      <c r="R37" t="n">
        <v>28489.5774220463</v>
      </c>
      <c r="S37" t="n">
        <v>28874.3162745597</v>
      </c>
      <c r="T37" t="n">
        <v>28947.6398249673</v>
      </c>
      <c r="U37" t="n">
        <v>29302.747734619</v>
      </c>
      <c r="V37" t="n">
        <v>29653.4251572732</v>
      </c>
      <c r="W37" t="n">
        <v>29978.3658842985</v>
      </c>
      <c r="X37" t="n">
        <v>29825.8149574673</v>
      </c>
      <c r="Y37" t="n">
        <v>30315.1397390302</v>
      </c>
      <c r="Z37" t="n">
        <v>30724.8791611326</v>
      </c>
      <c r="AA37" t="n">
        <v>31537.0665723675</v>
      </c>
      <c r="AB37" t="n">
        <v>32575.4552278389</v>
      </c>
      <c r="AC37" t="n">
        <v>33564.7488675263</v>
      </c>
      <c r="AD37" t="n">
        <v>34965.647985846</v>
      </c>
      <c r="AE37" t="n">
        <v>35966.9</v>
      </c>
      <c r="AF37"/>
    </row>
    <row r="38">
      <c r="A38" t="s">
        <v>146</v>
      </c>
      <c r="B38" t="s">
        <v>346</v>
      </c>
      <c r="C38" t="s">
        <v>246</v>
      </c>
      <c r="D38" t="s">
        <v>347</v>
      </c>
      <c r="E38" t="s">
        <v>247</v>
      </c>
      <c r="F38" t="n">
        <v>2824.31729226501</v>
      </c>
      <c r="G38" t="n">
        <v>3031.67266655301</v>
      </c>
      <c r="H38" t="n">
        <v>3300.93911953201</v>
      </c>
      <c r="I38" t="n">
        <v>3432.48420026719</v>
      </c>
      <c r="J38" t="n">
        <v>3682.62985765008</v>
      </c>
      <c r="K38" t="n">
        <v>3853.54833745879</v>
      </c>
      <c r="L38" t="n">
        <v>4001.6114172059</v>
      </c>
      <c r="M38" t="n">
        <v>4241.65544175755</v>
      </c>
      <c r="N38" t="n">
        <v>4408.9554583493</v>
      </c>
      <c r="O38" t="n">
        <v>4610.34151929883</v>
      </c>
      <c r="P38" t="n">
        <v>4804.284121473</v>
      </c>
      <c r="Q38" t="n">
        <v>4924.88166289517</v>
      </c>
      <c r="R38" t="n">
        <v>5229.84221261633</v>
      </c>
      <c r="S38" t="n">
        <v>5300.52686298329</v>
      </c>
      <c r="T38" t="n">
        <v>5397.20677031094</v>
      </c>
      <c r="U38" t="n">
        <v>5498.8748767171</v>
      </c>
      <c r="V38" t="n">
        <v>5586.56830719993</v>
      </c>
      <c r="W38" t="n">
        <v>5573.92197674611</v>
      </c>
      <c r="X38" t="n">
        <v>5677.33158305564</v>
      </c>
      <c r="Y38" t="n">
        <v>5670.41782363028</v>
      </c>
      <c r="Z38" t="n">
        <v>5648.52072935516</v>
      </c>
      <c r="AA38" t="n">
        <v>5747.37087611623</v>
      </c>
      <c r="AB38" t="n">
        <v>5812.31933699686</v>
      </c>
      <c r="AC38" t="n">
        <v>5815.39360805436</v>
      </c>
      <c r="AD38" t="n">
        <v>5784.65152800623</v>
      </c>
      <c r="AE38" t="n">
        <v>5809.8</v>
      </c>
      <c r="AF38"/>
    </row>
    <row r="39">
      <c r="A39" t="s">
        <v>146</v>
      </c>
      <c r="B39" t="s">
        <v>348</v>
      </c>
      <c r="C39" t="s">
        <v>246</v>
      </c>
      <c r="D39" t="s">
        <v>349</v>
      </c>
      <c r="E39" t="s">
        <v>247</v>
      </c>
      <c r="F39" t="n">
        <v>79081.5666849772</v>
      </c>
      <c r="G39" t="n">
        <v>82450.1356686111</v>
      </c>
      <c r="H39" t="n">
        <v>85355.8283166896</v>
      </c>
      <c r="I39" t="n">
        <v>88185.4096965963</v>
      </c>
      <c r="J39" t="n">
        <v>88737.7504060076</v>
      </c>
      <c r="K39" t="n">
        <v>90441.4226124092</v>
      </c>
      <c r="L39" t="n">
        <v>92429.3063369379</v>
      </c>
      <c r="M39" t="n">
        <v>94661.535241731</v>
      </c>
      <c r="N39" t="n">
        <v>94917.9122613099</v>
      </c>
      <c r="O39" t="n">
        <v>95723.231995112</v>
      </c>
      <c r="P39" t="n">
        <v>95332.7762518543</v>
      </c>
      <c r="Q39" t="n">
        <v>95011.2538450074</v>
      </c>
      <c r="R39" t="n">
        <v>95971.033491259</v>
      </c>
      <c r="S39" t="n">
        <v>96121.8874455865</v>
      </c>
      <c r="T39" t="n">
        <v>95638.1469249042</v>
      </c>
      <c r="U39" t="n">
        <v>96029.1841868264</v>
      </c>
      <c r="V39" t="n">
        <v>95898.5356087554</v>
      </c>
      <c r="W39" t="n">
        <v>95085.3024425729</v>
      </c>
      <c r="X39" t="n">
        <v>94270.3481854376</v>
      </c>
      <c r="Y39" t="n">
        <v>93805.4759812023</v>
      </c>
      <c r="Z39" t="n">
        <v>93340.7074304497</v>
      </c>
      <c r="AA39" t="n">
        <v>92871.2881892511</v>
      </c>
      <c r="AB39" t="n">
        <v>93578.730063719</v>
      </c>
      <c r="AC39" t="n">
        <v>94277.1522162479</v>
      </c>
      <c r="AD39" t="n">
        <v>95244.7857322377</v>
      </c>
      <c r="AE39" t="n">
        <v>95903.6</v>
      </c>
      <c r="AF39" t="n">
        <v>96941.6</v>
      </c>
    </row>
    <row r="40">
      <c r="A40" t="s">
        <v>146</v>
      </c>
      <c r="B40" t="s">
        <v>350</v>
      </c>
      <c r="C40" t="s">
        <v>246</v>
      </c>
      <c r="D40" t="s">
        <v>351</v>
      </c>
      <c r="E40" t="s">
        <v>247</v>
      </c>
      <c r="F40" t="n">
        <v>102245.283009028</v>
      </c>
      <c r="G40" t="n">
        <v>108733.076263723</v>
      </c>
      <c r="H40" t="n">
        <v>115230.435116598</v>
      </c>
      <c r="I40" t="n">
        <v>121011.852010288</v>
      </c>
      <c r="J40" t="n">
        <v>127885.585919256</v>
      </c>
      <c r="K40" t="n">
        <v>135118.711404073</v>
      </c>
      <c r="L40" t="n">
        <v>142329.242219433</v>
      </c>
      <c r="M40" t="n">
        <v>151009.155248453</v>
      </c>
      <c r="N40" t="n">
        <v>158978.811060569</v>
      </c>
      <c r="O40" t="n">
        <v>166733.319485293</v>
      </c>
      <c r="P40" t="n">
        <v>174688.441885567</v>
      </c>
      <c r="Q40" t="n">
        <v>182450.205650766</v>
      </c>
      <c r="R40" t="n">
        <v>189980.601239427</v>
      </c>
      <c r="S40" t="n">
        <v>196663.31884044</v>
      </c>
      <c r="T40" t="n">
        <v>202325.328617051</v>
      </c>
      <c r="U40" t="n">
        <v>207418.607674428</v>
      </c>
      <c r="V40" t="n">
        <v>212155.155336332</v>
      </c>
      <c r="W40" t="n">
        <v>217451.488530233</v>
      </c>
      <c r="X40" t="n">
        <v>221815.369025134</v>
      </c>
      <c r="Y40" t="n">
        <v>225702.356021173</v>
      </c>
      <c r="Z40" t="n">
        <v>227878.224022383</v>
      </c>
      <c r="AA40" t="n">
        <v>230487.176474707</v>
      </c>
      <c r="AB40" t="n">
        <v>234300.121304636</v>
      </c>
      <c r="AC40" t="n">
        <v>238334.060863885</v>
      </c>
      <c r="AD40" t="n">
        <v>243457.764595269</v>
      </c>
      <c r="AE40" t="n">
        <v>247130.9</v>
      </c>
      <c r="AF40" t="n">
        <v>250576.9</v>
      </c>
    </row>
    <row r="41">
      <c r="A41" t="s">
        <v>146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146</v>
      </c>
      <c r="B42" t="s">
        <v>354</v>
      </c>
      <c r="C42" t="s">
        <v>246</v>
      </c>
      <c r="D42" t="s">
        <v>355</v>
      </c>
      <c r="E42" t="s">
        <v>247</v>
      </c>
      <c r="F42" t="n">
        <v>22682.032451639</v>
      </c>
      <c r="G42" t="n">
        <v>23785.5670070726</v>
      </c>
      <c r="H42" t="n">
        <v>25059.0405735033</v>
      </c>
      <c r="I42" t="n">
        <v>25987.6637432767</v>
      </c>
      <c r="J42" t="n">
        <v>27372.794631986</v>
      </c>
      <c r="K42" t="n">
        <v>28793.6863597555</v>
      </c>
      <c r="L42" t="n">
        <v>29972.797495458</v>
      </c>
      <c r="M42" t="n">
        <v>31384.2426601306</v>
      </c>
      <c r="N42" t="n">
        <v>32729.6547406103</v>
      </c>
      <c r="O42" t="n">
        <v>33751.2262928415</v>
      </c>
      <c r="P42" t="n">
        <v>34957.8520468316</v>
      </c>
      <c r="Q42" t="n">
        <v>35885.489954583</v>
      </c>
      <c r="R42" t="n">
        <v>36911.2696702864</v>
      </c>
      <c r="S42" t="n">
        <v>37666.2598375779</v>
      </c>
      <c r="T42" t="n">
        <v>38311.7284998106</v>
      </c>
      <c r="U42" t="n">
        <v>38856.513088938</v>
      </c>
      <c r="V42" t="n">
        <v>39377.8909503235</v>
      </c>
      <c r="W42" t="n">
        <v>40139.0143214171</v>
      </c>
      <c r="X42" t="n">
        <v>40882.4837763302</v>
      </c>
      <c r="Y42" t="n">
        <v>41257.5354009643</v>
      </c>
      <c r="Z42" t="n">
        <v>41183.1693980736</v>
      </c>
      <c r="AA42" t="n">
        <v>41238.3834509094</v>
      </c>
      <c r="AB42" t="n">
        <v>41251.394554629</v>
      </c>
      <c r="AC42" t="n">
        <v>41511.4006364435</v>
      </c>
      <c r="AD42" t="n">
        <v>41722.3255860256</v>
      </c>
      <c r="AE42" t="n">
        <v>41684.5</v>
      </c>
      <c r="AF42" t="n">
        <v>41947.4</v>
      </c>
    </row>
    <row r="43">
      <c r="A43" t="s">
        <v>146</v>
      </c>
      <c r="B43" t="s">
        <v>356</v>
      </c>
      <c r="C43" t="s">
        <v>246</v>
      </c>
      <c r="D43" t="s">
        <v>357</v>
      </c>
      <c r="E43" t="s">
        <v>247</v>
      </c>
      <c r="F43" t="n">
        <v>32477.8390712965</v>
      </c>
      <c r="G43" t="n">
        <v>34561.0662432982</v>
      </c>
      <c r="H43" t="n">
        <v>37039.2037577659</v>
      </c>
      <c r="I43" t="n">
        <v>38665.3483521148</v>
      </c>
      <c r="J43" t="n">
        <v>41209.160723649</v>
      </c>
      <c r="K43" t="n">
        <v>43688.6294514548</v>
      </c>
      <c r="L43" t="n">
        <v>45804.7589059607</v>
      </c>
      <c r="M43" t="n">
        <v>48370.1309141198</v>
      </c>
      <c r="N43" t="n">
        <v>50932.2538691565</v>
      </c>
      <c r="O43" t="n">
        <v>52890.0628245401</v>
      </c>
      <c r="P43" t="n">
        <v>55157.7185185081</v>
      </c>
      <c r="Q43" t="n">
        <v>57012.2871775056</v>
      </c>
      <c r="R43" t="n">
        <v>59002.0434285421</v>
      </c>
      <c r="S43" t="n">
        <v>60831.4712981359</v>
      </c>
      <c r="T43" t="n">
        <v>61957.2525332378</v>
      </c>
      <c r="U43" t="n">
        <v>63234.3657546119</v>
      </c>
      <c r="V43" t="n">
        <v>64505.6290534151</v>
      </c>
      <c r="W43" t="n">
        <v>65425.4308130281</v>
      </c>
      <c r="X43" t="n">
        <v>66202.1896091438</v>
      </c>
      <c r="Y43" t="n">
        <v>67056.3914432348</v>
      </c>
      <c r="Z43" t="n">
        <v>66983.4706051257</v>
      </c>
      <c r="AA43" t="n">
        <v>67235.2442391638</v>
      </c>
      <c r="AB43" t="n">
        <v>67520.4491227014</v>
      </c>
      <c r="AC43" t="n">
        <v>68189.1449743062</v>
      </c>
      <c r="AD43" t="n">
        <v>68490.2813385492</v>
      </c>
      <c r="AE43" t="n">
        <v>68661.5</v>
      </c>
      <c r="AF43" t="n">
        <v>69257.8</v>
      </c>
    </row>
    <row r="44">
      <c r="A44" t="s">
        <v>146</v>
      </c>
      <c r="B44" t="s">
        <v>358</v>
      </c>
      <c r="C44" t="s">
        <v>246</v>
      </c>
      <c r="D44" t="s">
        <v>359</v>
      </c>
      <c r="E44" t="s">
        <v>247</v>
      </c>
      <c r="F44" t="n">
        <v>1030903.43963857</v>
      </c>
      <c r="G44" t="n">
        <v>1044235.19563606</v>
      </c>
      <c r="H44" t="n">
        <v>1056248.57524956</v>
      </c>
      <c r="I44" t="n">
        <v>1066824.38086883</v>
      </c>
      <c r="J44" t="n">
        <v>1077939.74740719</v>
      </c>
      <c r="K44" t="n">
        <v>1094420.78980422</v>
      </c>
      <c r="L44" t="n">
        <v>1114704.52996199</v>
      </c>
      <c r="M44" t="n">
        <v>1138452.1370059</v>
      </c>
      <c r="N44" t="n">
        <v>1163057.0015631</v>
      </c>
      <c r="O44" t="n">
        <v>1185006.79524661</v>
      </c>
      <c r="P44" t="n">
        <v>1204567.61966821</v>
      </c>
      <c r="Q44" t="n">
        <v>1222557.47883406</v>
      </c>
      <c r="R44" t="n">
        <v>1241372.73700421</v>
      </c>
      <c r="S44" t="n">
        <v>1256347.33183751</v>
      </c>
      <c r="T44" t="n">
        <v>1260923.35645329</v>
      </c>
      <c r="U44" t="n">
        <v>1262189.68299602</v>
      </c>
      <c r="V44" t="n">
        <v>1268138.43653775</v>
      </c>
      <c r="W44" t="n">
        <v>1264010.12998064</v>
      </c>
      <c r="X44" t="n">
        <v>1253437.80184823</v>
      </c>
      <c r="Y44" t="n">
        <v>1241907.90169939</v>
      </c>
      <c r="Z44" t="n">
        <v>1231688.69919555</v>
      </c>
      <c r="AA44" t="n">
        <v>1223733.03666895</v>
      </c>
      <c r="AB44" t="n">
        <v>1217054.64662609</v>
      </c>
      <c r="AC44" t="n">
        <v>1212611.41478687</v>
      </c>
      <c r="AD44" t="n">
        <v>1208531.09332233</v>
      </c>
      <c r="AE44" t="n">
        <v>1202453.8</v>
      </c>
      <c r="AF44" t="n">
        <v>1199996.9</v>
      </c>
    </row>
    <row r="45">
      <c r="A45" t="s">
        <v>146</v>
      </c>
      <c r="B45" t="s">
        <v>360</v>
      </c>
      <c r="C45" t="s">
        <v>246</v>
      </c>
      <c r="D45" t="s">
        <v>361</v>
      </c>
      <c r="E45" t="s">
        <v>247</v>
      </c>
      <c r="F45" t="n">
        <v>845082.130469895</v>
      </c>
      <c r="G45" t="n">
        <v>862407.538394693</v>
      </c>
      <c r="H45" t="n">
        <v>878258.87322577</v>
      </c>
      <c r="I45" t="n">
        <v>892666.693310569</v>
      </c>
      <c r="J45" t="n">
        <v>907148.142801839</v>
      </c>
      <c r="K45" t="n">
        <v>926307.124824193</v>
      </c>
      <c r="L45" t="n">
        <v>949586.845137713</v>
      </c>
      <c r="M45" t="n">
        <v>975932.459274912</v>
      </c>
      <c r="N45" t="n">
        <v>1003036.55605373</v>
      </c>
      <c r="O45" t="n">
        <v>1027756.57705406</v>
      </c>
      <c r="P45" t="n">
        <v>1049605.41934112</v>
      </c>
      <c r="Q45" t="n">
        <v>1069599.93299113</v>
      </c>
      <c r="R45" t="n">
        <v>1090953.13752844</v>
      </c>
      <c r="S45" t="n">
        <v>1108627.07767877</v>
      </c>
      <c r="T45" t="n">
        <v>1116618.89585332</v>
      </c>
      <c r="U45" t="n">
        <v>1121491.30233291</v>
      </c>
      <c r="V45" t="n">
        <v>1130131.32148696</v>
      </c>
      <c r="W45" t="n">
        <v>1128920.97360923</v>
      </c>
      <c r="X45" t="n">
        <v>1122365.41330214</v>
      </c>
      <c r="Y45" t="n">
        <v>1115215.47264777</v>
      </c>
      <c r="Z45" t="n">
        <v>1109097.30807595</v>
      </c>
      <c r="AA45" t="n">
        <v>1104950.5212149</v>
      </c>
      <c r="AB45" t="n">
        <v>1101388.80121214</v>
      </c>
      <c r="AC45" t="n">
        <v>1099539.15824792</v>
      </c>
      <c r="AD45" t="n">
        <v>1097699.74051822</v>
      </c>
      <c r="AE45" t="n">
        <v>1093974.8</v>
      </c>
      <c r="AF45" t="n">
        <v>1094172.3</v>
      </c>
    </row>
    <row r="46">
      <c r="A46" t="s">
        <v>146</v>
      </c>
      <c r="B46" t="s">
        <v>362</v>
      </c>
      <c r="C46" t="s">
        <v>246</v>
      </c>
      <c r="D46" t="s">
        <v>363</v>
      </c>
      <c r="E46" t="s">
        <v>247</v>
      </c>
      <c r="F46" t="n">
        <v>9796.84663614548</v>
      </c>
      <c r="G46" t="n">
        <v>10776.7027831599</v>
      </c>
      <c r="H46" t="n">
        <v>11981.0259908736</v>
      </c>
      <c r="I46" t="n">
        <v>12678.333525059</v>
      </c>
      <c r="J46" t="n">
        <v>13836.6286744251</v>
      </c>
      <c r="K46" t="n">
        <v>14894.8284252327</v>
      </c>
      <c r="L46" t="n">
        <v>15831.682876674</v>
      </c>
      <c r="M46" t="n">
        <v>16985.5491310248</v>
      </c>
      <c r="N46" t="n">
        <v>18202.3534688001</v>
      </c>
      <c r="O46" t="n">
        <v>19138.7105492129</v>
      </c>
      <c r="P46" t="n">
        <v>20199.8469937666</v>
      </c>
      <c r="Q46" t="n">
        <v>21126.6566945905</v>
      </c>
      <c r="R46" t="n">
        <v>22090.6393127265</v>
      </c>
      <c r="S46" t="n">
        <v>23165.2460417836</v>
      </c>
      <c r="T46" t="n">
        <v>23645.5971404913</v>
      </c>
      <c r="U46" t="n">
        <v>24378.0642258308</v>
      </c>
      <c r="V46" t="n">
        <v>25128.367961738</v>
      </c>
      <c r="W46" t="n">
        <v>25286.6128012461</v>
      </c>
      <c r="X46" t="n">
        <v>25319.6771608731</v>
      </c>
      <c r="Y46" t="n">
        <v>25798.8846561358</v>
      </c>
      <c r="Z46" t="n">
        <v>25800.3307066905</v>
      </c>
      <c r="AA46" t="n">
        <v>25996.8922470493</v>
      </c>
      <c r="AB46" t="n">
        <v>26269.0764149932</v>
      </c>
      <c r="AC46" t="n">
        <v>26677.7534041053</v>
      </c>
      <c r="AD46" t="n">
        <v>26767.960968934</v>
      </c>
      <c r="AE46" t="n">
        <v>26977</v>
      </c>
      <c r="AF46" t="n">
        <v>27310.4</v>
      </c>
    </row>
    <row r="47">
      <c r="A47" t="s">
        <v>146</v>
      </c>
      <c r="B47" t="s">
        <v>364</v>
      </c>
      <c r="C47" t="s">
        <v>246</v>
      </c>
      <c r="D47" t="s">
        <v>365</v>
      </c>
      <c r="E47" t="s">
        <v>247</v>
      </c>
      <c r="F47" t="n">
        <v>550788.505828443</v>
      </c>
      <c r="G47" t="n">
        <v>557659.474915457</v>
      </c>
      <c r="H47" t="n">
        <v>564734.766915933</v>
      </c>
      <c r="I47" t="n">
        <v>573009.638654727</v>
      </c>
      <c r="J47" t="n">
        <v>582086.741028046</v>
      </c>
      <c r="K47" t="n">
        <v>589954.246661453</v>
      </c>
      <c r="L47" t="n">
        <v>598976.006827049</v>
      </c>
      <c r="M47" t="n">
        <v>609345.484059393</v>
      </c>
      <c r="N47" t="n">
        <v>619535.441508743</v>
      </c>
      <c r="O47" t="n">
        <v>633300.050197303</v>
      </c>
      <c r="P47" t="n">
        <v>643407.631170062</v>
      </c>
      <c r="Q47" t="n">
        <v>651936.408196421</v>
      </c>
      <c r="R47" t="n">
        <v>658943.248517002</v>
      </c>
      <c r="S47" t="n">
        <v>664948.18045939</v>
      </c>
      <c r="T47" t="n">
        <v>671803.949580877</v>
      </c>
      <c r="U47" t="n">
        <v>673188.616951925</v>
      </c>
      <c r="V47" t="n">
        <v>672255.770721446</v>
      </c>
      <c r="W47" t="n">
        <v>670307.790099202</v>
      </c>
      <c r="X47" t="n">
        <v>667174.480600507</v>
      </c>
      <c r="Y47" t="n">
        <v>662354.582837799</v>
      </c>
      <c r="Z47" t="n">
        <v>657879.241251849</v>
      </c>
      <c r="AA47" t="n">
        <v>650628.319733535</v>
      </c>
      <c r="AB47" t="n">
        <v>641937.42026039</v>
      </c>
      <c r="AC47" t="n">
        <v>632947.300695158</v>
      </c>
      <c r="AD47" t="n">
        <v>626086.427140244</v>
      </c>
      <c r="AE47" t="n">
        <v>618810.2</v>
      </c>
      <c r="AF47" t="n">
        <v>612546</v>
      </c>
    </row>
    <row r="48">
      <c r="A48" t="s">
        <v>146</v>
      </c>
      <c r="B48" t="s">
        <v>366</v>
      </c>
      <c r="C48" t="s">
        <v>246</v>
      </c>
      <c r="D48" t="s">
        <v>367</v>
      </c>
      <c r="E48" t="s">
        <v>247</v>
      </c>
      <c r="F48" t="n">
        <v>615230.118297504</v>
      </c>
      <c r="G48" t="n">
        <v>624246.422937086</v>
      </c>
      <c r="H48" t="n">
        <v>633644.192473166</v>
      </c>
      <c r="I48" t="n">
        <v>644438.150025733</v>
      </c>
      <c r="J48" t="n">
        <v>656290.200142887</v>
      </c>
      <c r="K48" t="n">
        <v>667609.06872088</v>
      </c>
      <c r="L48" t="n">
        <v>679961.188116368</v>
      </c>
      <c r="M48" t="n">
        <v>693937.126971126</v>
      </c>
      <c r="N48" t="n">
        <v>707574.46328173</v>
      </c>
      <c r="O48" t="n">
        <v>724146.528455497</v>
      </c>
      <c r="P48" t="n">
        <v>737303.381102092</v>
      </c>
      <c r="Q48" t="n">
        <v>748964.063142077</v>
      </c>
      <c r="R48" t="n">
        <v>758664.740300076</v>
      </c>
      <c r="S48" t="n">
        <v>766252.753982186</v>
      </c>
      <c r="T48" t="n">
        <v>775148.98061289</v>
      </c>
      <c r="U48" t="n">
        <v>778584.370444655</v>
      </c>
      <c r="V48" t="n">
        <v>778653.257787599</v>
      </c>
      <c r="W48" t="n">
        <v>777044.389327702</v>
      </c>
      <c r="X48" t="n">
        <v>773464.001850687</v>
      </c>
      <c r="Y48" t="n">
        <v>767133.16545147</v>
      </c>
      <c r="Z48" t="n">
        <v>760752.915871416</v>
      </c>
      <c r="AA48" t="n">
        <v>751381.511242065</v>
      </c>
      <c r="AB48" t="n">
        <v>740553.992521102</v>
      </c>
      <c r="AC48" t="n">
        <v>729046.078808265</v>
      </c>
      <c r="AD48" t="n">
        <v>719847.495712063</v>
      </c>
      <c r="AE48" t="n">
        <v>710205.9</v>
      </c>
      <c r="AF48" t="n">
        <v>702296.5</v>
      </c>
    </row>
    <row r="49">
      <c r="A49" t="s">
        <v>146</v>
      </c>
      <c r="B49" t="s">
        <v>368</v>
      </c>
      <c r="C49" t="s">
        <v>246</v>
      </c>
      <c r="D49" t="s">
        <v>369</v>
      </c>
      <c r="E49" t="s">
        <v>247</v>
      </c>
      <c r="F49" t="n">
        <v>25451.9434729038</v>
      </c>
      <c r="G49" t="n">
        <v>25982.2744008789</v>
      </c>
      <c r="H49" t="n">
        <v>26494.1332075085</v>
      </c>
      <c r="I49" t="n">
        <v>27247.0811645136</v>
      </c>
      <c r="J49" t="n">
        <v>28089.9762539127</v>
      </c>
      <c r="K49" t="n">
        <v>28867.9953744953</v>
      </c>
      <c r="L49" t="n">
        <v>29542.8980460876</v>
      </c>
      <c r="M49" t="n">
        <v>30432.2411442923</v>
      </c>
      <c r="N49" t="n">
        <v>31195.7568775352</v>
      </c>
      <c r="O49" t="n">
        <v>31980.4290319709</v>
      </c>
      <c r="P49" t="n">
        <v>32625.998126447</v>
      </c>
      <c r="Q49" t="n">
        <v>33160.3409808976</v>
      </c>
      <c r="R49" t="n">
        <v>33579.3680704066</v>
      </c>
      <c r="S49" t="n">
        <v>33770.8014780377</v>
      </c>
      <c r="T49" t="n">
        <v>33906.8946924438</v>
      </c>
      <c r="U49" t="n">
        <v>33861.3747620003</v>
      </c>
      <c r="V49" t="n">
        <v>33732.8718689207</v>
      </c>
      <c r="W49" t="n">
        <v>33485.1674783811</v>
      </c>
      <c r="X49" t="n">
        <v>33390.9279764556</v>
      </c>
      <c r="Y49" t="n">
        <v>33247.5723535721</v>
      </c>
      <c r="Z49" t="n">
        <v>32994.7312493803</v>
      </c>
      <c r="AA49" t="n">
        <v>32741.8219975118</v>
      </c>
      <c r="AB49" t="n">
        <v>32379.5626481523</v>
      </c>
      <c r="AC49" t="n">
        <v>31864.2396748233</v>
      </c>
      <c r="AD49" t="n">
        <v>31422.3721706202</v>
      </c>
      <c r="AE49" t="n">
        <v>30977.1</v>
      </c>
      <c r="AF49" t="n">
        <v>30636.9</v>
      </c>
    </row>
    <row r="50">
      <c r="A50" t="s">
        <v>146</v>
      </c>
      <c r="B50" t="s">
        <v>370</v>
      </c>
      <c r="C50" t="s">
        <v>246</v>
      </c>
      <c r="D50" t="s">
        <v>371</v>
      </c>
      <c r="E50" t="s">
        <v>247</v>
      </c>
      <c r="F50" t="n">
        <v>38992.1003170216</v>
      </c>
      <c r="G50" t="n">
        <v>40608.6848092286</v>
      </c>
      <c r="H50" t="n">
        <v>42417.825376758</v>
      </c>
      <c r="I50" t="n">
        <v>44181.5044475319</v>
      </c>
      <c r="J50" t="n">
        <v>46111.3358141049</v>
      </c>
      <c r="K50" t="n">
        <v>48779.6581306889</v>
      </c>
      <c r="L50" t="n">
        <v>51433.5492605485</v>
      </c>
      <c r="M50" t="n">
        <v>54150.1795008285</v>
      </c>
      <c r="N50" t="n">
        <v>56835.014744954</v>
      </c>
      <c r="O50" t="n">
        <v>58858.028753254</v>
      </c>
      <c r="P50" t="n">
        <v>61262.8600363355</v>
      </c>
      <c r="Q50" t="n">
        <v>63859.4667444744</v>
      </c>
      <c r="R50" t="n">
        <v>66134.5098555547</v>
      </c>
      <c r="S50" t="n">
        <v>67526.6471727661</v>
      </c>
      <c r="T50" t="n">
        <v>69432.0841275874</v>
      </c>
      <c r="U50" t="n">
        <v>71529.9465653788</v>
      </c>
      <c r="V50" t="n">
        <v>72662.7774393462</v>
      </c>
      <c r="W50" t="n">
        <v>73251.8899871741</v>
      </c>
      <c r="X50" t="n">
        <v>72899.2455577825</v>
      </c>
      <c r="Y50" t="n">
        <v>71531.2329128704</v>
      </c>
      <c r="Z50" t="n">
        <v>69879.221830049</v>
      </c>
      <c r="AA50" t="n">
        <v>68011.6233980808</v>
      </c>
      <c r="AB50" t="n">
        <v>66237.2374331968</v>
      </c>
      <c r="AC50" t="n">
        <v>64234.8028126196</v>
      </c>
      <c r="AD50" t="n">
        <v>62338.7052417757</v>
      </c>
      <c r="AE50" t="n">
        <v>60418.7</v>
      </c>
      <c r="AF50" t="n">
        <v>59113.6</v>
      </c>
    </row>
    <row r="51">
      <c r="A51" t="s">
        <v>146</v>
      </c>
      <c r="B51" t="s">
        <v>372</v>
      </c>
      <c r="C51" t="s">
        <v>246</v>
      </c>
      <c r="D51" t="s">
        <v>373</v>
      </c>
      <c r="E51" t="s">
        <v>247</v>
      </c>
      <c r="F51" t="n">
        <v>33088.6648408352</v>
      </c>
      <c r="G51" t="n">
        <v>34638.13559554</v>
      </c>
      <c r="H51" t="n">
        <v>36324.6321962014</v>
      </c>
      <c r="I51" t="n">
        <v>38044.5015834262</v>
      </c>
      <c r="J51" t="n">
        <v>39939.5544031318</v>
      </c>
      <c r="K51" t="n">
        <v>42503.8789979233</v>
      </c>
      <c r="L51" t="n">
        <v>45012.9648931583</v>
      </c>
      <c r="M51" t="n">
        <v>47647.1644070747</v>
      </c>
      <c r="N51" t="n">
        <v>50238.1793315734</v>
      </c>
      <c r="O51" t="n">
        <v>52129.8322639295</v>
      </c>
      <c r="P51" t="n">
        <v>54450.2249298285</v>
      </c>
      <c r="Q51" t="n">
        <v>56959.3255107465</v>
      </c>
      <c r="R51" t="n">
        <v>59127.9130273067</v>
      </c>
      <c r="S51" t="n">
        <v>60496.9959103602</v>
      </c>
      <c r="T51" t="n">
        <v>62327.1873939326</v>
      </c>
      <c r="U51" t="n">
        <v>64371.6476404721</v>
      </c>
      <c r="V51" t="n">
        <v>65440.815997791</v>
      </c>
      <c r="W51" t="n">
        <v>66043.5888616908</v>
      </c>
      <c r="X51" t="n">
        <v>65513.4967275124</v>
      </c>
      <c r="Y51" t="n">
        <v>64107.3159351616</v>
      </c>
      <c r="Z51" t="n">
        <v>62496.9380104603</v>
      </c>
      <c r="AA51" t="n">
        <v>60554.4844761682</v>
      </c>
      <c r="AB51" t="n">
        <v>58628.723850629</v>
      </c>
      <c r="AC51" t="n">
        <v>56662.5660130986</v>
      </c>
      <c r="AD51" t="n">
        <v>54666.2987218315</v>
      </c>
      <c r="AE51" t="n">
        <v>52747.8</v>
      </c>
      <c r="AF51"/>
    </row>
    <row r="52">
      <c r="A52" t="s">
        <v>146</v>
      </c>
      <c r="B52" t="s">
        <v>374</v>
      </c>
      <c r="C52" t="s">
        <v>246</v>
      </c>
      <c r="D52" t="s">
        <v>375</v>
      </c>
      <c r="E52" t="s">
        <v>247</v>
      </c>
      <c r="F52" t="n">
        <v>5904.04457349797</v>
      </c>
      <c r="G52" t="n">
        <v>5971.14964103199</v>
      </c>
      <c r="H52" t="n">
        <v>6093.7574254142</v>
      </c>
      <c r="I52" t="n">
        <v>6137.4878768511</v>
      </c>
      <c r="J52" t="n">
        <v>6172.18255111256</v>
      </c>
      <c r="K52" t="n">
        <v>6276.0923989144</v>
      </c>
      <c r="L52" t="n">
        <v>6420.85591939714</v>
      </c>
      <c r="M52" t="n">
        <v>6503.23649145841</v>
      </c>
      <c r="N52" t="n">
        <v>6597.02570173465</v>
      </c>
      <c r="O52" t="n">
        <v>6728.37876424631</v>
      </c>
      <c r="P52" t="n">
        <v>6812.78754131804</v>
      </c>
      <c r="Q52" t="n">
        <v>6900.24067088873</v>
      </c>
      <c r="R52" t="n">
        <v>7006.66423174065</v>
      </c>
      <c r="S52" t="n">
        <v>7029.69121390704</v>
      </c>
      <c r="T52" t="n">
        <v>7104.90657640719</v>
      </c>
      <c r="U52" t="n">
        <v>7158.27415128721</v>
      </c>
      <c r="V52" t="n">
        <v>7221.91910305952</v>
      </c>
      <c r="W52" t="n">
        <v>7208.23101332309</v>
      </c>
      <c r="X52" t="n">
        <v>7385.70717845535</v>
      </c>
      <c r="Y52" t="n">
        <v>7423.88740669505</v>
      </c>
      <c r="Z52" t="n">
        <v>7382.26025530233</v>
      </c>
      <c r="AA52" t="n">
        <v>7457.12307885667</v>
      </c>
      <c r="AB52" t="n">
        <v>7608.5000545913</v>
      </c>
      <c r="AC52" t="n">
        <v>7572.22274272754</v>
      </c>
      <c r="AD52" t="n">
        <v>7672.40895035015</v>
      </c>
      <c r="AE52" t="n">
        <v>7670.9</v>
      </c>
      <c r="AF52"/>
    </row>
    <row r="53">
      <c r="A53" t="s">
        <v>146</v>
      </c>
      <c r="B53" t="s">
        <v>376</v>
      </c>
      <c r="C53" t="s">
        <v>246</v>
      </c>
      <c r="D53" t="s">
        <v>377</v>
      </c>
      <c r="E53" t="s">
        <v>247</v>
      </c>
      <c r="F53" t="n">
        <v>15630.3213008423</v>
      </c>
      <c r="G53" t="n">
        <v>15930.5779365103</v>
      </c>
      <c r="H53" t="n">
        <v>16259.6295263742</v>
      </c>
      <c r="I53" t="n">
        <v>16679.1963036158</v>
      </c>
      <c r="J53" t="n">
        <v>17134.8603547894</v>
      </c>
      <c r="K53" t="n">
        <v>17511.0272064375</v>
      </c>
      <c r="L53" t="n">
        <v>17981.162245248</v>
      </c>
      <c r="M53" t="n">
        <v>18612.6576440597</v>
      </c>
      <c r="N53" t="n">
        <v>19073.9429570056</v>
      </c>
      <c r="O53" t="n">
        <v>19400.3462363282</v>
      </c>
      <c r="P53" t="n">
        <v>19957.5480032394</v>
      </c>
      <c r="Q53" t="n">
        <v>20336.7873265292</v>
      </c>
      <c r="R53" t="n">
        <v>20731.9800853042</v>
      </c>
      <c r="S53" t="n">
        <v>20988.434946687</v>
      </c>
      <c r="T53" t="n">
        <v>21301.3454037794</v>
      </c>
      <c r="U53" t="n">
        <v>21610.8126326636</v>
      </c>
      <c r="V53" t="n">
        <v>21772.0067817057</v>
      </c>
      <c r="W53" t="n">
        <v>21576.2060374208</v>
      </c>
      <c r="X53" t="n">
        <v>21318.479803382</v>
      </c>
      <c r="Y53" t="n">
        <v>21135.4513651124</v>
      </c>
      <c r="Z53" t="n">
        <v>21050.3418877007</v>
      </c>
      <c r="AA53" t="n">
        <v>20949.6309589953</v>
      </c>
      <c r="AB53" t="n">
        <v>20809.0938599171</v>
      </c>
      <c r="AC53" t="n">
        <v>20830.7174775345</v>
      </c>
      <c r="AD53" t="n">
        <v>20622.8023482525</v>
      </c>
      <c r="AE53" t="n">
        <v>20370.3</v>
      </c>
      <c r="AF53" t="n">
        <v>20481.2</v>
      </c>
    </row>
    <row r="54">
      <c r="A54" t="s">
        <v>146</v>
      </c>
      <c r="B54" t="s">
        <v>378</v>
      </c>
      <c r="C54" t="s">
        <v>246</v>
      </c>
      <c r="D54" t="s">
        <v>379</v>
      </c>
      <c r="E54" t="s">
        <v>247</v>
      </c>
      <c r="F54" t="n">
        <v>22912.9597563512</v>
      </c>
      <c r="G54" t="n">
        <v>23518.7178811008</v>
      </c>
      <c r="H54" t="n">
        <v>24171.0496778882</v>
      </c>
      <c r="I54" t="n">
        <v>24977.0319194545</v>
      </c>
      <c r="J54" t="n">
        <v>25858.6205823695</v>
      </c>
      <c r="K54" t="n">
        <v>26753.7548698238</v>
      </c>
      <c r="L54" t="n">
        <v>27816.5532410421</v>
      </c>
      <c r="M54" t="n">
        <v>29061.957008462</v>
      </c>
      <c r="N54" t="n">
        <v>30246.6259400318</v>
      </c>
      <c r="O54" t="n">
        <v>31157.8168866096</v>
      </c>
      <c r="P54" t="n">
        <v>32201.3537136306</v>
      </c>
      <c r="Q54" t="n">
        <v>33025.7747852888</v>
      </c>
      <c r="R54" t="n">
        <v>33963.5076290025</v>
      </c>
      <c r="S54" t="n">
        <v>34523.2249755112</v>
      </c>
      <c r="T54" t="n">
        <v>35124.9712562015</v>
      </c>
      <c r="U54" t="n">
        <v>35847.2841564074</v>
      </c>
      <c r="V54" t="n">
        <v>36412.0422749193</v>
      </c>
      <c r="W54" t="n">
        <v>36242.4982494039</v>
      </c>
      <c r="X54" t="n">
        <v>35760.4323354996</v>
      </c>
      <c r="Y54" t="n">
        <v>35821.727442692</v>
      </c>
      <c r="Z54" t="n">
        <v>35719.1600841382</v>
      </c>
      <c r="AA54" t="n">
        <v>35679.8679223412</v>
      </c>
      <c r="AB54" t="n">
        <v>36038.3796515611</v>
      </c>
      <c r="AC54" t="n">
        <v>35877.6930381067</v>
      </c>
      <c r="AD54" t="n">
        <v>35440.1724873937</v>
      </c>
      <c r="AE54" t="n">
        <v>34872.3</v>
      </c>
      <c r="AF54" t="n">
        <v>34937.9</v>
      </c>
    </row>
    <row r="55">
      <c r="A55" t="s">
        <v>146</v>
      </c>
      <c r="B55" t="s">
        <v>380</v>
      </c>
      <c r="C55" t="s">
        <v>246</v>
      </c>
      <c r="D55" t="s">
        <v>381</v>
      </c>
      <c r="E55" t="s">
        <v>247</v>
      </c>
      <c r="F55" t="n">
        <v>7282.1639406283</v>
      </c>
      <c r="G55" t="n">
        <v>7587.80534157898</v>
      </c>
      <c r="H55" t="n">
        <v>7911.02492509102</v>
      </c>
      <c r="I55" t="n">
        <v>8297.29153834687</v>
      </c>
      <c r="J55" t="n">
        <v>8723.07236053907</v>
      </c>
      <c r="K55" t="n">
        <v>9241.69268608395</v>
      </c>
      <c r="L55" t="n">
        <v>9834.21867086677</v>
      </c>
      <c r="M55" t="n">
        <v>10448.0984004515</v>
      </c>
      <c r="N55" t="n">
        <v>11171.6239164584</v>
      </c>
      <c r="O55" t="n">
        <v>11756.5832060687</v>
      </c>
      <c r="P55" t="n">
        <v>12242.9663611046</v>
      </c>
      <c r="Q55" t="n">
        <v>12688.130831997</v>
      </c>
      <c r="R55" t="n">
        <v>13230.7354020211</v>
      </c>
      <c r="S55" t="n">
        <v>13534.0540919887</v>
      </c>
      <c r="T55" t="n">
        <v>13822.9338022614</v>
      </c>
      <c r="U55" t="n">
        <v>14235.8764232269</v>
      </c>
      <c r="V55" t="n">
        <v>14639.7571553952</v>
      </c>
      <c r="W55" t="n">
        <v>14666.2366923192</v>
      </c>
      <c r="X55" t="n">
        <v>14441.8707369474</v>
      </c>
      <c r="Y55" t="n">
        <v>14686.2860765732</v>
      </c>
      <c r="Z55" t="n">
        <v>14668.8294557619</v>
      </c>
      <c r="AA55" t="n">
        <v>14730.2503062837</v>
      </c>
      <c r="AB55" t="n">
        <v>15229.2815607456</v>
      </c>
      <c r="AC55" t="n">
        <v>15046.9790213211</v>
      </c>
      <c r="AD55" t="n">
        <v>14817.3680260265</v>
      </c>
      <c r="AE55" t="n">
        <v>14502</v>
      </c>
      <c r="AF55" t="n">
        <v>14456.7</v>
      </c>
    </row>
    <row r="56">
      <c r="A56" t="s">
        <v>146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146</v>
      </c>
      <c r="B57" t="s">
        <v>384</v>
      </c>
      <c r="C57" t="s">
        <v>246</v>
      </c>
      <c r="D57" t="s">
        <v>385</v>
      </c>
      <c r="E57" t="s">
        <v>247</v>
      </c>
      <c r="F57" t="n">
        <v>1748380.3153905</v>
      </c>
      <c r="G57" t="n">
        <v>1777216.34667367</v>
      </c>
      <c r="H57" t="n">
        <v>1805127.52717137</v>
      </c>
      <c r="I57" t="n">
        <v>1832280.55212052</v>
      </c>
      <c r="J57" t="n">
        <v>1862124.16160599</v>
      </c>
      <c r="K57" t="n">
        <v>1897161.82309106</v>
      </c>
      <c r="L57" t="n">
        <v>1937010.69494084</v>
      </c>
      <c r="M57" t="n">
        <v>1983414.82687366</v>
      </c>
      <c r="N57" t="n">
        <v>2029625.6478276</v>
      </c>
      <c r="O57" t="n">
        <v>2075901.77955243</v>
      </c>
      <c r="P57" t="n">
        <v>2116574.10925869</v>
      </c>
      <c r="Q57" t="n">
        <v>2153988.1801423</v>
      </c>
      <c r="R57" t="n">
        <v>2190034.27493727</v>
      </c>
      <c r="S57" t="n">
        <v>2219278.10884382</v>
      </c>
      <c r="T57" t="n">
        <v>2238413.2220566</v>
      </c>
      <c r="U57" t="n">
        <v>2248207.74192442</v>
      </c>
      <c r="V57" t="n">
        <v>2258955.87784666</v>
      </c>
      <c r="W57" t="n">
        <v>2258508.71290853</v>
      </c>
      <c r="X57" t="n">
        <v>2248718.24973563</v>
      </c>
      <c r="Y57" t="n">
        <v>2234743.31801255</v>
      </c>
      <c r="Z57" t="n">
        <v>2220319.79446202</v>
      </c>
      <c r="AA57" t="n">
        <v>2205601.62432853</v>
      </c>
      <c r="AB57" t="n">
        <v>2191909.04499881</v>
      </c>
      <c r="AC57" t="n">
        <v>2179992.48882811</v>
      </c>
      <c r="AD57" t="n">
        <v>2171836.06839975</v>
      </c>
      <c r="AE57" t="n">
        <v>2159790.7</v>
      </c>
      <c r="AF57" t="n">
        <v>2152870.3</v>
      </c>
    </row>
    <row r="58">
      <c r="A58" t="s">
        <v>146</v>
      </c>
      <c r="B58" t="s">
        <v>386</v>
      </c>
      <c r="C58" t="s">
        <v>246</v>
      </c>
      <c r="D58" t="s">
        <v>387</v>
      </c>
      <c r="E58" t="s">
        <v>247</v>
      </c>
      <c r="F58" t="n">
        <v>1748380.3153905</v>
      </c>
      <c r="G58" t="n">
        <v>1777216.34667367</v>
      </c>
      <c r="H58" t="n">
        <v>1805127.52717137</v>
      </c>
      <c r="I58" t="n">
        <v>1832280.55212052</v>
      </c>
      <c r="J58" t="n">
        <v>1862124.16160599</v>
      </c>
      <c r="K58" t="n">
        <v>1897161.82309106</v>
      </c>
      <c r="L58" t="n">
        <v>1937010.69494084</v>
      </c>
      <c r="M58" t="n">
        <v>1983414.82687366</v>
      </c>
      <c r="N58" t="n">
        <v>2029625.6478276</v>
      </c>
      <c r="O58" t="n">
        <v>2075901.77955243</v>
      </c>
      <c r="P58" t="n">
        <v>2116574.10925869</v>
      </c>
      <c r="Q58" t="n">
        <v>2153988.1801423</v>
      </c>
      <c r="R58" t="n">
        <v>2190034.27493727</v>
      </c>
      <c r="S58" t="n">
        <v>2219278.10884382</v>
      </c>
      <c r="T58" t="n">
        <v>2238413.2220566</v>
      </c>
      <c r="U58" t="n">
        <v>2248207.74192442</v>
      </c>
      <c r="V58" t="n">
        <v>2258955.87784666</v>
      </c>
      <c r="W58" t="n">
        <v>2258508.71290853</v>
      </c>
      <c r="X58" t="n">
        <v>2248718.24973563</v>
      </c>
      <c r="Y58" t="n">
        <v>2234743.31801255</v>
      </c>
      <c r="Z58" t="n">
        <v>2220319.79446202</v>
      </c>
      <c r="AA58" t="n">
        <v>2205601.62432853</v>
      </c>
      <c r="AB58" t="n">
        <v>2191909.04499881</v>
      </c>
      <c r="AC58" t="n">
        <v>2179992.48882811</v>
      </c>
      <c r="AD58" t="n">
        <v>2171836.06839975</v>
      </c>
      <c r="AE58" t="n">
        <v>2159790.7</v>
      </c>
      <c r="AF58" t="n">
        <v>2152870.3</v>
      </c>
    </row>
    <row r="59">
      <c r="A59" t="s">
        <v>146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147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147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147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147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147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147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147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147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147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147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147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147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147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147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147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147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147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147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147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147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147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147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147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147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147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147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147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147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147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147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147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147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147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147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147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147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147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147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147</v>
      </c>
      <c r="B40" t="s">
        <v>350</v>
      </c>
      <c r="C40" t="s">
        <v>246</v>
      </c>
      <c r="D40" t="s">
        <v>351</v>
      </c>
      <c r="E40" t="s">
        <v>247</v>
      </c>
      <c r="F40" t="n">
        <v>2278898.10596444</v>
      </c>
      <c r="G40" t="n">
        <v>2314220.14143902</v>
      </c>
      <c r="H40" t="n">
        <v>2347104.94334641</v>
      </c>
      <c r="I40" t="n">
        <v>2378792.29890291</v>
      </c>
      <c r="J40" t="n">
        <v>2411227.17233717</v>
      </c>
      <c r="K40" t="n">
        <v>2446950.59680234</v>
      </c>
      <c r="L40" t="n">
        <v>2483071.0296496</v>
      </c>
      <c r="M40" t="n">
        <v>2520261.25952564</v>
      </c>
      <c r="N40" t="n">
        <v>2559762.3569964</v>
      </c>
      <c r="O40" t="n">
        <v>2600712.72860248</v>
      </c>
      <c r="P40" t="n">
        <v>2646642.16602555</v>
      </c>
      <c r="Q40" t="n">
        <v>2696414.62131734</v>
      </c>
      <c r="R40" t="n">
        <v>2745967.75889668</v>
      </c>
      <c r="S40" t="n">
        <v>2792140.58395178</v>
      </c>
      <c r="T40" t="n">
        <v>2826346.4494897</v>
      </c>
      <c r="U40" t="n">
        <v>2859768.65428788</v>
      </c>
      <c r="V40" t="n">
        <v>2885811.91183209</v>
      </c>
      <c r="W40" t="n">
        <v>2902879.27042467</v>
      </c>
      <c r="X40" t="n">
        <v>2914672.87259541</v>
      </c>
      <c r="Y40" t="n">
        <v>2919607.99527437</v>
      </c>
      <c r="Z40" t="n">
        <v>2922245.27663135</v>
      </c>
      <c r="AA40" t="n">
        <v>2924490.53597996</v>
      </c>
      <c r="AB40" t="n">
        <v>2927031.52361161</v>
      </c>
      <c r="AC40" t="n">
        <v>2929838.66912729</v>
      </c>
      <c r="AD40" t="n">
        <v>2931553.08308844</v>
      </c>
      <c r="AE40" t="n">
        <v>2927213.9</v>
      </c>
      <c r="AF40" t="n">
        <v>2956695.6</v>
      </c>
    </row>
    <row r="41">
      <c r="A41" t="s">
        <v>147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147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147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147</v>
      </c>
      <c r="B44" t="s">
        <v>358</v>
      </c>
      <c r="C44" t="s">
        <v>246</v>
      </c>
      <c r="D44" t="s">
        <v>359</v>
      </c>
      <c r="E44" t="s">
        <v>247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</row>
    <row r="45">
      <c r="A45" t="s">
        <v>147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147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147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147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147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147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147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147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147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147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147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147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147</v>
      </c>
      <c r="B57" t="s">
        <v>384</v>
      </c>
      <c r="C57" t="s">
        <v>246</v>
      </c>
      <c r="D57" t="s">
        <v>385</v>
      </c>
      <c r="E57" t="s">
        <v>247</v>
      </c>
      <c r="F57" t="n">
        <v>2278898.10596444</v>
      </c>
      <c r="G57" t="n">
        <v>2314220.14143902</v>
      </c>
      <c r="H57" t="n">
        <v>2347104.94334641</v>
      </c>
      <c r="I57" t="n">
        <v>2378792.29890291</v>
      </c>
      <c r="J57" t="n">
        <v>2411227.17233717</v>
      </c>
      <c r="K57" t="n">
        <v>2446950.59680234</v>
      </c>
      <c r="L57" t="n">
        <v>2483071.0296496</v>
      </c>
      <c r="M57" t="n">
        <v>2520261.25952564</v>
      </c>
      <c r="N57" t="n">
        <v>2559762.3569964</v>
      </c>
      <c r="O57" t="n">
        <v>2600712.72860248</v>
      </c>
      <c r="P57" t="n">
        <v>2646642.16602555</v>
      </c>
      <c r="Q57" t="n">
        <v>2696414.62131734</v>
      </c>
      <c r="R57" t="n">
        <v>2745967.75889668</v>
      </c>
      <c r="S57" t="n">
        <v>2792140.58395178</v>
      </c>
      <c r="T57" t="n">
        <v>2826346.4494897</v>
      </c>
      <c r="U57" t="n">
        <v>2859768.65428788</v>
      </c>
      <c r="V57" t="n">
        <v>2885811.91183209</v>
      </c>
      <c r="W57" t="n">
        <v>2902879.27042467</v>
      </c>
      <c r="X57" t="n">
        <v>2914672.87259541</v>
      </c>
      <c r="Y57" t="n">
        <v>2919607.99527437</v>
      </c>
      <c r="Z57" t="n">
        <v>2922245.27663135</v>
      </c>
      <c r="AA57" t="n">
        <v>2924490.53597996</v>
      </c>
      <c r="AB57" t="n">
        <v>2927031.52361161</v>
      </c>
      <c r="AC57" t="n">
        <v>2929838.66912729</v>
      </c>
      <c r="AD57" t="n">
        <v>2931553.08308844</v>
      </c>
      <c r="AE57" t="n">
        <v>2927213.9</v>
      </c>
      <c r="AF57" t="n">
        <v>2956695.6</v>
      </c>
    </row>
    <row r="58">
      <c r="A58" t="s">
        <v>147</v>
      </c>
      <c r="B58" t="s">
        <v>386</v>
      </c>
      <c r="C58" t="s">
        <v>246</v>
      </c>
      <c r="D58" t="s">
        <v>387</v>
      </c>
      <c r="E58" t="s">
        <v>247</v>
      </c>
      <c r="F58" t="n">
        <v>2278898.10596444</v>
      </c>
      <c r="G58" t="n">
        <v>2314220.14143902</v>
      </c>
      <c r="H58" t="n">
        <v>2347104.94334641</v>
      </c>
      <c r="I58" t="n">
        <v>2378792.29890291</v>
      </c>
      <c r="J58" t="n">
        <v>2411227.17233717</v>
      </c>
      <c r="K58" t="n">
        <v>2446950.59680234</v>
      </c>
      <c r="L58" t="n">
        <v>2483071.0296496</v>
      </c>
      <c r="M58" t="n">
        <v>2520261.25952564</v>
      </c>
      <c r="N58" t="n">
        <v>2559762.3569964</v>
      </c>
      <c r="O58" t="n">
        <v>2600712.72860248</v>
      </c>
      <c r="P58" t="n">
        <v>2646642.16602555</v>
      </c>
      <c r="Q58" t="n">
        <v>2696414.62131734</v>
      </c>
      <c r="R58" t="n">
        <v>2745967.75889668</v>
      </c>
      <c r="S58" t="n">
        <v>2792140.58395178</v>
      </c>
      <c r="T58" t="n">
        <v>2826346.4494897</v>
      </c>
      <c r="U58" t="n">
        <v>2859768.65428788</v>
      </c>
      <c r="V58" t="n">
        <v>2885811.91183209</v>
      </c>
      <c r="W58" t="n">
        <v>2902879.27042467</v>
      </c>
      <c r="X58" t="n">
        <v>2914672.87259541</v>
      </c>
      <c r="Y58" t="n">
        <v>2919607.99527437</v>
      </c>
      <c r="Z58" t="n">
        <v>2922245.27663135</v>
      </c>
      <c r="AA58" t="n">
        <v>2924490.53597996</v>
      </c>
      <c r="AB58" t="n">
        <v>2927031.52361161</v>
      </c>
      <c r="AC58" t="n">
        <v>2929838.66912729</v>
      </c>
      <c r="AD58" t="n">
        <v>2931553.08308844</v>
      </c>
      <c r="AE58" t="n">
        <v>2927213.9</v>
      </c>
      <c r="AF58" t="n">
        <v>2956695.6</v>
      </c>
    </row>
    <row r="59">
      <c r="A59" t="s">
        <v>147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148</v>
      </c>
      <c r="B2" t="s">
        <v>197</v>
      </c>
      <c r="C2" t="s">
        <v>246</v>
      </c>
      <c r="D2" t="s">
        <v>199</v>
      </c>
      <c r="E2" t="s">
        <v>247</v>
      </c>
      <c r="F2" t="n">
        <v>6318.43835944754</v>
      </c>
      <c r="G2" t="n">
        <v>6388.92384032208</v>
      </c>
      <c r="H2" t="n">
        <v>6312.99459772559</v>
      </c>
      <c r="I2" t="n">
        <v>6372.00920163777</v>
      </c>
      <c r="J2" t="n">
        <v>6401.35119663313</v>
      </c>
      <c r="K2" t="n">
        <v>6465.25914636108</v>
      </c>
      <c r="L2" t="n">
        <v>6131.73668650449</v>
      </c>
      <c r="M2" t="n">
        <v>5902.77588674339</v>
      </c>
      <c r="N2" t="n">
        <v>5907.06248513833</v>
      </c>
      <c r="O2" t="n">
        <v>5879.65325672565</v>
      </c>
      <c r="P2" t="n">
        <v>5905.16232357352</v>
      </c>
      <c r="Q2" t="n">
        <v>5862.33057249006</v>
      </c>
      <c r="R2" t="n">
        <v>6007.28756766951</v>
      </c>
      <c r="S2" t="n">
        <v>5835.53507594576</v>
      </c>
      <c r="T2" t="n">
        <v>5785.74318850729</v>
      </c>
      <c r="U2" t="n">
        <v>5770.86157293003</v>
      </c>
      <c r="V2" t="n">
        <v>5660.74633855106</v>
      </c>
      <c r="W2" t="n">
        <v>5643.8539796338</v>
      </c>
      <c r="X2" t="n">
        <v>5599.75643707111</v>
      </c>
      <c r="Y2" t="n">
        <v>5576.69073822056</v>
      </c>
      <c r="Z2" t="n">
        <v>5408.34561450792</v>
      </c>
      <c r="AA2" t="n">
        <v>5405.63915161668</v>
      </c>
      <c r="AB2" t="n">
        <v>5330.48506990343</v>
      </c>
      <c r="AC2" t="n">
        <v>5134.78904453663</v>
      </c>
      <c r="AD2" t="n">
        <v>5030.86101614622</v>
      </c>
      <c r="AE2" t="n">
        <v>4939.6</v>
      </c>
      <c r="AF2" t="n">
        <v>4805.1</v>
      </c>
    </row>
    <row r="3">
      <c r="A3" t="s">
        <v>148</v>
      </c>
      <c r="B3" t="s">
        <v>276</v>
      </c>
      <c r="C3" t="s">
        <v>246</v>
      </c>
      <c r="D3" t="s">
        <v>277</v>
      </c>
      <c r="E3" t="s">
        <v>247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s">
        <v>148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148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148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148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148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148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148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148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148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148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148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148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148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148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148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148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148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148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148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148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148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148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148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148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148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148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148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148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148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148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148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148</v>
      </c>
      <c r="B35" t="s">
        <v>340</v>
      </c>
      <c r="C35" t="s">
        <v>246</v>
      </c>
      <c r="D35" t="s">
        <v>341</v>
      </c>
      <c r="E35" t="s">
        <v>247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s">
        <v>148</v>
      </c>
      <c r="B36" t="s">
        <v>342</v>
      </c>
      <c r="C36" t="s">
        <v>246</v>
      </c>
      <c r="D36" t="s">
        <v>343</v>
      </c>
      <c r="E36" t="s">
        <v>247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</row>
    <row r="37">
      <c r="A37" t="s">
        <v>148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148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148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148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148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148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148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148</v>
      </c>
      <c r="B44" t="s">
        <v>358</v>
      </c>
      <c r="C44" t="s">
        <v>246</v>
      </c>
      <c r="D44" t="s">
        <v>359</v>
      </c>
      <c r="E44" t="s">
        <v>247</v>
      </c>
      <c r="F44" t="n">
        <v>6260.23580527483</v>
      </c>
      <c r="G44" t="n">
        <v>6351.68267640908</v>
      </c>
      <c r="H44" t="n">
        <v>6295.86575818661</v>
      </c>
      <c r="I44" t="n">
        <v>6370.27964429699</v>
      </c>
      <c r="J44" t="n">
        <v>6414.91484215499</v>
      </c>
      <c r="K44" t="n">
        <v>6566.03495732442</v>
      </c>
      <c r="L44" t="n">
        <v>6340.08396357481</v>
      </c>
      <c r="M44" t="n">
        <v>6240.6347531537</v>
      </c>
      <c r="N44" t="n">
        <v>6312.81970355398</v>
      </c>
      <c r="O44" t="n">
        <v>6365.88009514127</v>
      </c>
      <c r="P44" t="n">
        <v>6457.8111015374</v>
      </c>
      <c r="Q44" t="n">
        <v>6435.8342901626</v>
      </c>
      <c r="R44" t="n">
        <v>6653.38937097577</v>
      </c>
      <c r="S44" t="n">
        <v>6456.72038901219</v>
      </c>
      <c r="T44" t="n">
        <v>6444.57931665541</v>
      </c>
      <c r="U44" t="n">
        <v>6446.76030105269</v>
      </c>
      <c r="V44" t="n">
        <v>6309.60404476879</v>
      </c>
      <c r="W44" t="n">
        <v>6228.78258124111</v>
      </c>
      <c r="X44" t="n">
        <v>6161.63011821609</v>
      </c>
      <c r="Y44" t="n">
        <v>6112.82429403247</v>
      </c>
      <c r="Z44" t="n">
        <v>5954.3950022597</v>
      </c>
      <c r="AA44" t="n">
        <v>5907.76920253848</v>
      </c>
      <c r="AB44" t="n">
        <v>5782.5047592462</v>
      </c>
      <c r="AC44" t="n">
        <v>5556.8226746463</v>
      </c>
      <c r="AD44" t="n">
        <v>5433.89922848232</v>
      </c>
      <c r="AE44" t="n">
        <v>5335.8</v>
      </c>
      <c r="AF44" t="n">
        <v>5145.6</v>
      </c>
    </row>
    <row r="45">
      <c r="A45" t="s">
        <v>148</v>
      </c>
      <c r="B45" t="s">
        <v>360</v>
      </c>
      <c r="C45" t="s">
        <v>246</v>
      </c>
      <c r="D45" t="s">
        <v>361</v>
      </c>
      <c r="E45" t="s">
        <v>247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s">
        <v>148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148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148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148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148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148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148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148</v>
      </c>
      <c r="B53" t="s">
        <v>376</v>
      </c>
      <c r="C53" t="s">
        <v>246</v>
      </c>
      <c r="D53" t="s">
        <v>377</v>
      </c>
      <c r="E53" t="s">
        <v>247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</row>
    <row r="54">
      <c r="A54" t="s">
        <v>148</v>
      </c>
      <c r="B54" t="s">
        <v>378</v>
      </c>
      <c r="C54" t="s">
        <v>246</v>
      </c>
      <c r="D54" t="s">
        <v>379</v>
      </c>
      <c r="E54" t="s">
        <v>247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</row>
    <row r="55">
      <c r="A55" t="s">
        <v>148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148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148</v>
      </c>
      <c r="B57" t="s">
        <v>384</v>
      </c>
      <c r="C57" t="s">
        <v>246</v>
      </c>
      <c r="D57" t="s">
        <v>385</v>
      </c>
      <c r="E57" t="s">
        <v>247</v>
      </c>
      <c r="F57" t="n">
        <v>6260.23580527483</v>
      </c>
      <c r="G57" t="n">
        <v>6351.68267640908</v>
      </c>
      <c r="H57" t="n">
        <v>6295.86575818661</v>
      </c>
      <c r="I57" t="n">
        <v>6370.27964429699</v>
      </c>
      <c r="J57" t="n">
        <v>6414.91484215499</v>
      </c>
      <c r="K57" t="n">
        <v>6566.03495732442</v>
      </c>
      <c r="L57" t="n">
        <v>6340.08396357481</v>
      </c>
      <c r="M57" t="n">
        <v>6240.6347531537</v>
      </c>
      <c r="N57" t="n">
        <v>6312.81970355398</v>
      </c>
      <c r="O57" t="n">
        <v>6365.88009514127</v>
      </c>
      <c r="P57" t="n">
        <v>6457.8111015374</v>
      </c>
      <c r="Q57" t="n">
        <v>6435.8342901626</v>
      </c>
      <c r="R57" t="n">
        <v>6653.38937097577</v>
      </c>
      <c r="S57" t="n">
        <v>6456.72038901219</v>
      </c>
      <c r="T57" t="n">
        <v>6444.57931665541</v>
      </c>
      <c r="U57" t="n">
        <v>6446.76030105269</v>
      </c>
      <c r="V57" t="n">
        <v>6309.60404476879</v>
      </c>
      <c r="W57" t="n">
        <v>6228.78258124111</v>
      </c>
      <c r="X57" t="n">
        <v>6161.63011821609</v>
      </c>
      <c r="Y57" t="n">
        <v>6112.82429403247</v>
      </c>
      <c r="Z57" t="n">
        <v>5954.3950022597</v>
      </c>
      <c r="AA57" t="n">
        <v>5907.76920253848</v>
      </c>
      <c r="AB57" t="n">
        <v>5782.5047592462</v>
      </c>
      <c r="AC57" t="n">
        <v>5556.8226746463</v>
      </c>
      <c r="AD57" t="n">
        <v>5433.89922848232</v>
      </c>
      <c r="AE57" t="n">
        <v>5335.8</v>
      </c>
      <c r="AF57" t="n">
        <v>5145.6</v>
      </c>
    </row>
    <row r="58">
      <c r="A58" t="s">
        <v>148</v>
      </c>
      <c r="B58" t="s">
        <v>386</v>
      </c>
      <c r="C58" t="s">
        <v>246</v>
      </c>
      <c r="D58" t="s">
        <v>387</v>
      </c>
      <c r="E58" t="s">
        <v>247</v>
      </c>
      <c r="F58" t="n">
        <v>6260.23580527483</v>
      </c>
      <c r="G58" t="n">
        <v>6351.68267640908</v>
      </c>
      <c r="H58" t="n">
        <v>6295.86575818661</v>
      </c>
      <c r="I58" t="n">
        <v>6370.27964429699</v>
      </c>
      <c r="J58" t="n">
        <v>6414.91484215499</v>
      </c>
      <c r="K58" t="n">
        <v>6566.03495732442</v>
      </c>
      <c r="L58" t="n">
        <v>6340.08396357481</v>
      </c>
      <c r="M58" t="n">
        <v>6240.6347531537</v>
      </c>
      <c r="N58" t="n">
        <v>6312.81970355398</v>
      </c>
      <c r="O58" t="n">
        <v>6365.88009514127</v>
      </c>
      <c r="P58" t="n">
        <v>6457.8111015374</v>
      </c>
      <c r="Q58" t="n">
        <v>6435.8342901626</v>
      </c>
      <c r="R58" t="n">
        <v>6653.38937097577</v>
      </c>
      <c r="S58" t="n">
        <v>6456.72038901219</v>
      </c>
      <c r="T58" t="n">
        <v>6444.57931665541</v>
      </c>
      <c r="U58" t="n">
        <v>6446.76030105269</v>
      </c>
      <c r="V58" t="n">
        <v>6309.60404476879</v>
      </c>
      <c r="W58" t="n">
        <v>6228.78258124111</v>
      </c>
      <c r="X58" t="n">
        <v>6161.63011821609</v>
      </c>
      <c r="Y58" t="n">
        <v>6112.82429403247</v>
      </c>
      <c r="Z58" t="n">
        <v>5954.3950022597</v>
      </c>
      <c r="AA58" t="n">
        <v>5907.76920253848</v>
      </c>
      <c r="AB58" t="n">
        <v>5782.5047592462</v>
      </c>
      <c r="AC58" t="n">
        <v>5556.8226746463</v>
      </c>
      <c r="AD58" t="n">
        <v>5433.89922848232</v>
      </c>
      <c r="AE58" t="n">
        <v>5335.8</v>
      </c>
      <c r="AF58" t="n">
        <v>5145.6</v>
      </c>
    </row>
    <row r="59">
      <c r="A59" t="s">
        <v>148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149</v>
      </c>
      <c r="B2" t="s">
        <v>197</v>
      </c>
      <c r="C2" t="s">
        <v>246</v>
      </c>
      <c r="D2" t="s">
        <v>199</v>
      </c>
      <c r="E2" t="s">
        <v>247</v>
      </c>
      <c r="F2" t="n">
        <v>5.75976143914609</v>
      </c>
      <c r="G2" t="n">
        <v>6.16160526048186</v>
      </c>
      <c r="H2" t="n">
        <v>6.43545438316995</v>
      </c>
      <c r="I2" t="n">
        <v>6.84622806720207</v>
      </c>
      <c r="J2" t="n">
        <v>7.11470759924921</v>
      </c>
      <c r="K2" t="n">
        <v>7.51742689731992</v>
      </c>
      <c r="L2" t="n">
        <v>7.91308094454728</v>
      </c>
      <c r="M2" t="n">
        <v>8.30873499177465</v>
      </c>
      <c r="N2" t="n">
        <v>8.56438837613695</v>
      </c>
      <c r="O2" t="n">
        <v>8.81263151747425</v>
      </c>
      <c r="P2" t="n">
        <v>8.93172113257525</v>
      </c>
      <c r="Q2" t="n">
        <v>9.04478089374709</v>
      </c>
      <c r="R2" t="n">
        <v>9.26272742130726</v>
      </c>
      <c r="S2" t="n">
        <v>9.58213181514544</v>
      </c>
      <c r="T2" t="n">
        <v>11.4568967355</v>
      </c>
      <c r="U2" t="n">
        <v>17.0792627260694</v>
      </c>
      <c r="V2" t="n">
        <v>21.7656457911494</v>
      </c>
      <c r="W2" t="n">
        <v>25.2355313520573</v>
      </c>
      <c r="X2" t="n">
        <v>28.1226472270808</v>
      </c>
      <c r="Y2" t="n">
        <v>33.9990212745305</v>
      </c>
      <c r="Z2" t="n">
        <v>40.1434227096867</v>
      </c>
      <c r="AA2" t="n">
        <v>51.7559838925387</v>
      </c>
      <c r="AB2" t="n">
        <v>64.2628326524252</v>
      </c>
      <c r="AC2" t="n">
        <v>77.4993595037896</v>
      </c>
      <c r="AD2" t="n">
        <v>99.3709570957096</v>
      </c>
      <c r="AE2" t="n">
        <v>120.8</v>
      </c>
      <c r="AF2" t="n">
        <v>139.9</v>
      </c>
    </row>
    <row r="3">
      <c r="A3" t="s">
        <v>149</v>
      </c>
      <c r="B3" t="s">
        <v>276</v>
      </c>
      <c r="C3" t="s">
        <v>246</v>
      </c>
      <c r="D3" t="s">
        <v>277</v>
      </c>
      <c r="E3" t="s">
        <v>247</v>
      </c>
      <c r="F3" t="n">
        <v>838.751579138115</v>
      </c>
      <c r="G3" t="n">
        <v>865.656410234729</v>
      </c>
      <c r="H3" t="n">
        <v>891.316551629704</v>
      </c>
      <c r="I3" t="n">
        <v>917.082661794589</v>
      </c>
      <c r="J3" t="n">
        <v>945.737290951439</v>
      </c>
      <c r="K3" t="n">
        <v>975.747822482488</v>
      </c>
      <c r="L3" t="n">
        <v>1016.83473160631</v>
      </c>
      <c r="M3" t="n">
        <v>1053.14082758031</v>
      </c>
      <c r="N3" t="n">
        <v>1085.47241711772</v>
      </c>
      <c r="O3" t="n">
        <v>1106.7708432023</v>
      </c>
      <c r="P3" t="n">
        <v>1128.53554265804</v>
      </c>
      <c r="Q3" t="n">
        <v>1142.73527957225</v>
      </c>
      <c r="R3" t="n">
        <v>1156.48065196895</v>
      </c>
      <c r="S3" t="n">
        <v>1194.04119722574</v>
      </c>
      <c r="T3" t="n">
        <v>1218.83858276224</v>
      </c>
      <c r="U3" t="n">
        <v>1227.35225486745</v>
      </c>
      <c r="V3" t="n">
        <v>1204.64676132046</v>
      </c>
      <c r="W3" t="n">
        <v>1175.02343586924</v>
      </c>
      <c r="X3" t="n">
        <v>1121.13114187433</v>
      </c>
      <c r="Y3" t="n">
        <v>1028.61469355761</v>
      </c>
      <c r="Z3" t="n">
        <v>922.520259778099</v>
      </c>
      <c r="AA3" t="n">
        <v>870.807913003158</v>
      </c>
      <c r="AB3" t="n">
        <v>849.568695612837</v>
      </c>
      <c r="AC3" t="n">
        <v>850.680035326447</v>
      </c>
      <c r="AD3" t="n">
        <v>851.878457541042</v>
      </c>
      <c r="AE3" t="n">
        <v>844.3</v>
      </c>
      <c r="AF3" t="n">
        <v>881.5</v>
      </c>
    </row>
    <row r="4">
      <c r="A4" t="s">
        <v>149</v>
      </c>
      <c r="B4" t="s">
        <v>278</v>
      </c>
      <c r="C4" t="s">
        <v>246</v>
      </c>
      <c r="D4" t="s">
        <v>279</v>
      </c>
      <c r="E4" t="s">
        <v>247</v>
      </c>
      <c r="F4" t="n">
        <v>25591.9267345121</v>
      </c>
      <c r="G4" t="n">
        <v>26663.2027218477</v>
      </c>
      <c r="H4" t="n">
        <v>27649.5171095566</v>
      </c>
      <c r="I4" t="n">
        <v>28609.646458289</v>
      </c>
      <c r="J4" t="n">
        <v>29626.750406037</v>
      </c>
      <c r="K4" t="n">
        <v>30668.544954594</v>
      </c>
      <c r="L4" t="n">
        <v>32047.0851785974</v>
      </c>
      <c r="M4" t="n">
        <v>33259.6640351792</v>
      </c>
      <c r="N4" t="n">
        <v>34332.8243332594</v>
      </c>
      <c r="O4" t="n">
        <v>35047.34954462</v>
      </c>
      <c r="P4" t="n">
        <v>35767.3719889785</v>
      </c>
      <c r="Q4" t="n">
        <v>36244.697726657</v>
      </c>
      <c r="R4" t="n">
        <v>36699.9856107249</v>
      </c>
      <c r="S4" t="n">
        <v>37908.3850683287</v>
      </c>
      <c r="T4" t="n">
        <v>39472.9504264446</v>
      </c>
      <c r="U4" t="n">
        <v>41259.3158173055</v>
      </c>
      <c r="V4" t="n">
        <v>43259.0111028759</v>
      </c>
      <c r="W4" t="n">
        <v>44393.0651040402</v>
      </c>
      <c r="X4" t="n">
        <v>44968.9876457926</v>
      </c>
      <c r="Y4" t="n">
        <v>45733.8571671583</v>
      </c>
      <c r="Z4" t="n">
        <v>47569.1490424982</v>
      </c>
      <c r="AA4" t="n">
        <v>50415.173344725</v>
      </c>
      <c r="AB4" t="n">
        <v>52689.2716084622</v>
      </c>
      <c r="AC4" t="n">
        <v>54617.6966460112</v>
      </c>
      <c r="AD4" t="n">
        <v>56680.6202243204</v>
      </c>
      <c r="AE4" t="n">
        <v>57891.5</v>
      </c>
      <c r="AF4" t="n">
        <v>58900.4</v>
      </c>
    </row>
    <row r="5">
      <c r="A5" t="s">
        <v>149</v>
      </c>
      <c r="B5" t="s">
        <v>280</v>
      </c>
      <c r="C5" t="s">
        <v>246</v>
      </c>
      <c r="D5" t="s">
        <v>281</v>
      </c>
      <c r="E5" t="s">
        <v>247</v>
      </c>
      <c r="F5" t="n">
        <v>854.071019878766</v>
      </c>
      <c r="G5" t="n">
        <v>888.145085330976</v>
      </c>
      <c r="H5" t="n">
        <v>919.767610526899</v>
      </c>
      <c r="I5" t="n">
        <v>950.567355671229</v>
      </c>
      <c r="J5" t="n">
        <v>983.512468436747</v>
      </c>
      <c r="K5" t="n">
        <v>1017.42669148629</v>
      </c>
      <c r="L5" t="n">
        <v>1062.60149640775</v>
      </c>
      <c r="M5" t="n">
        <v>1102.45565089299</v>
      </c>
      <c r="N5" t="n">
        <v>1137.71787822483</v>
      </c>
      <c r="O5" t="n">
        <v>1161.12719869175</v>
      </c>
      <c r="P5" t="n">
        <v>1184.79927296492</v>
      </c>
      <c r="Q5" t="n">
        <v>1200.48363864239</v>
      </c>
      <c r="R5" t="n">
        <v>1215.43608619761</v>
      </c>
      <c r="S5" t="n">
        <v>1255.44561326257</v>
      </c>
      <c r="T5" t="n">
        <v>1306.49614732408</v>
      </c>
      <c r="U5" t="n">
        <v>1345.01639535563</v>
      </c>
      <c r="V5" t="n">
        <v>1389.05869934915</v>
      </c>
      <c r="W5" t="n">
        <v>1420.36469674683</v>
      </c>
      <c r="X5" t="n">
        <v>1446.50506377099</v>
      </c>
      <c r="Y5" t="n">
        <v>1468.37083799078</v>
      </c>
      <c r="Z5" t="n">
        <v>1520.03441168167</v>
      </c>
      <c r="AA5" t="n">
        <v>1618.44311364198</v>
      </c>
      <c r="AB5" t="n">
        <v>1639.17284272988</v>
      </c>
      <c r="AC5" t="n">
        <v>1687.66609169816</v>
      </c>
      <c r="AD5" t="n">
        <v>1741.48847045831</v>
      </c>
      <c r="AE5" t="n">
        <v>1805.7</v>
      </c>
      <c r="AF5"/>
    </row>
    <row r="6">
      <c r="A6" t="s">
        <v>149</v>
      </c>
      <c r="B6" t="s">
        <v>282</v>
      </c>
      <c r="C6" t="s">
        <v>246</v>
      </c>
      <c r="D6" t="s">
        <v>283</v>
      </c>
      <c r="E6" t="s">
        <v>247</v>
      </c>
      <c r="F6" t="n">
        <v>1319.76550288507</v>
      </c>
      <c r="G6" t="n">
        <v>1385.32931114319</v>
      </c>
      <c r="H6" t="n">
        <v>1444.65789885091</v>
      </c>
      <c r="I6" t="n">
        <v>1501.23363047525</v>
      </c>
      <c r="J6" t="n">
        <v>1559.75470129313</v>
      </c>
      <c r="K6" t="n">
        <v>1618.68477492951</v>
      </c>
      <c r="L6" t="n">
        <v>1694.88779978496</v>
      </c>
      <c r="M6" t="n">
        <v>1761.68530945793</v>
      </c>
      <c r="N6" t="n">
        <v>1820.59984900527</v>
      </c>
      <c r="O6" t="n">
        <v>1860.08063653671</v>
      </c>
      <c r="P6" t="n">
        <v>1899.54486503466</v>
      </c>
      <c r="Q6" t="n">
        <v>1925.88289969574</v>
      </c>
      <c r="R6" t="n">
        <v>1950.73442049803</v>
      </c>
      <c r="S6" t="n">
        <v>2015.60951773371</v>
      </c>
      <c r="T6" t="n">
        <v>2181.64150697089</v>
      </c>
      <c r="U6" t="n">
        <v>2370.74335360702</v>
      </c>
      <c r="V6" t="n">
        <v>2545.35812223765</v>
      </c>
      <c r="W6" t="n">
        <v>2685.2384480839</v>
      </c>
      <c r="X6" t="n">
        <v>2754.87359634859</v>
      </c>
      <c r="Y6" t="n">
        <v>2853.79506678147</v>
      </c>
      <c r="Z6" t="n">
        <v>3002.85329988061</v>
      </c>
      <c r="AA6" t="n">
        <v>3217.27852802196</v>
      </c>
      <c r="AB6" t="n">
        <v>3457.39820717663</v>
      </c>
      <c r="AC6" t="n">
        <v>3704.10265804082</v>
      </c>
      <c r="AD6" t="n">
        <v>3956.64149510841</v>
      </c>
      <c r="AE6" t="n">
        <v>4005.5</v>
      </c>
      <c r="AF6"/>
    </row>
    <row r="7">
      <c r="A7" t="s">
        <v>149</v>
      </c>
      <c r="B7" t="s">
        <v>284</v>
      </c>
      <c r="C7" t="s">
        <v>246</v>
      </c>
      <c r="D7" t="s">
        <v>285</v>
      </c>
      <c r="E7" t="s">
        <v>247</v>
      </c>
      <c r="F7" t="n">
        <v>282.956854643491</v>
      </c>
      <c r="G7" t="n">
        <v>294.828257950341</v>
      </c>
      <c r="H7" t="n">
        <v>305.813119447111</v>
      </c>
      <c r="I7" t="n">
        <v>316.438252327678</v>
      </c>
      <c r="J7" t="n">
        <v>327.590853152815</v>
      </c>
      <c r="K7" t="n">
        <v>339.063956786103</v>
      </c>
      <c r="L7" t="n">
        <v>354.415798701477</v>
      </c>
      <c r="M7" t="n">
        <v>367.864612491488</v>
      </c>
      <c r="N7" t="n">
        <v>379.735330382435</v>
      </c>
      <c r="O7" t="n">
        <v>387.698325514963</v>
      </c>
      <c r="P7" t="n">
        <v>395.703190787537</v>
      </c>
      <c r="Q7" t="n">
        <v>400.96550555372</v>
      </c>
      <c r="R7" t="n">
        <v>406.018769459329</v>
      </c>
      <c r="S7" t="n">
        <v>419.453214037027</v>
      </c>
      <c r="T7" t="n">
        <v>458.241135873452</v>
      </c>
      <c r="U7" t="n">
        <v>470.470825041576</v>
      </c>
      <c r="V7" t="n">
        <v>478.521103603399</v>
      </c>
      <c r="W7" t="n">
        <v>475.887235794045</v>
      </c>
      <c r="X7" t="n">
        <v>481.241502623411</v>
      </c>
      <c r="Y7" t="n">
        <v>492.066546250887</v>
      </c>
      <c r="Z7" t="n">
        <v>514.772589332927</v>
      </c>
      <c r="AA7" t="n">
        <v>566.969809929623</v>
      </c>
      <c r="AB7" t="n">
        <v>602.424471041509</v>
      </c>
      <c r="AC7" t="n">
        <v>643.232567336071</v>
      </c>
      <c r="AD7" t="n">
        <v>707.336154456493</v>
      </c>
      <c r="AE7" t="n">
        <v>754</v>
      </c>
      <c r="AF7"/>
    </row>
    <row r="8">
      <c r="A8" t="s">
        <v>149</v>
      </c>
      <c r="B8" t="s">
        <v>286</v>
      </c>
      <c r="C8" t="s">
        <v>246</v>
      </c>
      <c r="D8" t="s">
        <v>287</v>
      </c>
      <c r="E8" t="s">
        <v>247</v>
      </c>
      <c r="F8" t="n">
        <v>17.0087580251232</v>
      </c>
      <c r="G8" t="n">
        <v>17.7877851102434</v>
      </c>
      <c r="H8" t="n">
        <v>18.5963207970726</v>
      </c>
      <c r="I8" t="n">
        <v>19.4107582042437</v>
      </c>
      <c r="J8" t="n">
        <v>20.0800946940452</v>
      </c>
      <c r="K8" t="n">
        <v>20.7494311838467</v>
      </c>
      <c r="L8" t="n">
        <v>21.8000352944212</v>
      </c>
      <c r="M8" t="n">
        <v>22.7193138911739</v>
      </c>
      <c r="N8" t="n">
        <v>23.4808551389227</v>
      </c>
      <c r="O8" t="n">
        <v>23.9751889313211</v>
      </c>
      <c r="P8" t="n">
        <v>24.4499451477829</v>
      </c>
      <c r="Q8" t="n">
        <v>24.7911071731008</v>
      </c>
      <c r="R8" t="n">
        <v>25.1187429507189</v>
      </c>
      <c r="S8" t="n">
        <v>25.9666330081271</v>
      </c>
      <c r="T8" t="n">
        <v>26.1743660721921</v>
      </c>
      <c r="U8" t="n">
        <v>25.8564587919631</v>
      </c>
      <c r="V8" t="n">
        <v>38.0548687865586</v>
      </c>
      <c r="W8" t="n">
        <v>43.2059421858441</v>
      </c>
      <c r="X8" t="n">
        <v>47.6976490467487</v>
      </c>
      <c r="Y8" t="n">
        <v>54.0013031057904</v>
      </c>
      <c r="Z8" t="n">
        <v>59.6264388459769</v>
      </c>
      <c r="AA8" t="n">
        <v>64.8287455909279</v>
      </c>
      <c r="AB8" t="n">
        <v>84.6431741022617</v>
      </c>
      <c r="AC8" t="n">
        <v>118.884267205683</v>
      </c>
      <c r="AD8" t="n">
        <v>119.783391915641</v>
      </c>
      <c r="AE8" t="n">
        <v>113.5</v>
      </c>
      <c r="AF8"/>
    </row>
    <row r="9">
      <c r="A9" t="s">
        <v>149</v>
      </c>
      <c r="B9" t="s">
        <v>288</v>
      </c>
      <c r="C9" t="s">
        <v>246</v>
      </c>
      <c r="D9" t="s">
        <v>289</v>
      </c>
      <c r="E9" t="s">
        <v>247</v>
      </c>
      <c r="F9" t="n">
        <v>1454.35963841395</v>
      </c>
      <c r="G9" t="n">
        <v>1507.90075826218</v>
      </c>
      <c r="H9" t="n">
        <v>1557.85641896082</v>
      </c>
      <c r="I9" t="n">
        <v>1607.47228530973</v>
      </c>
      <c r="J9" t="n">
        <v>1660.87087097352</v>
      </c>
      <c r="K9" t="n">
        <v>1716.27828001332</v>
      </c>
      <c r="L9" t="n">
        <v>1791.00853168687</v>
      </c>
      <c r="M9" t="n">
        <v>1856.86802006652</v>
      </c>
      <c r="N9" t="n">
        <v>1915.25848901101</v>
      </c>
      <c r="O9" t="n">
        <v>1953.98453998835</v>
      </c>
      <c r="P9" t="n">
        <v>1993.20053026653</v>
      </c>
      <c r="Q9" t="n">
        <v>2019.07435679382</v>
      </c>
      <c r="R9" t="n">
        <v>2043.92111991037</v>
      </c>
      <c r="S9" t="n">
        <v>2110.70756009535</v>
      </c>
      <c r="T9" t="n">
        <v>2159.87162755718</v>
      </c>
      <c r="U9" t="n">
        <v>2229.24629139123</v>
      </c>
      <c r="V9" t="n">
        <v>2245.77472471079</v>
      </c>
      <c r="W9" t="n">
        <v>2256.63151606746</v>
      </c>
      <c r="X9" t="n">
        <v>2236.59780483006</v>
      </c>
      <c r="Y9" t="n">
        <v>2206.6377383525</v>
      </c>
      <c r="Z9" t="n">
        <v>2178.6071986998</v>
      </c>
      <c r="AA9" t="n">
        <v>2304.91921173496</v>
      </c>
      <c r="AB9" t="n">
        <v>2386.41395263393</v>
      </c>
      <c r="AC9" t="n">
        <v>2469.04895298336</v>
      </c>
      <c r="AD9" t="n">
        <v>2497.6067238635</v>
      </c>
      <c r="AE9" t="n">
        <v>2568.4</v>
      </c>
      <c r="AF9"/>
    </row>
    <row r="10">
      <c r="A10" t="s">
        <v>149</v>
      </c>
      <c r="B10" t="s">
        <v>290</v>
      </c>
      <c r="C10" t="s">
        <v>246</v>
      </c>
      <c r="D10" t="s">
        <v>291</v>
      </c>
      <c r="E10" t="s">
        <v>247</v>
      </c>
      <c r="F10" t="n">
        <v>3472.74103562952</v>
      </c>
      <c r="G10" t="n">
        <v>3615.59952600249</v>
      </c>
      <c r="H10" t="n">
        <v>3747.40906757367</v>
      </c>
      <c r="I10" t="n">
        <v>3876.08483360704</v>
      </c>
      <c r="J10" t="n">
        <v>4012.60931936584</v>
      </c>
      <c r="K10" t="n">
        <v>4152.75535231125</v>
      </c>
      <c r="L10" t="n">
        <v>4338.52953878031</v>
      </c>
      <c r="M10" t="n">
        <v>4501.93384571704</v>
      </c>
      <c r="N10" t="n">
        <v>4646.57223799017</v>
      </c>
      <c r="O10" t="n">
        <v>4742.82844434061</v>
      </c>
      <c r="P10" t="n">
        <v>4840.03323221115</v>
      </c>
      <c r="Q10" t="n">
        <v>4904.37771526227</v>
      </c>
      <c r="R10" t="n">
        <v>4965.83773595031</v>
      </c>
      <c r="S10" t="n">
        <v>5129.07535489161</v>
      </c>
      <c r="T10" t="n">
        <v>5365.17747550898</v>
      </c>
      <c r="U10" t="n">
        <v>5655.13242812415</v>
      </c>
      <c r="V10" t="n">
        <v>5773.44895437759</v>
      </c>
      <c r="W10" t="n">
        <v>5837.74595408859</v>
      </c>
      <c r="X10" t="n">
        <v>5799.5011280447</v>
      </c>
      <c r="Y10" t="n">
        <v>5624.68247307654</v>
      </c>
      <c r="Z10" t="n">
        <v>5634.09428420262</v>
      </c>
      <c r="AA10" t="n">
        <v>5935.42071984417</v>
      </c>
      <c r="AB10" t="n">
        <v>5993.2385379225</v>
      </c>
      <c r="AC10" t="n">
        <v>6004.14892733179</v>
      </c>
      <c r="AD10" t="n">
        <v>5997.15911501306</v>
      </c>
      <c r="AE10" t="n">
        <v>6223.8</v>
      </c>
      <c r="AF10"/>
    </row>
    <row r="11">
      <c r="A11" t="s">
        <v>149</v>
      </c>
      <c r="B11" t="s">
        <v>292</v>
      </c>
      <c r="C11" t="s">
        <v>246</v>
      </c>
      <c r="D11" t="s">
        <v>293</v>
      </c>
      <c r="E11" t="s">
        <v>247</v>
      </c>
      <c r="F11" t="n">
        <v>2018.37771721801</v>
      </c>
      <c r="G11" t="n">
        <v>2107.69455480468</v>
      </c>
      <c r="H11" t="n">
        <v>2189.54808842657</v>
      </c>
      <c r="I11" t="n">
        <v>2268.60790859014</v>
      </c>
      <c r="J11" t="n">
        <v>2351.73370531187</v>
      </c>
      <c r="K11" t="n">
        <v>2436.47234293216</v>
      </c>
      <c r="L11" t="n">
        <v>2547.51622303098</v>
      </c>
      <c r="M11" t="n">
        <v>2645.06101519782</v>
      </c>
      <c r="N11" t="n">
        <v>2731.30883826233</v>
      </c>
      <c r="O11" t="n">
        <v>2788.83891409334</v>
      </c>
      <c r="P11" t="n">
        <v>2846.82763320739</v>
      </c>
      <c r="Q11" t="n">
        <v>2885.29827689938</v>
      </c>
      <c r="R11" t="n">
        <v>2921.91150478626</v>
      </c>
      <c r="S11" t="n">
        <v>3018.36253817291</v>
      </c>
      <c r="T11" t="n">
        <v>3205.30371779773</v>
      </c>
      <c r="U11" t="n">
        <v>3425.88581808637</v>
      </c>
      <c r="V11" t="n">
        <v>3527.67484034721</v>
      </c>
      <c r="W11" t="n">
        <v>3581.11487692113</v>
      </c>
      <c r="X11" t="n">
        <v>3562.90345782165</v>
      </c>
      <c r="Y11" t="n">
        <v>3418.04519904024</v>
      </c>
      <c r="Z11" t="n">
        <v>3455.48809338189</v>
      </c>
      <c r="AA11" t="n">
        <v>3630.50268482141</v>
      </c>
      <c r="AB11" t="n">
        <v>3606.82703967144</v>
      </c>
      <c r="AC11" t="n">
        <v>3535.10065258445</v>
      </c>
      <c r="AD11" t="n">
        <v>3499.55193126023</v>
      </c>
      <c r="AE11" t="n">
        <v>3655.4</v>
      </c>
      <c r="AF11"/>
    </row>
    <row r="12">
      <c r="A12" t="s">
        <v>149</v>
      </c>
      <c r="B12" t="s">
        <v>294</v>
      </c>
      <c r="C12" t="s">
        <v>246</v>
      </c>
      <c r="D12" t="s">
        <v>295</v>
      </c>
      <c r="E12" t="s">
        <v>247</v>
      </c>
      <c r="F12" t="n">
        <v>1008.12216737738</v>
      </c>
      <c r="G12" t="n">
        <v>1045.99204154052</v>
      </c>
      <c r="H12" t="n">
        <v>1081.15257869289</v>
      </c>
      <c r="I12" t="n">
        <v>1115.90975312137</v>
      </c>
      <c r="J12" t="n">
        <v>1153.29952187727</v>
      </c>
      <c r="K12" t="n">
        <v>1192.08065401304</v>
      </c>
      <c r="L12" t="n">
        <v>1244.28469732538</v>
      </c>
      <c r="M12" t="n">
        <v>1290.21776984784</v>
      </c>
      <c r="N12" t="n">
        <v>1330.97628327441</v>
      </c>
      <c r="O12" t="n">
        <v>1357.99928603175</v>
      </c>
      <c r="P12" t="n">
        <v>1385.25970487444</v>
      </c>
      <c r="Q12" t="n">
        <v>1403.34971507117</v>
      </c>
      <c r="R12" t="n">
        <v>1420.7211703345</v>
      </c>
      <c r="S12" t="n">
        <v>1467.13253328851</v>
      </c>
      <c r="T12" t="n">
        <v>1516.29847201547</v>
      </c>
      <c r="U12" t="n">
        <v>1571.31084464929</v>
      </c>
      <c r="V12" t="n">
        <v>1574.0306423965</v>
      </c>
      <c r="W12" t="n">
        <v>1617.8766814508</v>
      </c>
      <c r="X12" t="n">
        <v>1632.65963729006</v>
      </c>
      <c r="Y12" t="n">
        <v>1660.20176754374</v>
      </c>
      <c r="Z12" t="n">
        <v>1855.39926399885</v>
      </c>
      <c r="AA12" t="n">
        <v>2121.8278775873</v>
      </c>
      <c r="AB12" t="n">
        <v>2345.78787194592</v>
      </c>
      <c r="AC12" t="n">
        <v>2478.93810515973</v>
      </c>
      <c r="AD12" t="n">
        <v>2582.48931623932</v>
      </c>
      <c r="AE12" t="n">
        <v>2613.2</v>
      </c>
      <c r="AF12"/>
    </row>
    <row r="13">
      <c r="A13" t="s">
        <v>149</v>
      </c>
      <c r="B13" t="s">
        <v>296</v>
      </c>
      <c r="C13" t="s">
        <v>246</v>
      </c>
      <c r="D13" t="s">
        <v>297</v>
      </c>
      <c r="E13" t="s">
        <v>247</v>
      </c>
      <c r="F13" t="n">
        <v>1203.93343481224</v>
      </c>
      <c r="G13" t="n">
        <v>1252.90567020161</v>
      </c>
      <c r="H13" t="n">
        <v>1298.11290697452</v>
      </c>
      <c r="I13" t="n">
        <v>1342.27846214198</v>
      </c>
      <c r="J13" t="n">
        <v>1389.35707340059</v>
      </c>
      <c r="K13" t="n">
        <v>1437.60614686402</v>
      </c>
      <c r="L13" t="n">
        <v>1501.74121692413</v>
      </c>
      <c r="M13" t="n">
        <v>1558.2363598303</v>
      </c>
      <c r="N13" t="n">
        <v>1608.19703360592</v>
      </c>
      <c r="O13" t="n">
        <v>1641.44688709615</v>
      </c>
      <c r="P13" t="n">
        <v>1674.92628164648</v>
      </c>
      <c r="Q13" t="n">
        <v>1697.13803218578</v>
      </c>
      <c r="R13" t="n">
        <v>1718.35775492559</v>
      </c>
      <c r="S13" t="n">
        <v>1774.90724949936</v>
      </c>
      <c r="T13" t="n">
        <v>1848.34735849079</v>
      </c>
      <c r="U13" t="n">
        <v>1913.89611916036</v>
      </c>
      <c r="V13" t="n">
        <v>1986.81142908409</v>
      </c>
      <c r="W13" t="n">
        <v>2034.45274292738</v>
      </c>
      <c r="X13" t="n">
        <v>2080.94350169057</v>
      </c>
      <c r="Y13" t="n">
        <v>2078.21053553186</v>
      </c>
      <c r="Z13" t="n">
        <v>2113.50206116479</v>
      </c>
      <c r="AA13" t="n">
        <v>2308.60225143365</v>
      </c>
      <c r="AB13" t="n">
        <v>2513.23782796582</v>
      </c>
      <c r="AC13" t="n">
        <v>2738.40793603029</v>
      </c>
      <c r="AD13" t="n">
        <v>2893.38201409034</v>
      </c>
      <c r="AE13" t="n">
        <v>2887.2</v>
      </c>
      <c r="AF13"/>
    </row>
    <row r="14">
      <c r="A14" t="s">
        <v>149</v>
      </c>
      <c r="B14" t="s">
        <v>298</v>
      </c>
      <c r="C14" t="s">
        <v>246</v>
      </c>
      <c r="D14" t="s">
        <v>299</v>
      </c>
      <c r="E14" t="s">
        <v>247</v>
      </c>
      <c r="F14" t="n">
        <v>3334.35928487757</v>
      </c>
      <c r="G14" t="n">
        <v>3480.60884035291</v>
      </c>
      <c r="H14" t="n">
        <v>3614.58805042382</v>
      </c>
      <c r="I14" t="n">
        <v>3744.3522794005</v>
      </c>
      <c r="J14" t="n">
        <v>3880.87493058203</v>
      </c>
      <c r="K14" t="n">
        <v>4020.07611384222</v>
      </c>
      <c r="L14" t="n">
        <v>4202.93332855273</v>
      </c>
      <c r="M14" t="n">
        <v>4363.70127008207</v>
      </c>
      <c r="N14" t="n">
        <v>4505.78893405476</v>
      </c>
      <c r="O14" t="n">
        <v>4600.55458032001</v>
      </c>
      <c r="P14" t="n">
        <v>4695.84896399117</v>
      </c>
      <c r="Q14" t="n">
        <v>4759.16558255326</v>
      </c>
      <c r="R14" t="n">
        <v>4819.41653526867</v>
      </c>
      <c r="S14" t="n">
        <v>4978.49537023105</v>
      </c>
      <c r="T14" t="n">
        <v>5219.41730420126</v>
      </c>
      <c r="U14" t="n">
        <v>5540.13092379846</v>
      </c>
      <c r="V14" t="n">
        <v>5798.74080811271</v>
      </c>
      <c r="W14" t="n">
        <v>5887.2824669718</v>
      </c>
      <c r="X14" t="n">
        <v>5830.18262974323</v>
      </c>
      <c r="Y14" t="n">
        <v>6117.37649470164</v>
      </c>
      <c r="Z14" t="n">
        <v>6448.93302199901</v>
      </c>
      <c r="AA14" t="n">
        <v>6303.02322469581</v>
      </c>
      <c r="AB14" t="n">
        <v>6178.9543651544</v>
      </c>
      <c r="AC14" t="n">
        <v>6039.54299533044</v>
      </c>
      <c r="AD14" t="n">
        <v>5984.62171879474</v>
      </c>
      <c r="AE14" t="n">
        <v>6267.6</v>
      </c>
      <c r="AF14"/>
    </row>
    <row r="15">
      <c r="A15" t="s">
        <v>149</v>
      </c>
      <c r="B15" t="s">
        <v>300</v>
      </c>
      <c r="C15" t="s">
        <v>246</v>
      </c>
      <c r="D15" t="s">
        <v>301</v>
      </c>
      <c r="E15" t="s">
        <v>247</v>
      </c>
      <c r="F15" t="n">
        <v>4816.47587915939</v>
      </c>
      <c r="G15" t="n">
        <v>5032.19549831003</v>
      </c>
      <c r="H15" t="n">
        <v>5229.43269339633</v>
      </c>
      <c r="I15" t="n">
        <v>5419.84914214457</v>
      </c>
      <c r="J15" t="n">
        <v>5619.71751183949</v>
      </c>
      <c r="K15" t="n">
        <v>5823.10522959917</v>
      </c>
      <c r="L15" t="n">
        <v>6089.56857446285</v>
      </c>
      <c r="M15" t="n">
        <v>6323.72183116254</v>
      </c>
      <c r="N15" t="n">
        <v>6530.58986059521</v>
      </c>
      <c r="O15" t="n">
        <v>6668.69073498073</v>
      </c>
      <c r="P15" t="n">
        <v>6807.5096965448</v>
      </c>
      <c r="Q15" t="n">
        <v>6899.68100771659</v>
      </c>
      <c r="R15" t="n">
        <v>6987.42096348217</v>
      </c>
      <c r="S15" t="n">
        <v>7218.41802231555</v>
      </c>
      <c r="T15" t="n">
        <v>7657.27691512154</v>
      </c>
      <c r="U15" t="n">
        <v>8092.49457191486</v>
      </c>
      <c r="V15" t="n">
        <v>8515.4640178866</v>
      </c>
      <c r="W15" t="n">
        <v>8685.69951196207</v>
      </c>
      <c r="X15" t="n">
        <v>8582.63885293638</v>
      </c>
      <c r="Y15" t="n">
        <v>8800.4557840056</v>
      </c>
      <c r="Z15" t="n">
        <v>9167.72115488559</v>
      </c>
      <c r="AA15" t="n">
        <v>9210.2244983003</v>
      </c>
      <c r="AB15" t="n">
        <v>9185.83731957576</v>
      </c>
      <c r="AC15" t="n">
        <v>9161.38970573473</v>
      </c>
      <c r="AD15" t="n">
        <v>9270.43365972309</v>
      </c>
      <c r="AE15" t="n">
        <v>9592.6</v>
      </c>
      <c r="AF15"/>
    </row>
    <row r="16">
      <c r="A16" t="s">
        <v>149</v>
      </c>
      <c r="B16" t="s">
        <v>302</v>
      </c>
      <c r="C16" t="s">
        <v>246</v>
      </c>
      <c r="D16" t="s">
        <v>303</v>
      </c>
      <c r="E16" t="s">
        <v>247</v>
      </c>
      <c r="F16" t="n">
        <v>1482.11425641969</v>
      </c>
      <c r="G16" t="n">
        <v>1551.58428147831</v>
      </c>
      <c r="H16" t="n">
        <v>1614.84222331286</v>
      </c>
      <c r="I16" t="n">
        <v>1675.49421431338</v>
      </c>
      <c r="J16" t="n">
        <v>1738.83967706355</v>
      </c>
      <c r="K16" t="n">
        <v>1803.02594117648</v>
      </c>
      <c r="L16" t="n">
        <v>1886.63186187624</v>
      </c>
      <c r="M16" t="n">
        <v>1960.01701055423</v>
      </c>
      <c r="N16" t="n">
        <v>2024.79723378442</v>
      </c>
      <c r="O16" t="n">
        <v>2068.13237753331</v>
      </c>
      <c r="P16" t="n">
        <v>2111.6569025924</v>
      </c>
      <c r="Q16" t="n">
        <v>2140.51155715554</v>
      </c>
      <c r="R16" t="n">
        <v>2168.00053282148</v>
      </c>
      <c r="S16" t="n">
        <v>2239.91865267194</v>
      </c>
      <c r="T16" t="n">
        <v>2437.8600861542</v>
      </c>
      <c r="U16" t="n">
        <v>2552.36257219471</v>
      </c>
      <c r="V16" t="n">
        <v>2716.72400853337</v>
      </c>
      <c r="W16" t="n">
        <v>2798.41969014959</v>
      </c>
      <c r="X16" t="n">
        <v>2752.45789661689</v>
      </c>
      <c r="Y16" t="n">
        <v>2683.07350230908</v>
      </c>
      <c r="Z16" t="n">
        <v>2718.77824768793</v>
      </c>
      <c r="AA16" t="n">
        <v>2907.19753106641</v>
      </c>
      <c r="AB16" t="n">
        <v>3006.88158482301</v>
      </c>
      <c r="AC16" t="n">
        <v>3121.84702103886</v>
      </c>
      <c r="AD16" t="n">
        <v>3285.81314100642</v>
      </c>
      <c r="AE16" t="n">
        <v>3325</v>
      </c>
      <c r="AF16"/>
    </row>
    <row r="17">
      <c r="A17" t="s">
        <v>149</v>
      </c>
      <c r="B17" t="s">
        <v>304</v>
      </c>
      <c r="C17" t="s">
        <v>246</v>
      </c>
      <c r="D17" t="s">
        <v>305</v>
      </c>
      <c r="E17" t="s">
        <v>247</v>
      </c>
      <c r="F17" t="n">
        <v>4051.08462290604</v>
      </c>
      <c r="G17" t="n">
        <v>4221.10403363433</v>
      </c>
      <c r="H17" t="n">
        <v>4377.48646961268</v>
      </c>
      <c r="I17" t="n">
        <v>4529.7409421818</v>
      </c>
      <c r="J17" t="n">
        <v>4691.01300886458</v>
      </c>
      <c r="K17" t="n">
        <v>4856.1600198073</v>
      </c>
      <c r="L17" t="n">
        <v>5074.52755269066</v>
      </c>
      <c r="M17" t="n">
        <v>5266.57451698252</v>
      </c>
      <c r="N17" t="n">
        <v>5436.51347830007</v>
      </c>
      <c r="O17" t="n">
        <v>5549.70672471023</v>
      </c>
      <c r="P17" t="n">
        <v>5663.77127605833</v>
      </c>
      <c r="Q17" t="n">
        <v>5739.33707702458</v>
      </c>
      <c r="R17" t="n">
        <v>5811.46084857602</v>
      </c>
      <c r="S17" t="n">
        <v>6002.86457103509</v>
      </c>
      <c r="T17" t="n">
        <v>6231.33391253241</v>
      </c>
      <c r="U17" t="n">
        <v>6484.68601877433</v>
      </c>
      <c r="V17" t="n">
        <v>6828.86491115124</v>
      </c>
      <c r="W17" t="n">
        <v>7051.90160295664</v>
      </c>
      <c r="X17" t="n">
        <v>7270.97795123389</v>
      </c>
      <c r="Y17" t="n">
        <v>7480.27598499141</v>
      </c>
      <c r="Z17" t="n">
        <v>7654.5975150574</v>
      </c>
      <c r="AA17" t="n">
        <v>8063.72945174541</v>
      </c>
      <c r="AB17" t="n">
        <v>8484.81511335097</v>
      </c>
      <c r="AC17" t="n">
        <v>8976.19065909314</v>
      </c>
      <c r="AD17" t="n">
        <v>9347.75214890854</v>
      </c>
      <c r="AE17" t="n">
        <v>9674.4</v>
      </c>
      <c r="AF17"/>
    </row>
    <row r="18">
      <c r="A18" t="s">
        <v>149</v>
      </c>
      <c r="B18" t="s">
        <v>306</v>
      </c>
      <c r="C18" t="s">
        <v>246</v>
      </c>
      <c r="D18" t="s">
        <v>307</v>
      </c>
      <c r="E18" t="s">
        <v>247</v>
      </c>
      <c r="F18" t="n">
        <v>7667.2846563543</v>
      </c>
      <c r="G18" t="n">
        <v>7977.92994736331</v>
      </c>
      <c r="H18" t="n">
        <v>8264.89217272107</v>
      </c>
      <c r="I18" t="n">
        <v>8545.40454311918</v>
      </c>
      <c r="J18" t="n">
        <v>8844.13659560006</v>
      </c>
      <c r="K18" t="n">
        <v>9151.04542020479</v>
      </c>
      <c r="L18" t="n">
        <v>9558.8892411131</v>
      </c>
      <c r="M18" t="n">
        <v>9917.77160736856</v>
      </c>
      <c r="N18" t="n">
        <v>10235.803706864</v>
      </c>
      <c r="O18" t="n">
        <v>10447.2517486935</v>
      </c>
      <c r="P18" t="n">
        <v>10660.6805827011</v>
      </c>
      <c r="Q18" t="n">
        <v>10801.9696078121</v>
      </c>
      <c r="R18" t="n">
        <v>10936.7660854211</v>
      </c>
      <c r="S18" t="n">
        <v>11296.2178730412</v>
      </c>
      <c r="T18" t="n">
        <v>11535.6770622633</v>
      </c>
      <c r="U18" t="n">
        <v>11937.9025167491</v>
      </c>
      <c r="V18" t="n">
        <v>12733.2954012384</v>
      </c>
      <c r="W18" t="n">
        <v>13148.9125579666</v>
      </c>
      <c r="X18" t="n">
        <v>13492.0497031309</v>
      </c>
      <c r="Y18" t="n">
        <v>13829.8108601386</v>
      </c>
      <c r="Z18" t="n">
        <v>14637.5881932327</v>
      </c>
      <c r="AA18" t="n">
        <v>15676.0724912741</v>
      </c>
      <c r="AB18" t="n">
        <v>16624.8349941976</v>
      </c>
      <c r="AC18" t="n">
        <v>17227.5376683713</v>
      </c>
      <c r="AD18" t="n">
        <v>18078.1101444278</v>
      </c>
      <c r="AE18" t="n">
        <v>18219.1</v>
      </c>
      <c r="AF18"/>
    </row>
    <row r="19">
      <c r="A19" t="s">
        <v>149</v>
      </c>
      <c r="B19" t="s">
        <v>308</v>
      </c>
      <c r="C19" t="s">
        <v>246</v>
      </c>
      <c r="D19" t="s">
        <v>309</v>
      </c>
      <c r="E19" t="s">
        <v>247</v>
      </c>
      <c r="F19" t="n">
        <v>898.481976186853</v>
      </c>
      <c r="G19" t="n">
        <v>931.386707766432</v>
      </c>
      <c r="H19" t="n">
        <v>962.197664144016</v>
      </c>
      <c r="I19" t="n">
        <v>992.730640028456</v>
      </c>
      <c r="J19" t="n">
        <v>1025.68267996979</v>
      </c>
      <c r="K19" t="n">
        <v>1059.87210263545</v>
      </c>
      <c r="L19" t="n">
        <v>1105.84405508726</v>
      </c>
      <c r="M19" t="n">
        <v>1146.48844279214</v>
      </c>
      <c r="N19" t="n">
        <v>1182.64358312088</v>
      </c>
      <c r="O19" t="n">
        <v>1206.5504654076</v>
      </c>
      <c r="P19" t="n">
        <v>1230.70060353803</v>
      </c>
      <c r="Q19" t="n">
        <v>1246.7283323283</v>
      </c>
      <c r="R19" t="n">
        <v>1262.12004013482</v>
      </c>
      <c r="S19" t="n">
        <v>1303.30164076813</v>
      </c>
      <c r="T19" t="n">
        <v>1346.29521764875</v>
      </c>
      <c r="U19" t="n">
        <v>1391.83495946126</v>
      </c>
      <c r="V19" t="n">
        <v>1396.12396610071</v>
      </c>
      <c r="W19" t="n">
        <v>1391.80257982484</v>
      </c>
      <c r="X19" t="n">
        <v>1379.91140938453</v>
      </c>
      <c r="Y19" t="n">
        <v>1392.00021962901</v>
      </c>
      <c r="Z19" t="n">
        <v>1408.98206988684</v>
      </c>
      <c r="AA19" t="n">
        <v>1631.79504821802</v>
      </c>
      <c r="AB19" t="n">
        <v>1757.89615381852</v>
      </c>
      <c r="AC19" t="n">
        <v>1877.20397277489</v>
      </c>
      <c r="AD19" t="n">
        <v>1986.04765224319</v>
      </c>
      <c r="AE19" t="n">
        <v>2002.5</v>
      </c>
      <c r="AF19"/>
    </row>
    <row r="20">
      <c r="A20" t="s">
        <v>149</v>
      </c>
      <c r="B20" t="s">
        <v>310</v>
      </c>
      <c r="C20" t="s">
        <v>246</v>
      </c>
      <c r="D20" t="s">
        <v>311</v>
      </c>
      <c r="E20" t="s">
        <v>247</v>
      </c>
      <c r="F20" t="n">
        <v>233.60150278344</v>
      </c>
      <c r="G20" t="n">
        <v>228.111148493062</v>
      </c>
      <c r="H20" t="n">
        <v>224.578754293646</v>
      </c>
      <c r="I20" t="n">
        <v>222.941485125041</v>
      </c>
      <c r="J20" t="n">
        <v>223.2107381264</v>
      </c>
      <c r="K20" t="n">
        <v>224.969368184366</v>
      </c>
      <c r="L20" t="n">
        <v>230.009955443214</v>
      </c>
      <c r="M20" t="n">
        <v>234.766048720615</v>
      </c>
      <c r="N20" t="n">
        <v>239.241436359624</v>
      </c>
      <c r="O20" t="n">
        <v>241.858139569808</v>
      </c>
      <c r="P20" t="n">
        <v>244.848472650542</v>
      </c>
      <c r="Q20" t="n">
        <v>246.680827918273</v>
      </c>
      <c r="R20" t="n">
        <v>248.660433313962</v>
      </c>
      <c r="S20" t="n">
        <v>255.810754786938</v>
      </c>
      <c r="T20" t="n">
        <v>214.064950631524</v>
      </c>
      <c r="U20" t="n">
        <v>192.041369726591</v>
      </c>
      <c r="V20" t="n">
        <v>178.331604367363</v>
      </c>
      <c r="W20" t="n">
        <v>176.856047357231</v>
      </c>
      <c r="X20" t="n">
        <v>179.319820276199</v>
      </c>
      <c r="Y20" t="n">
        <v>158.507789552467</v>
      </c>
      <c r="Z20" t="n">
        <v>151.042583979996</v>
      </c>
      <c r="AA20" t="n">
        <v>159.439392090068</v>
      </c>
      <c r="AB20" t="n">
        <v>232.096603909315</v>
      </c>
      <c r="AC20" t="n">
        <v>280.496374598284</v>
      </c>
      <c r="AD20" t="n">
        <v>298.676695174099</v>
      </c>
      <c r="AE20" t="n">
        <v>326.5</v>
      </c>
      <c r="AF20" t="n">
        <v>322.4</v>
      </c>
    </row>
    <row r="21">
      <c r="A21" t="s">
        <v>149</v>
      </c>
      <c r="B21" t="s">
        <v>312</v>
      </c>
      <c r="C21" t="s">
        <v>246</v>
      </c>
      <c r="D21" t="s">
        <v>313</v>
      </c>
      <c r="E21" t="s">
        <v>247</v>
      </c>
      <c r="F21" t="n">
        <v>274.450281568659</v>
      </c>
      <c r="G21" t="n">
        <v>270.14569065052</v>
      </c>
      <c r="H21" t="n">
        <v>267.704615132593</v>
      </c>
      <c r="I21" t="n">
        <v>267.159946536189</v>
      </c>
      <c r="J21" t="n">
        <v>268.772582028359</v>
      </c>
      <c r="K21" t="n">
        <v>271.878998805571</v>
      </c>
      <c r="L21" t="n">
        <v>278.897794196071</v>
      </c>
      <c r="M21" t="n">
        <v>285.362312604589</v>
      </c>
      <c r="N21" t="n">
        <v>291.363220296945</v>
      </c>
      <c r="O21" t="n">
        <v>294.972589535993</v>
      </c>
      <c r="P21" t="n">
        <v>299.034585503682</v>
      </c>
      <c r="Q21" t="n">
        <v>301.551326468135</v>
      </c>
      <c r="R21" t="n">
        <v>304.187840797911</v>
      </c>
      <c r="S21" t="n">
        <v>313.143949675242</v>
      </c>
      <c r="T21" t="n">
        <v>281.056101694501</v>
      </c>
      <c r="U21" t="n">
        <v>255.969399727821</v>
      </c>
      <c r="V21" t="n">
        <v>239.553061591682</v>
      </c>
      <c r="W21" t="n">
        <v>237.76299475781</v>
      </c>
      <c r="X21" t="n">
        <v>238.940569247831</v>
      </c>
      <c r="Y21" t="n">
        <v>220.342292749649</v>
      </c>
      <c r="Z21" t="n">
        <v>220.649033760437</v>
      </c>
      <c r="AA21" t="n">
        <v>249.342406070925</v>
      </c>
      <c r="AB21" t="n">
        <v>349.729650242919</v>
      </c>
      <c r="AC21" t="n">
        <v>438.323787522826</v>
      </c>
      <c r="AD21" t="n">
        <v>497.24632902168</v>
      </c>
      <c r="AE21" t="n">
        <v>547.3</v>
      </c>
      <c r="AF21" t="n">
        <v>556.4</v>
      </c>
    </row>
    <row r="22">
      <c r="A22" t="s">
        <v>149</v>
      </c>
      <c r="B22" t="s">
        <v>314</v>
      </c>
      <c r="C22" t="s">
        <v>246</v>
      </c>
      <c r="D22" t="s">
        <v>315</v>
      </c>
      <c r="E22" t="s">
        <v>247</v>
      </c>
      <c r="F22" t="n">
        <v>41.0092110995088</v>
      </c>
      <c r="G22" t="n">
        <v>42.1735104682646</v>
      </c>
      <c r="H22" t="n">
        <v>43.2514276687314</v>
      </c>
      <c r="I22" t="n">
        <v>44.3327133604497</v>
      </c>
      <c r="J22" t="n">
        <v>45.6680360520295</v>
      </c>
      <c r="K22" t="n">
        <v>47.0112135829715</v>
      </c>
      <c r="L22" t="n">
        <v>48.9864746578863</v>
      </c>
      <c r="M22" t="n">
        <v>50.6937780641933</v>
      </c>
      <c r="N22" t="n">
        <v>52.2184029683796</v>
      </c>
      <c r="O22" t="n">
        <v>53.2106766589901</v>
      </c>
      <c r="P22" t="n">
        <v>54.2820325648758</v>
      </c>
      <c r="Q22" t="n">
        <v>54.9662598661137</v>
      </c>
      <c r="R22" t="n">
        <v>55.6232271155095</v>
      </c>
      <c r="S22" t="n">
        <v>57.4312478821704</v>
      </c>
      <c r="T22" t="n">
        <v>67.0204943525147</v>
      </c>
      <c r="U22" t="n">
        <v>63.945186858491</v>
      </c>
      <c r="V22" t="n">
        <v>61.2329929623724</v>
      </c>
      <c r="W22" t="n">
        <v>60.9179003742298</v>
      </c>
      <c r="X22" t="n">
        <v>59.6354182610881</v>
      </c>
      <c r="Y22" t="n">
        <v>61.8402488658114</v>
      </c>
      <c r="Z22" t="n">
        <v>69.6086107068059</v>
      </c>
      <c r="AA22" t="n">
        <v>89.9111221629577</v>
      </c>
      <c r="AB22" t="n">
        <v>117.646417474243</v>
      </c>
      <c r="AC22" t="n">
        <v>157.83806910922</v>
      </c>
      <c r="AD22" t="n">
        <v>198.570474040632</v>
      </c>
      <c r="AE22" t="n">
        <v>220.8</v>
      </c>
      <c r="AF22" t="n">
        <v>234</v>
      </c>
    </row>
    <row r="23">
      <c r="A23" t="s">
        <v>149</v>
      </c>
      <c r="B23" t="s">
        <v>316</v>
      </c>
      <c r="C23" t="s">
        <v>246</v>
      </c>
      <c r="D23" t="s">
        <v>317</v>
      </c>
      <c r="E23" t="s">
        <v>247</v>
      </c>
      <c r="F23" t="n">
        <v>198.497969479033</v>
      </c>
      <c r="G23" t="n">
        <v>205.941643334497</v>
      </c>
      <c r="H23" t="n">
        <v>213.000948181823</v>
      </c>
      <c r="I23" t="n">
        <v>219.95552459493</v>
      </c>
      <c r="J23" t="n">
        <v>227.354640101182</v>
      </c>
      <c r="K23" t="n">
        <v>234.924116822743</v>
      </c>
      <c r="L23" t="n">
        <v>245.259187952</v>
      </c>
      <c r="M23" t="n">
        <v>254.367306342037</v>
      </c>
      <c r="N23" t="n">
        <v>262.420140663418</v>
      </c>
      <c r="O23" t="n">
        <v>267.775653738182</v>
      </c>
      <c r="P23" t="n">
        <v>273.157477953554</v>
      </c>
      <c r="Q23" t="n">
        <v>276.707952509764</v>
      </c>
      <c r="R23" t="n">
        <v>280.117311225107</v>
      </c>
      <c r="S23" t="n">
        <v>289.294487897624</v>
      </c>
      <c r="T23" t="n">
        <v>337.736928366557</v>
      </c>
      <c r="U23" t="n">
        <v>336.566078630651</v>
      </c>
      <c r="V23" t="n">
        <v>322.860714533475</v>
      </c>
      <c r="W23" t="n">
        <v>315.060618916277</v>
      </c>
      <c r="X23" t="n">
        <v>553.3921891441</v>
      </c>
      <c r="Y23" t="n">
        <v>488.095485845889</v>
      </c>
      <c r="Z23" t="n">
        <v>491.98387755703</v>
      </c>
      <c r="AA23" t="n">
        <v>518.488396270714</v>
      </c>
      <c r="AB23" t="n">
        <v>649.05033811039</v>
      </c>
      <c r="AC23" t="n">
        <v>740.169934215538</v>
      </c>
      <c r="AD23" t="n">
        <v>860.486239453596</v>
      </c>
      <c r="AE23" t="n">
        <v>992.7</v>
      </c>
      <c r="AF23" t="n">
        <v>1124.7</v>
      </c>
    </row>
    <row r="24">
      <c r="A24" t="s">
        <v>149</v>
      </c>
      <c r="B24" t="s">
        <v>318</v>
      </c>
      <c r="C24" t="s">
        <v>246</v>
      </c>
      <c r="D24" t="s">
        <v>319</v>
      </c>
      <c r="E24" t="s">
        <v>247</v>
      </c>
      <c r="F24" t="n">
        <v>1271.65530383325</v>
      </c>
      <c r="G24" t="n">
        <v>1306.384288517</v>
      </c>
      <c r="H24" t="n">
        <v>1340.17710877886</v>
      </c>
      <c r="I24" t="n">
        <v>1375.19749687812</v>
      </c>
      <c r="J24" t="n">
        <v>1414.86536248671</v>
      </c>
      <c r="K24" t="n">
        <v>1457.28565503143</v>
      </c>
      <c r="L24" t="n">
        <v>1516.76399873737</v>
      </c>
      <c r="M24" t="n">
        <v>1569.41658578246</v>
      </c>
      <c r="N24" t="n">
        <v>1616.30106986729</v>
      </c>
      <c r="O24" t="n">
        <v>1647.17787354369</v>
      </c>
      <c r="P24" t="n">
        <v>1678.85896923894</v>
      </c>
      <c r="Q24" t="n">
        <v>1699.58138286634</v>
      </c>
      <c r="R24" t="n">
        <v>1719.48074442264</v>
      </c>
      <c r="S24" t="n">
        <v>1774.95818979707</v>
      </c>
      <c r="T24" t="n">
        <v>1655.39329051973</v>
      </c>
      <c r="U24" t="n">
        <v>1589.63721303283</v>
      </c>
      <c r="V24" t="n">
        <v>1789.12643159387</v>
      </c>
      <c r="W24" t="n">
        <v>1703.53843451279</v>
      </c>
      <c r="X24" t="n">
        <v>1634.2270669408</v>
      </c>
      <c r="Y24" t="n">
        <v>1610.78485441489</v>
      </c>
      <c r="Z24" t="n">
        <v>1674.72518683847</v>
      </c>
      <c r="AA24" t="n">
        <v>2017.65082076115</v>
      </c>
      <c r="AB24" t="n">
        <v>2393.72483806761</v>
      </c>
      <c r="AC24" t="n">
        <v>2680.83038733066</v>
      </c>
      <c r="AD24" t="n">
        <v>3118.3987844433</v>
      </c>
      <c r="AE24" t="n">
        <v>3289.3</v>
      </c>
      <c r="AF24" t="n">
        <v>3537</v>
      </c>
    </row>
    <row r="25">
      <c r="A25" t="s">
        <v>149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149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149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149</v>
      </c>
      <c r="B28" t="s">
        <v>326</v>
      </c>
      <c r="C28" t="s">
        <v>246</v>
      </c>
      <c r="D28" t="s">
        <v>327</v>
      </c>
      <c r="E28" t="s">
        <v>247</v>
      </c>
      <c r="F28" t="n">
        <v>273.816920788198</v>
      </c>
      <c r="G28" t="n">
        <v>276.559007262471</v>
      </c>
      <c r="H28" t="n">
        <v>279.953202246056</v>
      </c>
      <c r="I28" t="n">
        <v>284.178396632438</v>
      </c>
      <c r="J28" t="n">
        <v>289.961487524626</v>
      </c>
      <c r="K28" t="n">
        <v>296.720496557834</v>
      </c>
      <c r="L28" t="n">
        <v>307.057342797902</v>
      </c>
      <c r="M28" t="n">
        <v>316.430116374278</v>
      </c>
      <c r="N28" t="n">
        <v>324.864844839828</v>
      </c>
      <c r="O28" t="n">
        <v>330.219075705337</v>
      </c>
      <c r="P28" t="n">
        <v>335.957857614771</v>
      </c>
      <c r="Q28" t="n">
        <v>339.622019661012</v>
      </c>
      <c r="R28" t="n">
        <v>343.250225115468</v>
      </c>
      <c r="S28" t="n">
        <v>353.920110882191</v>
      </c>
      <c r="T28" t="n">
        <v>355.907838374583</v>
      </c>
      <c r="U28" t="n">
        <v>341.011845139174</v>
      </c>
      <c r="V28" t="n">
        <v>303.981724532037</v>
      </c>
      <c r="W28" t="n">
        <v>260.344958250392</v>
      </c>
      <c r="X28" t="n">
        <v>247.595554945126</v>
      </c>
      <c r="Y28" t="n">
        <v>222.57315915874</v>
      </c>
      <c r="Z28" t="n">
        <v>271.078757982299</v>
      </c>
      <c r="AA28" t="n">
        <v>331.496311421897</v>
      </c>
      <c r="AB28" t="n">
        <v>403.344224412479</v>
      </c>
      <c r="AC28" t="n">
        <v>505.493776236381</v>
      </c>
      <c r="AD28" t="n">
        <v>592.572119357307</v>
      </c>
      <c r="AE28" t="n">
        <v>651.6</v>
      </c>
      <c r="AF28" t="n">
        <v>602.1</v>
      </c>
    </row>
    <row r="29">
      <c r="A29" t="s">
        <v>149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149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149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149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149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149</v>
      </c>
      <c r="B34" t="s">
        <v>338</v>
      </c>
      <c r="C34" t="s">
        <v>246</v>
      </c>
      <c r="D34" t="s">
        <v>339</v>
      </c>
      <c r="E34" t="s">
        <v>247</v>
      </c>
      <c r="F34" t="n">
        <v>8.53757483298089</v>
      </c>
      <c r="G34" t="n">
        <v>9.06296405347202</v>
      </c>
      <c r="H34" t="n">
        <v>9.47491696499347</v>
      </c>
      <c r="I34" t="n">
        <v>9.88686987651493</v>
      </c>
      <c r="J34" t="n">
        <v>10.2931795974676</v>
      </c>
      <c r="K34" t="n">
        <v>10.7049067813663</v>
      </c>
      <c r="L34" t="n">
        <v>11.2401521204346</v>
      </c>
      <c r="M34" t="n">
        <v>11.6415861247359</v>
      </c>
      <c r="N34" t="n">
        <v>12.0296389955604</v>
      </c>
      <c r="O34" t="n">
        <v>12.2802564746346</v>
      </c>
      <c r="P34" t="n">
        <v>12.5210458172745</v>
      </c>
      <c r="Q34" t="n">
        <v>12.6359177972494</v>
      </c>
      <c r="R34" t="n">
        <v>12.7457953433125</v>
      </c>
      <c r="S34" t="n">
        <v>13.1706551880896</v>
      </c>
      <c r="T34" t="n">
        <v>14.8431193389581</v>
      </c>
      <c r="U34" t="n">
        <v>17.0695872398018</v>
      </c>
      <c r="V34" t="n">
        <v>17.3837514221294</v>
      </c>
      <c r="W34" t="n">
        <v>18.7533803220548</v>
      </c>
      <c r="X34" t="n">
        <v>18.7533803220548</v>
      </c>
      <c r="Y34" t="n">
        <v>19.2772177612183</v>
      </c>
      <c r="Z34" t="n">
        <v>19.4812094835593</v>
      </c>
      <c r="AA34" t="n">
        <v>22.3784149964989</v>
      </c>
      <c r="AB34" t="n">
        <v>29.600539836278</v>
      </c>
      <c r="AC34" t="n">
        <v>51.3210724806459</v>
      </c>
      <c r="AD34" t="n">
        <v>63.202799377916</v>
      </c>
      <c r="AE34" t="n">
        <v>64.1</v>
      </c>
      <c r="AF34" t="n">
        <v>57.6</v>
      </c>
    </row>
    <row r="35">
      <c r="A35" t="s">
        <v>149</v>
      </c>
      <c r="B35" t="s">
        <v>340</v>
      </c>
      <c r="C35" t="s">
        <v>246</v>
      </c>
      <c r="D35" t="s">
        <v>341</v>
      </c>
      <c r="E35" t="s">
        <v>247</v>
      </c>
      <c r="F35" t="n">
        <v>3622.60218084521</v>
      </c>
      <c r="G35" t="n">
        <v>3778.11957973454</v>
      </c>
      <c r="H35" t="n">
        <v>3920.78489350959</v>
      </c>
      <c r="I35" t="n">
        <v>4059.26495510334</v>
      </c>
      <c r="J35" t="n">
        <v>4205.46359021143</v>
      </c>
      <c r="K35" t="n">
        <v>4354.92511754992</v>
      </c>
      <c r="L35" t="n">
        <v>4551.81627991694</v>
      </c>
      <c r="M35" t="n">
        <v>4724.97746523506</v>
      </c>
      <c r="N35" t="n">
        <v>4878.29871015223</v>
      </c>
      <c r="O35" t="n">
        <v>4980.40727004412</v>
      </c>
      <c r="P35" t="n">
        <v>5083.11210367677</v>
      </c>
      <c r="Q35" t="n">
        <v>5151.2334537756</v>
      </c>
      <c r="R35" t="n">
        <v>5216.20931434633</v>
      </c>
      <c r="S35" t="n">
        <v>5388.30122541464</v>
      </c>
      <c r="T35" t="n">
        <v>5905.69697879562</v>
      </c>
      <c r="U35" t="n">
        <v>6119.35461051682</v>
      </c>
      <c r="V35" t="n">
        <v>6198.96260509095</v>
      </c>
      <c r="W35" t="n">
        <v>6266.52479423048</v>
      </c>
      <c r="X35" t="n">
        <v>6497.27328401239</v>
      </c>
      <c r="Y35" t="n">
        <v>6361.0396258707</v>
      </c>
      <c r="Z35" t="n">
        <v>6418.73613041374</v>
      </c>
      <c r="AA35" t="n">
        <v>6574.64429486773</v>
      </c>
      <c r="AB35" t="n">
        <v>6668.42988615377</v>
      </c>
      <c r="AC35" t="n">
        <v>6845.92199065108</v>
      </c>
      <c r="AD35" t="n">
        <v>7335.70097787605</v>
      </c>
      <c r="AE35" t="n">
        <v>7576</v>
      </c>
      <c r="AF35" t="n">
        <v>7550.1</v>
      </c>
    </row>
    <row r="36">
      <c r="A36" t="s">
        <v>149</v>
      </c>
      <c r="B36" t="s">
        <v>342</v>
      </c>
      <c r="C36" t="s">
        <v>246</v>
      </c>
      <c r="D36" t="s">
        <v>343</v>
      </c>
      <c r="E36" t="s">
        <v>247</v>
      </c>
      <c r="F36" t="n">
        <v>52.8898399788829</v>
      </c>
      <c r="G36" t="n">
        <v>54.7046874291387</v>
      </c>
      <c r="H36" t="n">
        <v>56.3215747423152</v>
      </c>
      <c r="I36" t="n">
        <v>58.0816239530125</v>
      </c>
      <c r="J36" t="n">
        <v>59.9552247256903</v>
      </c>
      <c r="K36" t="n">
        <v>61.8372272955551</v>
      </c>
      <c r="L36" t="n">
        <v>64.4742092697792</v>
      </c>
      <c r="M36" t="n">
        <v>66.8378259028871</v>
      </c>
      <c r="N36" t="n">
        <v>68.8709156641917</v>
      </c>
      <c r="O36" t="n">
        <v>70.2334697510732</v>
      </c>
      <c r="P36" t="n">
        <v>71.6619471019425</v>
      </c>
      <c r="Q36" t="n">
        <v>72.5733868107112</v>
      </c>
      <c r="R36" t="n">
        <v>73.4490837858028</v>
      </c>
      <c r="S36" t="n">
        <v>75.8938434487166</v>
      </c>
      <c r="T36" t="n">
        <v>79.6468357071696</v>
      </c>
      <c r="U36" t="n">
        <v>79.5407813320602</v>
      </c>
      <c r="V36" t="n">
        <v>78.7068019734017</v>
      </c>
      <c r="W36" t="n">
        <v>72.1916861892216</v>
      </c>
      <c r="X36" t="n">
        <v>74.3306991133466</v>
      </c>
      <c r="Y36" t="n">
        <v>79.1600948184511</v>
      </c>
      <c r="Z36" t="n">
        <v>91.8420738332934</v>
      </c>
      <c r="AA36" t="n">
        <v>110.150461100715</v>
      </c>
      <c r="AB36" t="n">
        <v>137.180002293325</v>
      </c>
      <c r="AC36" t="n">
        <v>174.151932219214</v>
      </c>
      <c r="AD36" t="n">
        <v>212.397454031117</v>
      </c>
      <c r="AE36" t="n">
        <v>282</v>
      </c>
      <c r="AF36"/>
    </row>
    <row r="37">
      <c r="A37" t="s">
        <v>149</v>
      </c>
      <c r="B37" t="s">
        <v>344</v>
      </c>
      <c r="C37" t="s">
        <v>246</v>
      </c>
      <c r="D37" t="s">
        <v>345</v>
      </c>
      <c r="E37" t="s">
        <v>247</v>
      </c>
      <c r="F37" t="n">
        <v>2756.67105803863</v>
      </c>
      <c r="G37" t="n">
        <v>2871.96759764871</v>
      </c>
      <c r="H37" t="n">
        <v>2978.11556349431</v>
      </c>
      <c r="I37" t="n">
        <v>3081.42959539952</v>
      </c>
      <c r="J37" t="n">
        <v>3190.90904591042</v>
      </c>
      <c r="K37" t="n">
        <v>3303.06991103156</v>
      </c>
      <c r="L37" t="n">
        <v>3451.46294353679</v>
      </c>
      <c r="M37" t="n">
        <v>3581.99320437416</v>
      </c>
      <c r="N37" t="n">
        <v>3697.62380362362</v>
      </c>
      <c r="O37" t="n">
        <v>3774.57980519428</v>
      </c>
      <c r="P37" t="n">
        <v>3852.05613442349</v>
      </c>
      <c r="Q37" t="n">
        <v>3903.46267935902</v>
      </c>
      <c r="R37" t="n">
        <v>3952.49784032664</v>
      </c>
      <c r="S37" t="n">
        <v>4082.66161955242</v>
      </c>
      <c r="T37" t="n">
        <v>4490.9591648701</v>
      </c>
      <c r="U37" t="n">
        <v>4599.59938918258</v>
      </c>
      <c r="V37" t="n">
        <v>4619.89420089795</v>
      </c>
      <c r="W37" t="n">
        <v>4584.26817730954</v>
      </c>
      <c r="X37" t="n">
        <v>4335.41310811855</v>
      </c>
      <c r="Y37" t="n">
        <v>4177.73496486569</v>
      </c>
      <c r="Z37" t="n">
        <v>4093.23708095621</v>
      </c>
      <c r="AA37" t="n">
        <v>3785.22676580767</v>
      </c>
      <c r="AB37" t="n">
        <v>3435.89625226925</v>
      </c>
      <c r="AC37" t="n">
        <v>3094.54927366117</v>
      </c>
      <c r="AD37" t="n">
        <v>2835.82973676156</v>
      </c>
      <c r="AE37" t="n">
        <v>2606</v>
      </c>
      <c r="AF37"/>
    </row>
    <row r="38">
      <c r="A38" t="s">
        <v>149</v>
      </c>
      <c r="B38" t="s">
        <v>346</v>
      </c>
      <c r="C38" t="s">
        <v>246</v>
      </c>
      <c r="D38" t="s">
        <v>347</v>
      </c>
      <c r="E38" t="s">
        <v>247</v>
      </c>
      <c r="F38" t="n">
        <v>812.97249554192</v>
      </c>
      <c r="G38" t="n">
        <v>851.380644937602</v>
      </c>
      <c r="H38" t="n">
        <v>886.283312946688</v>
      </c>
      <c r="I38" t="n">
        <v>919.689376280833</v>
      </c>
      <c r="J38" t="n">
        <v>954.534248787669</v>
      </c>
      <c r="K38" t="n">
        <v>989.952457707421</v>
      </c>
      <c r="L38" t="n">
        <v>1035.81181643908</v>
      </c>
      <c r="M38" t="n">
        <v>1076.07725156703</v>
      </c>
      <c r="N38" t="n">
        <v>1111.7334930382</v>
      </c>
      <c r="O38" t="n">
        <v>1135.52254716886</v>
      </c>
      <c r="P38" t="n">
        <v>1159.32128196471</v>
      </c>
      <c r="Q38" t="n">
        <v>1175.1239624182</v>
      </c>
      <c r="R38" t="n">
        <v>1190.18824452275</v>
      </c>
      <c r="S38" t="n">
        <v>1229.66911689799</v>
      </c>
      <c r="T38" t="n">
        <v>1335.01851290924</v>
      </c>
      <c r="U38" t="n">
        <v>1440.15148682558</v>
      </c>
      <c r="V38" t="n">
        <v>1500.30600556193</v>
      </c>
      <c r="W38" t="n">
        <v>1610.03821604391</v>
      </c>
      <c r="X38" t="n">
        <v>2087.51112368299</v>
      </c>
      <c r="Y38" t="n">
        <v>2104.12038733199</v>
      </c>
      <c r="Z38" t="n">
        <v>2233.63304827921</v>
      </c>
      <c r="AA38" t="n">
        <v>2679.2595924087</v>
      </c>
      <c r="AB38" t="n">
        <v>3095.35364697915</v>
      </c>
      <c r="AC38" t="n">
        <v>3577.21902004434</v>
      </c>
      <c r="AD38" t="n">
        <v>4287.47048939745</v>
      </c>
      <c r="AE38" t="n">
        <v>4688</v>
      </c>
      <c r="AF38"/>
    </row>
    <row r="39">
      <c r="A39" t="s">
        <v>149</v>
      </c>
      <c r="B39" t="s">
        <v>348</v>
      </c>
      <c r="C39" t="s">
        <v>246</v>
      </c>
      <c r="D39" t="s">
        <v>349</v>
      </c>
      <c r="E39" t="s">
        <v>247</v>
      </c>
      <c r="F39" t="n">
        <v>1919.72365222662</v>
      </c>
      <c r="G39" t="n">
        <v>1986.84411731365</v>
      </c>
      <c r="H39" t="n">
        <v>2049.83234295136</v>
      </c>
      <c r="I39" t="n">
        <v>2112.80764169079</v>
      </c>
      <c r="J39" t="n">
        <v>2181.27514596408</v>
      </c>
      <c r="K39" t="n">
        <v>2252.6328459064</v>
      </c>
      <c r="L39" t="n">
        <v>2349.49605828038</v>
      </c>
      <c r="M39" t="n">
        <v>2434.89628017405</v>
      </c>
      <c r="N39" t="n">
        <v>2510.79910832537</v>
      </c>
      <c r="O39" t="n">
        <v>2560.98520299133</v>
      </c>
      <c r="P39" t="n">
        <v>2611.92271800087</v>
      </c>
      <c r="Q39" t="n">
        <v>2645.47055932887</v>
      </c>
      <c r="R39" t="n">
        <v>2677.68546618575</v>
      </c>
      <c r="S39" t="n">
        <v>2765.07088206103</v>
      </c>
      <c r="T39" t="n">
        <v>2783.48376421172</v>
      </c>
      <c r="U39" t="n">
        <v>2818.17488731961</v>
      </c>
      <c r="V39" t="n">
        <v>2468.74087003307</v>
      </c>
      <c r="W39" t="n">
        <v>2318.8455020917</v>
      </c>
      <c r="X39" t="n">
        <v>2128.57246514313</v>
      </c>
      <c r="Y39" t="n">
        <v>1991.58773051175</v>
      </c>
      <c r="Z39" t="n">
        <v>1943.70613912782</v>
      </c>
      <c r="AA39" t="n">
        <v>1926.90349266423</v>
      </c>
      <c r="AB39" t="n">
        <v>1892.45457989062</v>
      </c>
      <c r="AC39" t="n">
        <v>1823.65458155059</v>
      </c>
      <c r="AD39" t="n">
        <v>1780.31507391763</v>
      </c>
      <c r="AE39" t="n">
        <v>1888.5</v>
      </c>
      <c r="AF39" t="n">
        <v>1889.4</v>
      </c>
    </row>
    <row r="40">
      <c r="A40" t="s">
        <v>149</v>
      </c>
      <c r="B40" t="s">
        <v>350</v>
      </c>
      <c r="C40" t="s">
        <v>246</v>
      </c>
      <c r="D40" t="s">
        <v>351</v>
      </c>
      <c r="E40" t="s">
        <v>247</v>
      </c>
      <c r="F40" t="n">
        <v>49.066735220615</v>
      </c>
      <c r="G40" t="n">
        <v>48.4036712311472</v>
      </c>
      <c r="H40" t="n">
        <v>48.1278668366678</v>
      </c>
      <c r="I40" t="n">
        <v>48.1278668366678</v>
      </c>
      <c r="J40" t="n">
        <v>48.4005459688869</v>
      </c>
      <c r="K40" t="n">
        <v>48.947444793394</v>
      </c>
      <c r="L40" t="n">
        <v>50.2884706781446</v>
      </c>
      <c r="M40" t="n">
        <v>51.4889911983125</v>
      </c>
      <c r="N40" t="n">
        <v>52.5213519240932</v>
      </c>
      <c r="O40" t="n">
        <v>53.1495977605058</v>
      </c>
      <c r="P40" t="n">
        <v>53.8727215395603</v>
      </c>
      <c r="Q40" t="n">
        <v>54.3341581266229</v>
      </c>
      <c r="R40" t="n">
        <v>54.7767989260251</v>
      </c>
      <c r="S40" t="n">
        <v>56.3878812473788</v>
      </c>
      <c r="T40" t="n">
        <v>48.2873833816173</v>
      </c>
      <c r="U40" t="n">
        <v>45.7177665276066</v>
      </c>
      <c r="V40" t="n">
        <v>39.7271626377823</v>
      </c>
      <c r="W40" t="n">
        <v>34.5499526131777</v>
      </c>
      <c r="X40" t="n">
        <v>28.3266692232264</v>
      </c>
      <c r="Y40" t="n">
        <v>27.4842403987438</v>
      </c>
      <c r="Z40" t="n">
        <v>24.8277710665233</v>
      </c>
      <c r="AA40" t="n">
        <v>38.843448281496</v>
      </c>
      <c r="AB40" t="n">
        <v>39.964912667576</v>
      </c>
      <c r="AC40" t="n">
        <v>43.7084614490958</v>
      </c>
      <c r="AD40" t="n">
        <v>52.7102040816327</v>
      </c>
      <c r="AE40" t="n">
        <v>58.7</v>
      </c>
      <c r="AF40" t="n">
        <v>54</v>
      </c>
    </row>
    <row r="41">
      <c r="A41" t="s">
        <v>149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149</v>
      </c>
      <c r="B42" t="s">
        <v>354</v>
      </c>
      <c r="C42" t="s">
        <v>246</v>
      </c>
      <c r="D42" t="s">
        <v>355</v>
      </c>
      <c r="E42" t="s">
        <v>247</v>
      </c>
      <c r="F42" t="n">
        <v>25795.5054606311</v>
      </c>
      <c r="G42" t="n">
        <v>26527.9272263398</v>
      </c>
      <c r="H42" t="n">
        <v>27385.9744876674</v>
      </c>
      <c r="I42" t="n">
        <v>28417.5352141535</v>
      </c>
      <c r="J42" t="n">
        <v>29567.6871186203</v>
      </c>
      <c r="K42" t="n">
        <v>31062.518539365</v>
      </c>
      <c r="L42" t="n">
        <v>32863.5207830882</v>
      </c>
      <c r="M42" t="n">
        <v>34597.7508291917</v>
      </c>
      <c r="N42" t="n">
        <v>35847.896317325</v>
      </c>
      <c r="O42" t="n">
        <v>36524.8238665601</v>
      </c>
      <c r="P42" t="n">
        <v>37317.9086379403</v>
      </c>
      <c r="Q42" t="n">
        <v>37818.6011602033</v>
      </c>
      <c r="R42" t="n">
        <v>38355.0344394446</v>
      </c>
      <c r="S42" t="n">
        <v>38741.5839298994</v>
      </c>
      <c r="T42" t="n">
        <v>39472.2986423507</v>
      </c>
      <c r="U42" t="n">
        <v>40014.7642269749</v>
      </c>
      <c r="V42" t="n">
        <v>40244.2874223662</v>
      </c>
      <c r="W42" t="n">
        <v>40437.8111273564</v>
      </c>
      <c r="X42" t="n">
        <v>40573.2216057122</v>
      </c>
      <c r="Y42" t="n">
        <v>40133.9154224862</v>
      </c>
      <c r="Z42" t="n">
        <v>39808.5973685864</v>
      </c>
      <c r="AA42" t="n">
        <v>39616.5829109531</v>
      </c>
      <c r="AB42" t="n">
        <v>39580.1038335388</v>
      </c>
      <c r="AC42" t="n">
        <v>39831.3467494362</v>
      </c>
      <c r="AD42" t="n">
        <v>40120.0296247539</v>
      </c>
      <c r="AE42" t="n">
        <v>40370.5</v>
      </c>
      <c r="AF42" t="n">
        <v>41233</v>
      </c>
    </row>
    <row r="43">
      <c r="A43" t="s">
        <v>149</v>
      </c>
      <c r="B43" t="s">
        <v>356</v>
      </c>
      <c r="C43" t="s">
        <v>246</v>
      </c>
      <c r="D43" t="s">
        <v>357</v>
      </c>
      <c r="E43" t="s">
        <v>247</v>
      </c>
      <c r="F43" t="n">
        <v>25849.1160357455</v>
      </c>
      <c r="G43" t="n">
        <v>26581.6741472382</v>
      </c>
      <c r="H43" t="n">
        <v>27440.0013982212</v>
      </c>
      <c r="I43" t="n">
        <v>28472.114350754</v>
      </c>
      <c r="J43" t="n">
        <v>29623.0829517933</v>
      </c>
      <c r="K43" t="n">
        <v>31119.008502645</v>
      </c>
      <c r="L43" t="n">
        <v>32921.8759789896</v>
      </c>
      <c r="M43" t="n">
        <v>34659.0245569454</v>
      </c>
      <c r="N43" t="n">
        <v>35912.882650871</v>
      </c>
      <c r="O43" t="n">
        <v>36598.4069839618</v>
      </c>
      <c r="P43" t="n">
        <v>37438.3657186594</v>
      </c>
      <c r="Q43" t="n">
        <v>37974.4393505252</v>
      </c>
      <c r="R43" t="n">
        <v>38539.1313777189</v>
      </c>
      <c r="S43" t="n">
        <v>38948.728278603</v>
      </c>
      <c r="T43" t="n">
        <v>39682.1651102141</v>
      </c>
      <c r="U43" t="n">
        <v>40215.9071232002</v>
      </c>
      <c r="V43" t="n">
        <v>40440.7231046574</v>
      </c>
      <c r="W43" t="n">
        <v>40628.660647945</v>
      </c>
      <c r="X43" t="n">
        <v>40761.3930877877</v>
      </c>
      <c r="Y43" t="n">
        <v>40341.6396304244</v>
      </c>
      <c r="Z43" t="n">
        <v>40067.2672534999</v>
      </c>
      <c r="AA43" t="n">
        <v>39959.959038777</v>
      </c>
      <c r="AB43" t="n">
        <v>40002.9413776947</v>
      </c>
      <c r="AC43" t="n">
        <v>40391.3733934461</v>
      </c>
      <c r="AD43" t="n">
        <v>40789.198918974</v>
      </c>
      <c r="AE43" t="n">
        <v>41063.5</v>
      </c>
      <c r="AF43" t="n">
        <v>41917</v>
      </c>
    </row>
    <row r="44">
      <c r="A44" t="s">
        <v>149</v>
      </c>
      <c r="B44" t="s">
        <v>358</v>
      </c>
      <c r="C44" t="s">
        <v>246</v>
      </c>
      <c r="D44" t="s">
        <v>359</v>
      </c>
      <c r="E44" t="s">
        <v>247</v>
      </c>
      <c r="F44" t="n">
        <v>59921.1865178469</v>
      </c>
      <c r="G44" t="n">
        <v>62025.4963856018</v>
      </c>
      <c r="H44" t="n">
        <v>64152.2252330101</v>
      </c>
      <c r="I44" t="n">
        <v>66425.2572270305</v>
      </c>
      <c r="J44" t="n">
        <v>68906.4494823671</v>
      </c>
      <c r="K44" t="n">
        <v>71774.3193737241</v>
      </c>
      <c r="L44" t="n">
        <v>75394.9686073805</v>
      </c>
      <c r="M44" t="n">
        <v>78733.1410136536</v>
      </c>
      <c r="N44" t="n">
        <v>81405.0301771027</v>
      </c>
      <c r="O44" t="n">
        <v>83037.2003098993</v>
      </c>
      <c r="P44" t="n">
        <v>84840.9792253492</v>
      </c>
      <c r="Q44" t="n">
        <v>86028.5255466334</v>
      </c>
      <c r="R44" t="n">
        <v>87213.7534580056</v>
      </c>
      <c r="S44" t="n">
        <v>89231.3233609213</v>
      </c>
      <c r="T44" t="n">
        <v>92012.6428316166</v>
      </c>
      <c r="U44" t="n">
        <v>94502.2606199748</v>
      </c>
      <c r="V44" t="n">
        <v>96582.3039789134</v>
      </c>
      <c r="W44" t="n">
        <v>97671.139027961</v>
      </c>
      <c r="X44" t="n">
        <v>98557.5236085951</v>
      </c>
      <c r="Y44" t="n">
        <v>98404.8858567102</v>
      </c>
      <c r="Z44" t="n">
        <v>99996.7029699347</v>
      </c>
      <c r="AA44" t="n">
        <v>103302.967578022</v>
      </c>
      <c r="AB44" t="n">
        <v>106372.700568915</v>
      </c>
      <c r="AC44" t="n">
        <v>109399.950822485</v>
      </c>
      <c r="AD44" t="n">
        <v>113063.864296084</v>
      </c>
      <c r="AE44" t="n">
        <v>115319.5</v>
      </c>
      <c r="AF44" t="n">
        <v>117528.5</v>
      </c>
    </row>
    <row r="45">
      <c r="A45" t="s">
        <v>149</v>
      </c>
      <c r="B45" t="s">
        <v>360</v>
      </c>
      <c r="C45" t="s">
        <v>246</v>
      </c>
      <c r="D45" t="s">
        <v>361</v>
      </c>
      <c r="E45" t="s">
        <v>247</v>
      </c>
      <c r="F45" t="n">
        <v>59915.4510160982</v>
      </c>
      <c r="G45" t="n">
        <v>62019.3649091443</v>
      </c>
      <c r="H45" t="n">
        <v>64145.8214792685</v>
      </c>
      <c r="I45" t="n">
        <v>66418.4446489547</v>
      </c>
      <c r="J45" t="n">
        <v>68899.3696565994</v>
      </c>
      <c r="K45" t="n">
        <v>71766.8375629863</v>
      </c>
      <c r="L45" t="n">
        <v>75387.0928621444</v>
      </c>
      <c r="M45" t="n">
        <v>78724.8712310599</v>
      </c>
      <c r="N45" t="n">
        <v>81396.5060522488</v>
      </c>
      <c r="O45" t="n">
        <v>83028.4284994026</v>
      </c>
      <c r="P45" t="n">
        <v>84832.0895016801</v>
      </c>
      <c r="Q45" t="n">
        <v>86019.5235029513</v>
      </c>
      <c r="R45" t="n">
        <v>87204.5332225154</v>
      </c>
      <c r="S45" t="n">
        <v>89221.7844816495</v>
      </c>
      <c r="T45" t="n">
        <v>92001.2235973689</v>
      </c>
      <c r="U45" t="n">
        <v>94485.2037498964</v>
      </c>
      <c r="V45" t="n">
        <v>96560.5416648238</v>
      </c>
      <c r="W45" t="n">
        <v>97645.8989800221</v>
      </c>
      <c r="X45" t="n">
        <v>98529.3914635525</v>
      </c>
      <c r="Y45" t="n">
        <v>98370.8667907997</v>
      </c>
      <c r="Z45" t="n">
        <v>99956.544907699</v>
      </c>
      <c r="AA45" t="n">
        <v>103251.20677934</v>
      </c>
      <c r="AB45" t="n">
        <v>106308.440178089</v>
      </c>
      <c r="AC45" t="n">
        <v>109322.456160582</v>
      </c>
      <c r="AD45" t="n">
        <v>112964.500971923</v>
      </c>
      <c r="AE45" t="n">
        <v>115198.7</v>
      </c>
      <c r="AF45" t="n">
        <v>117388.6</v>
      </c>
    </row>
    <row r="46">
      <c r="A46" t="s">
        <v>149</v>
      </c>
      <c r="B46" t="s">
        <v>362</v>
      </c>
      <c r="C46" t="s">
        <v>246</v>
      </c>
      <c r="D46" t="s">
        <v>363</v>
      </c>
      <c r="E46" t="s">
        <v>247</v>
      </c>
      <c r="F46" t="n">
        <v>53.5479612998895</v>
      </c>
      <c r="G46" t="n">
        <v>53.6788854106472</v>
      </c>
      <c r="H46" t="n">
        <v>53.9513670624779</v>
      </c>
      <c r="I46" t="n">
        <v>54.4977100200726</v>
      </c>
      <c r="J46" t="n">
        <v>55.3070819510638</v>
      </c>
      <c r="K46" t="n">
        <v>56.3915345383396</v>
      </c>
      <c r="L46" t="n">
        <v>58.2491380290143</v>
      </c>
      <c r="M46" t="n">
        <v>61.161594930465</v>
      </c>
      <c r="N46" t="n">
        <v>64.8722356270832</v>
      </c>
      <c r="O46" t="n">
        <v>73.4802822776</v>
      </c>
      <c r="P46" t="n">
        <v>120.392775197501</v>
      </c>
      <c r="Q46" t="n">
        <v>155.788938409706</v>
      </c>
      <c r="R46" t="n">
        <v>184.064190649321</v>
      </c>
      <c r="S46" t="n">
        <v>207.125597366405</v>
      </c>
      <c r="T46" t="n">
        <v>209.846802789107</v>
      </c>
      <c r="U46" t="n">
        <v>201.116494403157</v>
      </c>
      <c r="V46" t="n">
        <v>196.407731526913</v>
      </c>
      <c r="W46" t="n">
        <v>190.820179314929</v>
      </c>
      <c r="X46" t="n">
        <v>188.141625422243</v>
      </c>
      <c r="Y46" t="n">
        <v>207.691537337627</v>
      </c>
      <c r="Z46" t="n">
        <v>258.642466201734</v>
      </c>
      <c r="AA46" t="n">
        <v>343.356375278637</v>
      </c>
      <c r="AB46" t="n">
        <v>422.819141028235</v>
      </c>
      <c r="AC46" t="n">
        <v>560.020668750181</v>
      </c>
      <c r="AD46" t="n">
        <v>669.168776978417</v>
      </c>
      <c r="AE46" t="n">
        <v>693</v>
      </c>
      <c r="AF46" t="n">
        <v>684</v>
      </c>
    </row>
    <row r="47">
      <c r="A47" t="s">
        <v>149</v>
      </c>
      <c r="B47" t="s">
        <v>364</v>
      </c>
      <c r="C47" t="s">
        <v>246</v>
      </c>
      <c r="D47" t="s">
        <v>365</v>
      </c>
      <c r="E47" t="s">
        <v>247</v>
      </c>
      <c r="F47" t="n">
        <v>13.2684868701631</v>
      </c>
      <c r="G47" t="n">
        <v>16.0272811699</v>
      </c>
      <c r="H47" t="n">
        <v>19.5587160039457</v>
      </c>
      <c r="I47" t="n">
        <v>22.2752043378271</v>
      </c>
      <c r="J47" t="n">
        <v>26.0324677201112</v>
      </c>
      <c r="K47" t="n">
        <v>30.0789652931854</v>
      </c>
      <c r="L47" t="n">
        <v>34.7166912194475</v>
      </c>
      <c r="M47" t="n">
        <v>38.0167569247182</v>
      </c>
      <c r="N47" t="n">
        <v>41.6008282846243</v>
      </c>
      <c r="O47" t="n">
        <v>45.2128762494569</v>
      </c>
      <c r="P47" t="n">
        <v>48.8011997613186</v>
      </c>
      <c r="Q47" t="n">
        <v>52.2379039698621</v>
      </c>
      <c r="R47" t="n">
        <v>54.6573437326768</v>
      </c>
      <c r="S47" t="n">
        <v>57.3261593446239</v>
      </c>
      <c r="T47" t="n">
        <v>61.82437987714</v>
      </c>
      <c r="U47" t="n">
        <v>97.5782381193415</v>
      </c>
      <c r="V47" t="n">
        <v>171.938503181348</v>
      </c>
      <c r="W47" t="n">
        <v>193.33857439276</v>
      </c>
      <c r="X47" t="n">
        <v>240.92301287967</v>
      </c>
      <c r="Y47" t="n">
        <v>277.72923483859</v>
      </c>
      <c r="Z47" t="n">
        <v>413.216893986081</v>
      </c>
      <c r="AA47" t="n">
        <v>553.256509473981</v>
      </c>
      <c r="AB47" t="n">
        <v>759.863872398412</v>
      </c>
      <c r="AC47" t="n">
        <v>940.71167609382</v>
      </c>
      <c r="AD47" t="n">
        <v>1112.47644073091</v>
      </c>
      <c r="AE47" t="n">
        <v>1276.9</v>
      </c>
      <c r="AF47" t="n">
        <v>1441.6</v>
      </c>
    </row>
    <row r="48">
      <c r="A48" t="s">
        <v>149</v>
      </c>
      <c r="B48" t="s">
        <v>366</v>
      </c>
      <c r="C48" t="s">
        <v>246</v>
      </c>
      <c r="D48" t="s">
        <v>367</v>
      </c>
      <c r="E48" t="s">
        <v>247</v>
      </c>
      <c r="F48" t="n">
        <v>2242.98534893138</v>
      </c>
      <c r="G48" t="n">
        <v>2371.34621508959</v>
      </c>
      <c r="H48" t="n">
        <v>2502.06957676634</v>
      </c>
      <c r="I48" t="n">
        <v>2623.7926173009</v>
      </c>
      <c r="J48" t="n">
        <v>2745.78881886403</v>
      </c>
      <c r="K48" t="n">
        <v>2870.38854772478</v>
      </c>
      <c r="L48" t="n">
        <v>3020.64569646317</v>
      </c>
      <c r="M48" t="n">
        <v>3161.21144262822</v>
      </c>
      <c r="N48" t="n">
        <v>3375.74092858969</v>
      </c>
      <c r="O48" t="n">
        <v>3604.61738389044</v>
      </c>
      <c r="P48" t="n">
        <v>3787.07819683424</v>
      </c>
      <c r="Q48" t="n">
        <v>3926.42435452274</v>
      </c>
      <c r="R48" t="n">
        <v>4184.48422458897</v>
      </c>
      <c r="S48" t="n">
        <v>4450.8025637336</v>
      </c>
      <c r="T48" t="n">
        <v>4635.03214521947</v>
      </c>
      <c r="U48" t="n">
        <v>4862.64960644555</v>
      </c>
      <c r="V48" t="n">
        <v>4920.08494710688</v>
      </c>
      <c r="W48" t="n">
        <v>4869.69929699296</v>
      </c>
      <c r="X48" t="n">
        <v>4871.19914937791</v>
      </c>
      <c r="Y48" t="n">
        <v>4847.86129385939</v>
      </c>
      <c r="Z48" t="n">
        <v>4999.57755145733</v>
      </c>
      <c r="AA48" t="n">
        <v>5057.98313026253</v>
      </c>
      <c r="AB48" t="n">
        <v>5130.63778186446</v>
      </c>
      <c r="AC48" t="n">
        <v>5166.80460590864</v>
      </c>
      <c r="AD48" t="n">
        <v>5250.48483202575</v>
      </c>
      <c r="AE48" t="n">
        <v>5452.3</v>
      </c>
      <c r="AF48" t="n">
        <v>5720.8</v>
      </c>
    </row>
    <row r="49">
      <c r="A49" t="s">
        <v>149</v>
      </c>
      <c r="B49" t="s">
        <v>368</v>
      </c>
      <c r="C49" t="s">
        <v>246</v>
      </c>
      <c r="D49" t="s">
        <v>369</v>
      </c>
      <c r="E49" t="s">
        <v>247</v>
      </c>
      <c r="F49" t="n">
        <v>64.3883743199813</v>
      </c>
      <c r="G49" t="n">
        <v>68.1759257505685</v>
      </c>
      <c r="H49" t="n">
        <v>72.6576101126576</v>
      </c>
      <c r="I49" t="n">
        <v>78.7919299157901</v>
      </c>
      <c r="J49" t="n">
        <v>85.245876393534</v>
      </c>
      <c r="K49" t="n">
        <v>91.5954107683297</v>
      </c>
      <c r="L49" t="n">
        <v>98.6208185407197</v>
      </c>
      <c r="M49" t="n">
        <v>106.278124397964</v>
      </c>
      <c r="N49" t="n">
        <v>113.431459693981</v>
      </c>
      <c r="O49" t="n">
        <v>118.661011073945</v>
      </c>
      <c r="P49" t="n">
        <v>123.565347217122</v>
      </c>
      <c r="Q49" t="n">
        <v>124.02342079346</v>
      </c>
      <c r="R49" t="n">
        <v>125.562718569265</v>
      </c>
      <c r="S49" t="n">
        <v>128.656447404022</v>
      </c>
      <c r="T49" t="n">
        <v>131.585212060374</v>
      </c>
      <c r="U49" t="n">
        <v>135.20486999731</v>
      </c>
      <c r="V49" t="n">
        <v>136.56634428853</v>
      </c>
      <c r="W49" t="n">
        <v>134.457211558205</v>
      </c>
      <c r="X49" t="n">
        <v>118.052145076223</v>
      </c>
      <c r="Y49" t="n">
        <v>101.533262030798</v>
      </c>
      <c r="Z49" t="n">
        <v>89.5580688275687</v>
      </c>
      <c r="AA49" t="n">
        <v>87.0564467932791</v>
      </c>
      <c r="AB49" t="n">
        <v>100.481039055794</v>
      </c>
      <c r="AC49" t="n">
        <v>100.986476878006</v>
      </c>
      <c r="AD49" t="n">
        <v>104.082995951417</v>
      </c>
      <c r="AE49" t="n">
        <v>98.5</v>
      </c>
      <c r="AF49" t="n">
        <v>129.2</v>
      </c>
    </row>
    <row r="50">
      <c r="A50" t="s">
        <v>149</v>
      </c>
      <c r="B50" t="s">
        <v>370</v>
      </c>
      <c r="C50" t="s">
        <v>246</v>
      </c>
      <c r="D50" t="s">
        <v>371</v>
      </c>
      <c r="E50" t="s">
        <v>247</v>
      </c>
      <c r="F50" t="n">
        <v>2165.65580087688</v>
      </c>
      <c r="G50" t="n">
        <v>2287.50087488147</v>
      </c>
      <c r="H50" t="n">
        <v>2410.09647640191</v>
      </c>
      <c r="I50" t="n">
        <v>2522.97389494712</v>
      </c>
      <c r="J50" t="n">
        <v>2634.8968104681</v>
      </c>
      <c r="K50" t="n">
        <v>2749.11081502569</v>
      </c>
      <c r="L50" t="n">
        <v>2887.72589878162</v>
      </c>
      <c r="M50" t="n">
        <v>3017.35411383938</v>
      </c>
      <c r="N50" t="n">
        <v>3221.04117001437</v>
      </c>
      <c r="O50" t="n">
        <v>3440.97461829172</v>
      </c>
      <c r="P50" t="n">
        <v>3614.83489194763</v>
      </c>
      <c r="Q50" t="n">
        <v>3750.17222184792</v>
      </c>
      <c r="R50" t="n">
        <v>4004.16400747752</v>
      </c>
      <c r="S50" t="n">
        <v>4264.71367590087</v>
      </c>
      <c r="T50" t="n">
        <v>4441.40318944361</v>
      </c>
      <c r="U50" t="n">
        <v>4629.63611330862</v>
      </c>
      <c r="V50" t="n">
        <v>4611.329300225</v>
      </c>
      <c r="W50" t="n">
        <v>4541.65870211188</v>
      </c>
      <c r="X50" t="n">
        <v>4512.09228542675</v>
      </c>
      <c r="Y50" t="n">
        <v>4468.57336346778</v>
      </c>
      <c r="Z50" t="n">
        <v>4496.70590793686</v>
      </c>
      <c r="AA50" t="n">
        <v>4417.70053325333</v>
      </c>
      <c r="AB50" t="n">
        <v>4270.26094649856</v>
      </c>
      <c r="AC50" t="n">
        <v>4124.99267176967</v>
      </c>
      <c r="AD50" t="n">
        <v>4033.82544084917</v>
      </c>
      <c r="AE50" t="n">
        <v>4076.8</v>
      </c>
      <c r="AF50" t="n">
        <v>4150.1</v>
      </c>
    </row>
    <row r="51">
      <c r="A51" t="s">
        <v>149</v>
      </c>
      <c r="B51" t="s">
        <v>372</v>
      </c>
      <c r="C51" t="s">
        <v>246</v>
      </c>
      <c r="D51" t="s">
        <v>373</v>
      </c>
      <c r="E51" t="s">
        <v>247</v>
      </c>
      <c r="F51" t="n">
        <v>2164.43280500638</v>
      </c>
      <c r="G51" t="n">
        <v>2286.26049607003</v>
      </c>
      <c r="H51" t="n">
        <v>2408.84054760495</v>
      </c>
      <c r="I51" t="n">
        <v>2521.56752434043</v>
      </c>
      <c r="J51" t="n">
        <v>2633.47578594235</v>
      </c>
      <c r="K51" t="n">
        <v>2747.67505922169</v>
      </c>
      <c r="L51" t="n">
        <v>2886.27788097834</v>
      </c>
      <c r="M51" t="n">
        <v>3015.8944209299</v>
      </c>
      <c r="N51" t="n">
        <v>3219.56919561796</v>
      </c>
      <c r="O51" t="n">
        <v>3439.48716573714</v>
      </c>
      <c r="P51" t="n">
        <v>3613.33873839173</v>
      </c>
      <c r="Q51" t="n">
        <v>3748.67149255944</v>
      </c>
      <c r="R51" t="n">
        <v>4002.65099535494</v>
      </c>
      <c r="S51" t="n">
        <v>4263.19246381257</v>
      </c>
      <c r="T51" t="n">
        <v>4439.67040866208</v>
      </c>
      <c r="U51" t="n">
        <v>4627.79564311981</v>
      </c>
      <c r="V51" t="n">
        <v>4609.48866184702</v>
      </c>
      <c r="W51" t="n">
        <v>4538.44696793673</v>
      </c>
      <c r="X51" t="n">
        <v>4509.09478766918</v>
      </c>
      <c r="Y51" t="n">
        <v>4465.89073223773</v>
      </c>
      <c r="Z51" t="n">
        <v>4492.48863832826</v>
      </c>
      <c r="AA51" t="n">
        <v>4411.4834338172</v>
      </c>
      <c r="AB51" t="n">
        <v>4256.4235761642</v>
      </c>
      <c r="AC51" t="n">
        <v>4090.14282412626</v>
      </c>
      <c r="AD51" t="n">
        <v>3972.01487410206</v>
      </c>
      <c r="AE51" t="n">
        <v>4011.4</v>
      </c>
      <c r="AF51"/>
    </row>
    <row r="52">
      <c r="A52" t="s">
        <v>149</v>
      </c>
      <c r="B52" t="s">
        <v>374</v>
      </c>
      <c r="C52" t="s">
        <v>246</v>
      </c>
      <c r="D52" t="s">
        <v>375</v>
      </c>
      <c r="E52" t="s">
        <v>247</v>
      </c>
      <c r="F52" t="n">
        <v>1.33329336888056</v>
      </c>
      <c r="G52" t="n">
        <v>1.33329336888056</v>
      </c>
      <c r="H52" t="n">
        <v>1.33329336888056</v>
      </c>
      <c r="I52" t="n">
        <v>1.52376385014921</v>
      </c>
      <c r="J52" t="n">
        <v>1.52376385014921</v>
      </c>
      <c r="K52" t="n">
        <v>1.52376385014921</v>
      </c>
      <c r="L52" t="n">
        <v>1.52376385014921</v>
      </c>
      <c r="M52" t="n">
        <v>1.52376385014921</v>
      </c>
      <c r="N52" t="n">
        <v>1.52376385014921</v>
      </c>
      <c r="O52" t="n">
        <v>1.52376385014921</v>
      </c>
      <c r="P52" t="n">
        <v>1.52376385014921</v>
      </c>
      <c r="Q52" t="n">
        <v>1.52376385014921</v>
      </c>
      <c r="R52" t="n">
        <v>1.52376385014921</v>
      </c>
      <c r="S52" t="n">
        <v>1.52376385014921</v>
      </c>
      <c r="T52" t="n">
        <v>1.74144440017052</v>
      </c>
      <c r="U52" t="n">
        <v>1.85028467518118</v>
      </c>
      <c r="V52" t="n">
        <v>1.85028467518118</v>
      </c>
      <c r="W52" t="n">
        <v>3.18660138503426</v>
      </c>
      <c r="X52" t="n">
        <v>2.97416129269864</v>
      </c>
      <c r="Y52" t="n">
        <v>2.66648943483326</v>
      </c>
      <c r="Z52" t="n">
        <v>4.20484872416015</v>
      </c>
      <c r="AA52" t="n">
        <v>6.20715764042688</v>
      </c>
      <c r="AB52" t="n">
        <v>13.8389088376731</v>
      </c>
      <c r="AC52" t="n">
        <v>34.8498069269869</v>
      </c>
      <c r="AD52" t="n">
        <v>61.8109756097561</v>
      </c>
      <c r="AE52" t="n">
        <v>65.4</v>
      </c>
      <c r="AF52"/>
    </row>
    <row r="53">
      <c r="A53" t="s">
        <v>149</v>
      </c>
      <c r="B53" t="s">
        <v>376</v>
      </c>
      <c r="C53" t="s">
        <v>246</v>
      </c>
      <c r="D53" t="s">
        <v>377</v>
      </c>
      <c r="E53" t="s">
        <v>247</v>
      </c>
      <c r="F53" t="n">
        <v>48.9923289642926</v>
      </c>
      <c r="G53" t="n">
        <v>54.7561323718564</v>
      </c>
      <c r="H53" t="n">
        <v>60.0682944676335</v>
      </c>
      <c r="I53" t="n">
        <v>64.4468489618574</v>
      </c>
      <c r="J53" t="n">
        <v>76.7160189525039</v>
      </c>
      <c r="K53" t="n">
        <v>93.2519806348457</v>
      </c>
      <c r="L53" t="n">
        <v>107.067088877045</v>
      </c>
      <c r="M53" t="n">
        <v>120.169241904026</v>
      </c>
      <c r="N53" t="n">
        <v>131.571227543107</v>
      </c>
      <c r="O53" t="n">
        <v>143.180453502793</v>
      </c>
      <c r="P53" t="n">
        <v>163.18977210946</v>
      </c>
      <c r="Q53" t="n">
        <v>187.845992069778</v>
      </c>
      <c r="R53" t="n">
        <v>209.867796532824</v>
      </c>
      <c r="S53" t="n">
        <v>224.614108101831</v>
      </c>
      <c r="T53" t="n">
        <v>243.890692006092</v>
      </c>
      <c r="U53" t="n">
        <v>251.029475913654</v>
      </c>
      <c r="V53" t="n">
        <v>253.857092037838</v>
      </c>
      <c r="W53" t="n">
        <v>254.701172144364</v>
      </c>
      <c r="X53" t="n">
        <v>276.57866229908</v>
      </c>
      <c r="Y53" t="n">
        <v>257.326515018467</v>
      </c>
      <c r="Z53" t="n">
        <v>255.38172433217</v>
      </c>
      <c r="AA53" t="n">
        <v>258.982876731684</v>
      </c>
      <c r="AB53" t="n">
        <v>271.078230864757</v>
      </c>
      <c r="AC53" t="n">
        <v>265.319207696925</v>
      </c>
      <c r="AD53" t="n">
        <v>279.498856734548</v>
      </c>
      <c r="AE53" t="n">
        <v>279.1</v>
      </c>
      <c r="AF53" t="n">
        <v>264.4</v>
      </c>
    </row>
    <row r="54">
      <c r="A54" t="s">
        <v>149</v>
      </c>
      <c r="B54" t="s">
        <v>378</v>
      </c>
      <c r="C54" t="s">
        <v>246</v>
      </c>
      <c r="D54" t="s">
        <v>379</v>
      </c>
      <c r="E54" t="s">
        <v>247</v>
      </c>
      <c r="F54" t="n">
        <v>66.0899083942415</v>
      </c>
      <c r="G54" t="n">
        <v>75.5126280068858</v>
      </c>
      <c r="H54" t="n">
        <v>83.8122141481831</v>
      </c>
      <c r="I54" t="n">
        <v>90.9218962618953</v>
      </c>
      <c r="J54" t="n">
        <v>105.604098769372</v>
      </c>
      <c r="K54" t="n">
        <v>124.287900859337</v>
      </c>
      <c r="L54" t="n">
        <v>140.603174931588</v>
      </c>
      <c r="M54" t="n">
        <v>155.799946658216</v>
      </c>
      <c r="N54" t="n">
        <v>169.113993044785</v>
      </c>
      <c r="O54" t="n">
        <v>181.959672457479</v>
      </c>
      <c r="P54" t="n">
        <v>203.148397473909</v>
      </c>
      <c r="Q54" t="n">
        <v>230.777496678882</v>
      </c>
      <c r="R54" t="n">
        <v>255.208876870924</v>
      </c>
      <c r="S54" t="n">
        <v>272.72844815884</v>
      </c>
      <c r="T54" t="n">
        <v>293.151661442624</v>
      </c>
      <c r="U54" t="n">
        <v>304.869206049706</v>
      </c>
      <c r="V54" t="n">
        <v>315.548003789084</v>
      </c>
      <c r="W54" t="n">
        <v>328.30913629526</v>
      </c>
      <c r="X54" t="n">
        <v>359.188637031065</v>
      </c>
      <c r="Y54" t="n">
        <v>353.088215084418</v>
      </c>
      <c r="Z54" t="n">
        <v>357.284335901363</v>
      </c>
      <c r="AA54" t="n">
        <v>364.386012230869</v>
      </c>
      <c r="AB54" t="n">
        <v>380.34378180416</v>
      </c>
      <c r="AC54" t="n">
        <v>377.009205608746</v>
      </c>
      <c r="AD54" t="n">
        <v>394.885933503836</v>
      </c>
      <c r="AE54" t="n">
        <v>389.9</v>
      </c>
      <c r="AF54" t="n">
        <v>372.4</v>
      </c>
    </row>
    <row r="55">
      <c r="A55" t="s">
        <v>149</v>
      </c>
      <c r="B55" t="s">
        <v>380</v>
      </c>
      <c r="C55" t="s">
        <v>246</v>
      </c>
      <c r="D55" t="s">
        <v>381</v>
      </c>
      <c r="E55" t="s">
        <v>247</v>
      </c>
      <c r="F55" t="n">
        <v>17.081542868191</v>
      </c>
      <c r="G55" t="n">
        <v>20.7325596644455</v>
      </c>
      <c r="H55" t="n">
        <v>23.7137120344965</v>
      </c>
      <c r="I55" t="n">
        <v>26.4394260614502</v>
      </c>
      <c r="J55" t="n">
        <v>28.8552111838162</v>
      </c>
      <c r="K55" t="n">
        <v>31.0126101508305</v>
      </c>
      <c r="L55" t="n">
        <v>33.5200126736636</v>
      </c>
      <c r="M55" t="n">
        <v>35.6232291551483</v>
      </c>
      <c r="N55" t="n">
        <v>37.538456529081</v>
      </c>
      <c r="O55" t="n">
        <v>38.7814517783884</v>
      </c>
      <c r="P55" t="n">
        <v>39.9747272177234</v>
      </c>
      <c r="Q55" t="n">
        <v>42.952787125061</v>
      </c>
      <c r="R55" t="n">
        <v>45.3695679863176</v>
      </c>
      <c r="S55" t="n">
        <v>48.1451180278335</v>
      </c>
      <c r="T55" t="n">
        <v>49.2964143284991</v>
      </c>
      <c r="U55" t="n">
        <v>53.8746990285541</v>
      </c>
      <c r="V55" t="n">
        <v>61.7205289841687</v>
      </c>
      <c r="W55" t="n">
        <v>73.6222692149043</v>
      </c>
      <c r="X55" t="n">
        <v>82.624118725897</v>
      </c>
      <c r="Y55" t="n">
        <v>95.7640867166567</v>
      </c>
      <c r="Z55" t="n">
        <v>101.902810224135</v>
      </c>
      <c r="AA55" t="n">
        <v>105.402906748025</v>
      </c>
      <c r="AB55" t="n">
        <v>109.265308345349</v>
      </c>
      <c r="AC55" t="n">
        <v>111.691180131</v>
      </c>
      <c r="AD55" t="n">
        <v>115.387578757876</v>
      </c>
      <c r="AE55" t="n">
        <v>110.8</v>
      </c>
      <c r="AF55" t="n">
        <v>108</v>
      </c>
    </row>
    <row r="56">
      <c r="A56" t="s">
        <v>149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149</v>
      </c>
      <c r="B57" t="s">
        <v>384</v>
      </c>
      <c r="C57" t="s">
        <v>246</v>
      </c>
      <c r="D57" t="s">
        <v>385</v>
      </c>
      <c r="E57" t="s">
        <v>247</v>
      </c>
      <c r="F57" t="n">
        <v>62213.4693496484</v>
      </c>
      <c r="G57" t="n">
        <v>64445.5224605916</v>
      </c>
      <c r="H57" t="n">
        <v>66702.6035441909</v>
      </c>
      <c r="I57" t="n">
        <v>69097.3894081419</v>
      </c>
      <c r="J57" t="n">
        <v>71701.0135390268</v>
      </c>
      <c r="K57" t="n">
        <v>74694.0629158034</v>
      </c>
      <c r="L57" t="n">
        <v>78466.3444465782</v>
      </c>
      <c r="M57" t="n">
        <v>81946.3137159777</v>
      </c>
      <c r="N57" t="n">
        <v>84833.6585322812</v>
      </c>
      <c r="O57" t="n">
        <v>86695.2238788595</v>
      </c>
      <c r="P57" t="n">
        <v>88682.0756142617</v>
      </c>
      <c r="Q57" t="n">
        <v>90009.3149641234</v>
      </c>
      <c r="R57" t="n">
        <v>91452.9277947615</v>
      </c>
      <c r="S57" t="n">
        <v>93738.41611049</v>
      </c>
      <c r="T57" t="n">
        <v>96695.8071450176</v>
      </c>
      <c r="U57" t="n">
        <v>99410.4876066784</v>
      </c>
      <c r="V57" t="n">
        <v>101542.006571027</v>
      </c>
      <c r="W57" t="n">
        <v>102575.294946999</v>
      </c>
      <c r="X57" t="n">
        <v>103457.074902036</v>
      </c>
      <c r="Y57" t="n">
        <v>103280.363747595</v>
      </c>
      <c r="Z57" t="n">
        <v>105021.135417644</v>
      </c>
      <c r="AA57" t="n">
        <v>108399.913239412</v>
      </c>
      <c r="AB57" t="n">
        <v>111543.325482026</v>
      </c>
      <c r="AC57" t="n">
        <v>114610.383550523</v>
      </c>
      <c r="AD57" t="n">
        <v>118366.96825073</v>
      </c>
      <c r="AE57" t="n">
        <v>120830.4</v>
      </c>
      <c r="AF57" t="n">
        <v>123303.4</v>
      </c>
    </row>
    <row r="58">
      <c r="A58" t="s">
        <v>149</v>
      </c>
      <c r="B58" t="s">
        <v>386</v>
      </c>
      <c r="C58" t="s">
        <v>246</v>
      </c>
      <c r="D58" t="s">
        <v>387</v>
      </c>
      <c r="E58" t="s">
        <v>247</v>
      </c>
      <c r="F58" t="n">
        <v>62213.4693496484</v>
      </c>
      <c r="G58" t="n">
        <v>64445.5224605916</v>
      </c>
      <c r="H58" t="n">
        <v>66702.6035441909</v>
      </c>
      <c r="I58" t="n">
        <v>69097.3894081419</v>
      </c>
      <c r="J58" t="n">
        <v>71701.0135390268</v>
      </c>
      <c r="K58" t="n">
        <v>74694.0629158034</v>
      </c>
      <c r="L58" t="n">
        <v>78466.3444465782</v>
      </c>
      <c r="M58" t="n">
        <v>81946.3137159777</v>
      </c>
      <c r="N58" t="n">
        <v>84833.6585322812</v>
      </c>
      <c r="O58" t="n">
        <v>86695.2238788595</v>
      </c>
      <c r="P58" t="n">
        <v>88682.0756142617</v>
      </c>
      <c r="Q58" t="n">
        <v>90009.3149641234</v>
      </c>
      <c r="R58" t="n">
        <v>91452.9277947615</v>
      </c>
      <c r="S58" t="n">
        <v>93738.41611049</v>
      </c>
      <c r="T58" t="n">
        <v>96695.8071450176</v>
      </c>
      <c r="U58" t="n">
        <v>99410.4876066784</v>
      </c>
      <c r="V58" t="n">
        <v>101542.006571027</v>
      </c>
      <c r="W58" t="n">
        <v>102575.294946999</v>
      </c>
      <c r="X58" t="n">
        <v>103457.074902036</v>
      </c>
      <c r="Y58" t="n">
        <v>103280.363747595</v>
      </c>
      <c r="Z58" t="n">
        <v>105021.135417644</v>
      </c>
      <c r="AA58" t="n">
        <v>108399.913239412</v>
      </c>
      <c r="AB58" t="n">
        <v>111543.325482026</v>
      </c>
      <c r="AC58" t="n">
        <v>114610.383550523</v>
      </c>
      <c r="AD58" t="n">
        <v>118366.96825073</v>
      </c>
      <c r="AE58" t="n">
        <v>120830.4</v>
      </c>
      <c r="AF58" t="n">
        <v>123303.4</v>
      </c>
    </row>
    <row r="59">
      <c r="A59" t="s">
        <v>149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150</v>
      </c>
      <c r="B2" t="s">
        <v>197</v>
      </c>
      <c r="C2" t="s">
        <v>246</v>
      </c>
      <c r="D2" t="s">
        <v>199</v>
      </c>
      <c r="E2" t="s">
        <v>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s">
        <v>150</v>
      </c>
      <c r="B3" t="s">
        <v>276</v>
      </c>
      <c r="C3" t="s">
        <v>246</v>
      </c>
      <c r="D3" t="s">
        <v>277</v>
      </c>
      <c r="E3" t="s">
        <v>247</v>
      </c>
      <c r="F3" t="n">
        <v>2912.856</v>
      </c>
      <c r="G3" t="n">
        <v>3005.81</v>
      </c>
      <c r="H3" t="n">
        <v>3099.031</v>
      </c>
      <c r="I3" t="n">
        <v>3119.096</v>
      </c>
      <c r="J3" t="n">
        <v>3140.477</v>
      </c>
      <c r="K3" t="n">
        <v>3205.171</v>
      </c>
      <c r="L3" t="n">
        <v>3164.749</v>
      </c>
      <c r="M3" t="n">
        <v>3092.797</v>
      </c>
      <c r="N3" t="n">
        <v>3011.412</v>
      </c>
      <c r="O3" t="n">
        <v>2921.979</v>
      </c>
      <c r="P3" t="n">
        <v>2805.639</v>
      </c>
      <c r="Q3" t="n">
        <v>2779.333</v>
      </c>
      <c r="R3" t="n">
        <v>2726.752</v>
      </c>
      <c r="S3" t="n">
        <v>2693.352</v>
      </c>
      <c r="T3" t="n">
        <v>2649.772</v>
      </c>
      <c r="U3" t="n">
        <v>2575.916</v>
      </c>
      <c r="V3" t="n">
        <v>2513.239</v>
      </c>
      <c r="W3" t="n">
        <v>2475.681</v>
      </c>
      <c r="X3" t="n">
        <v>2459.707</v>
      </c>
      <c r="Y3" t="n">
        <v>2505.619</v>
      </c>
      <c r="Z3" t="n">
        <v>2626.575</v>
      </c>
      <c r="AA3" t="n">
        <v>2673.974</v>
      </c>
      <c r="AB3" t="n">
        <v>2691.992</v>
      </c>
      <c r="AC3" t="n">
        <v>2673.726</v>
      </c>
      <c r="AD3" t="n">
        <v>2684.052</v>
      </c>
      <c r="AE3" t="n">
        <v>2645.8</v>
      </c>
      <c r="AF3" t="n">
        <v>2612.3</v>
      </c>
    </row>
    <row r="4">
      <c r="A4" t="s">
        <v>150</v>
      </c>
      <c r="B4" t="s">
        <v>278</v>
      </c>
      <c r="C4" t="s">
        <v>246</v>
      </c>
      <c r="D4" t="s">
        <v>279</v>
      </c>
      <c r="E4" t="s">
        <v>247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  <row r="5">
      <c r="A5" t="s">
        <v>150</v>
      </c>
      <c r="B5" t="s">
        <v>280</v>
      </c>
      <c r="C5" t="s">
        <v>246</v>
      </c>
      <c r="D5" t="s">
        <v>281</v>
      </c>
      <c r="E5" t="s">
        <v>247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s">
        <v>150</v>
      </c>
      <c r="B6" t="s">
        <v>282</v>
      </c>
      <c r="C6" t="s">
        <v>246</v>
      </c>
      <c r="D6" t="s">
        <v>283</v>
      </c>
      <c r="E6" t="s">
        <v>247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</row>
    <row r="7">
      <c r="A7" t="s">
        <v>150</v>
      </c>
      <c r="B7" t="s">
        <v>284</v>
      </c>
      <c r="C7" t="s">
        <v>246</v>
      </c>
      <c r="D7" t="s">
        <v>285</v>
      </c>
      <c r="E7" t="s">
        <v>247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</row>
    <row r="8">
      <c r="A8" t="s">
        <v>150</v>
      </c>
      <c r="B8" t="s">
        <v>286</v>
      </c>
      <c r="C8" t="s">
        <v>246</v>
      </c>
      <c r="D8" t="s">
        <v>287</v>
      </c>
      <c r="E8" t="s">
        <v>247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</row>
    <row r="9">
      <c r="A9" t="s">
        <v>150</v>
      </c>
      <c r="B9" t="s">
        <v>288</v>
      </c>
      <c r="C9" t="s">
        <v>246</v>
      </c>
      <c r="D9" t="s">
        <v>289</v>
      </c>
      <c r="E9" t="s">
        <v>247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</row>
    <row r="10">
      <c r="A10" t="s">
        <v>150</v>
      </c>
      <c r="B10" t="s">
        <v>290</v>
      </c>
      <c r="C10" t="s">
        <v>246</v>
      </c>
      <c r="D10" t="s">
        <v>291</v>
      </c>
      <c r="E10" t="s">
        <v>247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t="s">
        <v>150</v>
      </c>
      <c r="B11" t="s">
        <v>292</v>
      </c>
      <c r="C11" t="s">
        <v>246</v>
      </c>
      <c r="D11" t="s">
        <v>293</v>
      </c>
      <c r="E11" t="s">
        <v>247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  <row r="12">
      <c r="A12" t="s">
        <v>150</v>
      </c>
      <c r="B12" t="s">
        <v>294</v>
      </c>
      <c r="C12" t="s">
        <v>246</v>
      </c>
      <c r="D12" t="s">
        <v>295</v>
      </c>
      <c r="E12" t="s">
        <v>247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</row>
    <row r="13">
      <c r="A13" t="s">
        <v>150</v>
      </c>
      <c r="B13" t="s">
        <v>296</v>
      </c>
      <c r="C13" t="s">
        <v>246</v>
      </c>
      <c r="D13" t="s">
        <v>297</v>
      </c>
      <c r="E13" t="s">
        <v>247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</row>
    <row r="14">
      <c r="A14" t="s">
        <v>150</v>
      </c>
      <c r="B14" t="s">
        <v>298</v>
      </c>
      <c r="C14" t="s">
        <v>246</v>
      </c>
      <c r="D14" t="s">
        <v>299</v>
      </c>
      <c r="E14" t="s">
        <v>247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</row>
    <row r="15">
      <c r="A15" t="s">
        <v>150</v>
      </c>
      <c r="B15" t="s">
        <v>300</v>
      </c>
      <c r="C15" t="s">
        <v>246</v>
      </c>
      <c r="D15" t="s">
        <v>301</v>
      </c>
      <c r="E15" t="s">
        <v>247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s">
        <v>150</v>
      </c>
      <c r="B16" t="s">
        <v>302</v>
      </c>
      <c r="C16" t="s">
        <v>246</v>
      </c>
      <c r="D16" t="s">
        <v>303</v>
      </c>
      <c r="E16" t="s">
        <v>247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</row>
    <row r="17">
      <c r="A17" t="s">
        <v>150</v>
      </c>
      <c r="B17" t="s">
        <v>304</v>
      </c>
      <c r="C17" t="s">
        <v>246</v>
      </c>
      <c r="D17" t="s">
        <v>305</v>
      </c>
      <c r="E17" t="s">
        <v>247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</row>
    <row r="18">
      <c r="A18" t="s">
        <v>150</v>
      </c>
      <c r="B18" t="s">
        <v>306</v>
      </c>
      <c r="C18" t="s">
        <v>246</v>
      </c>
      <c r="D18" t="s">
        <v>307</v>
      </c>
      <c r="E18" t="s">
        <v>247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</row>
    <row r="19">
      <c r="A19" t="s">
        <v>150</v>
      </c>
      <c r="B19" t="s">
        <v>308</v>
      </c>
      <c r="C19" t="s">
        <v>246</v>
      </c>
      <c r="D19" t="s">
        <v>309</v>
      </c>
      <c r="E19" t="s">
        <v>247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</row>
    <row r="20">
      <c r="A20" t="s">
        <v>150</v>
      </c>
      <c r="B20" t="s">
        <v>310</v>
      </c>
      <c r="C20" t="s">
        <v>246</v>
      </c>
      <c r="D20" t="s">
        <v>311</v>
      </c>
      <c r="E20" t="s">
        <v>247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</row>
    <row r="21">
      <c r="A21" t="s">
        <v>150</v>
      </c>
      <c r="B21" t="s">
        <v>312</v>
      </c>
      <c r="C21" t="s">
        <v>246</v>
      </c>
      <c r="D21" t="s">
        <v>313</v>
      </c>
      <c r="E21" t="s">
        <v>247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</row>
    <row r="22">
      <c r="A22" t="s">
        <v>150</v>
      </c>
      <c r="B22" t="s">
        <v>314</v>
      </c>
      <c r="C22" t="s">
        <v>246</v>
      </c>
      <c r="D22" t="s">
        <v>315</v>
      </c>
      <c r="E22" t="s">
        <v>247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</row>
    <row r="23">
      <c r="A23" t="s">
        <v>150</v>
      </c>
      <c r="B23" t="s">
        <v>316</v>
      </c>
      <c r="C23" t="s">
        <v>246</v>
      </c>
      <c r="D23" t="s">
        <v>317</v>
      </c>
      <c r="E23" t="s">
        <v>247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</row>
    <row r="24">
      <c r="A24" t="s">
        <v>150</v>
      </c>
      <c r="B24" t="s">
        <v>318</v>
      </c>
      <c r="C24" t="s">
        <v>246</v>
      </c>
      <c r="D24" t="s">
        <v>319</v>
      </c>
      <c r="E24" t="s">
        <v>247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</row>
    <row r="25">
      <c r="A25" t="s">
        <v>150</v>
      </c>
      <c r="B25" t="s">
        <v>320</v>
      </c>
      <c r="C25" t="s">
        <v>246</v>
      </c>
      <c r="D25" t="s">
        <v>321</v>
      </c>
      <c r="E25" t="s">
        <v>247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</row>
    <row r="26">
      <c r="A26" t="s">
        <v>150</v>
      </c>
      <c r="B26" t="s">
        <v>322</v>
      </c>
      <c r="C26" t="s">
        <v>246</v>
      </c>
      <c r="D26" t="s">
        <v>323</v>
      </c>
      <c r="E26" t="s">
        <v>247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</row>
    <row r="27">
      <c r="A27" t="s">
        <v>150</v>
      </c>
      <c r="B27" t="s">
        <v>324</v>
      </c>
      <c r="C27" t="s">
        <v>246</v>
      </c>
      <c r="D27" t="s">
        <v>325</v>
      </c>
      <c r="E27" t="s">
        <v>247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</row>
    <row r="28">
      <c r="A28" t="s">
        <v>150</v>
      </c>
      <c r="B28" t="s">
        <v>326</v>
      </c>
      <c r="C28" t="s">
        <v>246</v>
      </c>
      <c r="D28" t="s">
        <v>327</v>
      </c>
      <c r="E28" t="s">
        <v>247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</row>
    <row r="29">
      <c r="A29" t="s">
        <v>150</v>
      </c>
      <c r="B29" t="s">
        <v>328</v>
      </c>
      <c r="C29" t="s">
        <v>246</v>
      </c>
      <c r="D29" t="s">
        <v>329</v>
      </c>
      <c r="E29" t="s">
        <v>247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</row>
    <row r="30">
      <c r="A30" t="s">
        <v>150</v>
      </c>
      <c r="B30" t="s">
        <v>330</v>
      </c>
      <c r="C30" t="s">
        <v>246</v>
      </c>
      <c r="D30" t="s">
        <v>331</v>
      </c>
      <c r="E30" t="s">
        <v>247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</row>
    <row r="31">
      <c r="A31" t="s">
        <v>150</v>
      </c>
      <c r="B31" t="s">
        <v>332</v>
      </c>
      <c r="C31" t="s">
        <v>246</v>
      </c>
      <c r="D31" t="s">
        <v>333</v>
      </c>
      <c r="E31" t="s">
        <v>247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</row>
    <row r="32">
      <c r="A32" t="s">
        <v>150</v>
      </c>
      <c r="B32" t="s">
        <v>334</v>
      </c>
      <c r="C32" t="s">
        <v>246</v>
      </c>
      <c r="D32" t="s">
        <v>335</v>
      </c>
      <c r="E32" t="s">
        <v>247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</row>
    <row r="33">
      <c r="A33" t="s">
        <v>150</v>
      </c>
      <c r="B33" t="s">
        <v>336</v>
      </c>
      <c r="C33" t="s">
        <v>246</v>
      </c>
      <c r="D33" t="s">
        <v>337</v>
      </c>
      <c r="E33" t="s">
        <v>247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</row>
    <row r="34">
      <c r="A34" t="s">
        <v>150</v>
      </c>
      <c r="B34" t="s">
        <v>338</v>
      </c>
      <c r="C34" t="s">
        <v>246</v>
      </c>
      <c r="D34" t="s">
        <v>339</v>
      </c>
      <c r="E34" t="s">
        <v>247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</row>
    <row r="35">
      <c r="A35" t="s">
        <v>150</v>
      </c>
      <c r="B35" t="s">
        <v>340</v>
      </c>
      <c r="C35" t="s">
        <v>246</v>
      </c>
      <c r="D35" t="s">
        <v>341</v>
      </c>
      <c r="E35" t="s">
        <v>247</v>
      </c>
      <c r="F35" t="n">
        <v>6176.687</v>
      </c>
      <c r="G35" t="n">
        <v>6144.058</v>
      </c>
      <c r="H35" t="n">
        <v>6275.186</v>
      </c>
      <c r="I35" t="n">
        <v>6514.148</v>
      </c>
      <c r="J35" t="n">
        <v>6752.535</v>
      </c>
      <c r="K35" t="n">
        <v>7066.214</v>
      </c>
      <c r="L35" t="n">
        <v>7159.988</v>
      </c>
      <c r="M35" t="n">
        <v>7249.655</v>
      </c>
      <c r="N35" t="n">
        <v>7404.777</v>
      </c>
      <c r="O35" t="n">
        <v>7572.918</v>
      </c>
      <c r="P35" t="n">
        <v>7646.416</v>
      </c>
      <c r="Q35" t="n">
        <v>7726.267</v>
      </c>
      <c r="R35" t="n">
        <v>8006.818</v>
      </c>
      <c r="S35" t="n">
        <v>8276.046</v>
      </c>
      <c r="T35" t="n">
        <v>8296.679</v>
      </c>
      <c r="U35" t="n">
        <v>8683.11</v>
      </c>
      <c r="V35" t="n">
        <v>8921.255</v>
      </c>
      <c r="W35" t="n">
        <v>9193.6</v>
      </c>
      <c r="X35" t="n">
        <v>9045.946</v>
      </c>
      <c r="Y35" t="n">
        <v>8787.912</v>
      </c>
      <c r="Z35" t="n">
        <v>8261.388</v>
      </c>
      <c r="AA35" t="n">
        <v>7875.351</v>
      </c>
      <c r="AB35" t="n">
        <v>7387.1</v>
      </c>
      <c r="AC35" t="n">
        <v>7050.708</v>
      </c>
      <c r="AD35" t="n">
        <v>6603.958</v>
      </c>
      <c r="AE35" t="n">
        <v>6230.4</v>
      </c>
      <c r="AF35" t="n">
        <v>5944</v>
      </c>
    </row>
    <row r="36">
      <c r="A36" t="s">
        <v>150</v>
      </c>
      <c r="B36" t="s">
        <v>342</v>
      </c>
      <c r="C36" t="s">
        <v>246</v>
      </c>
      <c r="D36" t="s">
        <v>343</v>
      </c>
      <c r="E36" t="s">
        <v>247</v>
      </c>
      <c r="F36" t="n">
        <v>6177.375</v>
      </c>
      <c r="G36" t="n">
        <v>6144.742</v>
      </c>
      <c r="H36" t="n">
        <v>6275.885</v>
      </c>
      <c r="I36" t="n">
        <v>6514.867</v>
      </c>
      <c r="J36" t="n">
        <v>6753.109</v>
      </c>
      <c r="K36" t="n">
        <v>7066.815</v>
      </c>
      <c r="L36" t="n">
        <v>7160.434</v>
      </c>
      <c r="M36" t="n">
        <v>7250.107</v>
      </c>
      <c r="N36" t="n">
        <v>7405.391</v>
      </c>
      <c r="O36" t="n">
        <v>7573.695</v>
      </c>
      <c r="P36" t="n">
        <v>7646.762</v>
      </c>
      <c r="Q36" t="n">
        <v>7726.615</v>
      </c>
      <c r="R36" t="n">
        <v>8007.179</v>
      </c>
      <c r="S36" t="n">
        <v>8276.277</v>
      </c>
      <c r="T36" t="n">
        <v>8296.629</v>
      </c>
      <c r="U36" t="n">
        <v>8682.912</v>
      </c>
      <c r="V36" t="n">
        <v>8921.207</v>
      </c>
      <c r="W36" t="n">
        <v>9193.702</v>
      </c>
      <c r="X36" t="n">
        <v>9045.893</v>
      </c>
      <c r="Y36" t="n">
        <v>8787.707</v>
      </c>
      <c r="Z36" t="n">
        <v>8261.195</v>
      </c>
      <c r="AA36" t="n">
        <v>7874.972</v>
      </c>
      <c r="AB36" t="n">
        <v>7386.744</v>
      </c>
      <c r="AC36" t="n">
        <v>7050.368</v>
      </c>
      <c r="AD36" t="n">
        <v>6603.647</v>
      </c>
      <c r="AE36" t="n">
        <v>6230.2</v>
      </c>
      <c r="AF36" t="n">
        <v>0</v>
      </c>
    </row>
    <row r="37">
      <c r="A37" t="s">
        <v>150</v>
      </c>
      <c r="B37" t="s">
        <v>344</v>
      </c>
      <c r="C37" t="s">
        <v>246</v>
      </c>
      <c r="D37" t="s">
        <v>345</v>
      </c>
      <c r="E37" t="s">
        <v>247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</row>
    <row r="38">
      <c r="A38" t="s">
        <v>150</v>
      </c>
      <c r="B38" t="s">
        <v>346</v>
      </c>
      <c r="C38" t="s">
        <v>246</v>
      </c>
      <c r="D38" t="s">
        <v>347</v>
      </c>
      <c r="E38" t="s">
        <v>247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</row>
    <row r="39">
      <c r="A39" t="s">
        <v>150</v>
      </c>
      <c r="B39" t="s">
        <v>348</v>
      </c>
      <c r="C39" t="s">
        <v>246</v>
      </c>
      <c r="D39" t="s">
        <v>349</v>
      </c>
      <c r="E39" t="s">
        <v>247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</row>
    <row r="40">
      <c r="A40" t="s">
        <v>150</v>
      </c>
      <c r="B40" t="s">
        <v>350</v>
      </c>
      <c r="C40" t="s">
        <v>246</v>
      </c>
      <c r="D40" t="s">
        <v>351</v>
      </c>
      <c r="E40" t="s">
        <v>247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s">
        <v>150</v>
      </c>
      <c r="B41" t="s">
        <v>352</v>
      </c>
      <c r="C41" t="s">
        <v>246</v>
      </c>
      <c r="D41" t="s">
        <v>353</v>
      </c>
      <c r="E41" t="s">
        <v>247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</row>
    <row r="42">
      <c r="A42" t="s">
        <v>150</v>
      </c>
      <c r="B42" t="s">
        <v>354</v>
      </c>
      <c r="C42" t="s">
        <v>246</v>
      </c>
      <c r="D42" t="s">
        <v>355</v>
      </c>
      <c r="E42" t="s">
        <v>247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</row>
    <row r="43">
      <c r="A43" t="s">
        <v>150</v>
      </c>
      <c r="B43" t="s">
        <v>356</v>
      </c>
      <c r="C43" t="s">
        <v>246</v>
      </c>
      <c r="D43" t="s">
        <v>357</v>
      </c>
      <c r="E43" t="s">
        <v>247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</row>
    <row r="44">
      <c r="A44" t="s">
        <v>150</v>
      </c>
      <c r="B44" t="s">
        <v>358</v>
      </c>
      <c r="C44" t="s">
        <v>246</v>
      </c>
      <c r="D44" t="s">
        <v>359</v>
      </c>
      <c r="E44" t="s">
        <v>247</v>
      </c>
      <c r="F44" t="n">
        <v>12777.444</v>
      </c>
      <c r="G44" t="n">
        <v>12830.016</v>
      </c>
      <c r="H44" t="n">
        <v>13136.542</v>
      </c>
      <c r="I44" t="n">
        <v>13525.682</v>
      </c>
      <c r="J44" t="n">
        <v>13916.597</v>
      </c>
      <c r="K44" t="n">
        <v>14390.372</v>
      </c>
      <c r="L44" t="n">
        <v>14517.425</v>
      </c>
      <c r="M44" t="n">
        <v>14601.78</v>
      </c>
      <c r="N44" t="n">
        <v>14742.844</v>
      </c>
      <c r="O44" t="n">
        <v>14805.736</v>
      </c>
      <c r="P44" t="n">
        <v>14820.846</v>
      </c>
      <c r="Q44" t="n">
        <v>15000.959</v>
      </c>
      <c r="R44" t="n">
        <v>15298.587</v>
      </c>
      <c r="S44" t="n">
        <v>15581.928</v>
      </c>
      <c r="T44" t="n">
        <v>15724.404</v>
      </c>
      <c r="U44" t="n">
        <v>15882.599</v>
      </c>
      <c r="V44" t="n">
        <v>16054.449</v>
      </c>
      <c r="W44" t="n">
        <v>16284.565</v>
      </c>
      <c r="X44" t="n">
        <v>16114.276</v>
      </c>
      <c r="Y44" t="n">
        <v>15905.768</v>
      </c>
      <c r="Z44" t="n">
        <v>15321.79</v>
      </c>
      <c r="AA44" t="n">
        <v>14735.77</v>
      </c>
      <c r="AB44" t="n">
        <v>14166.605</v>
      </c>
      <c r="AC44" t="n">
        <v>13621.391</v>
      </c>
      <c r="AD44" t="n">
        <v>12950.584</v>
      </c>
      <c r="AE44" t="n">
        <v>12441.7</v>
      </c>
      <c r="AF44" t="n">
        <v>11969.5</v>
      </c>
    </row>
    <row r="45">
      <c r="A45" t="s">
        <v>150</v>
      </c>
      <c r="B45" t="s">
        <v>360</v>
      </c>
      <c r="C45" t="s">
        <v>246</v>
      </c>
      <c r="D45" t="s">
        <v>361</v>
      </c>
      <c r="E45" t="s">
        <v>247</v>
      </c>
      <c r="F45" t="n">
        <v>12777.587</v>
      </c>
      <c r="G45" t="n">
        <v>12830.16</v>
      </c>
      <c r="H45" t="n">
        <v>13136.331</v>
      </c>
      <c r="I45" t="n">
        <v>13525.643</v>
      </c>
      <c r="J45" t="n">
        <v>13916.21</v>
      </c>
      <c r="K45" t="n">
        <v>14389.973</v>
      </c>
      <c r="L45" t="n">
        <v>14517.022</v>
      </c>
      <c r="M45" t="n">
        <v>14601.375</v>
      </c>
      <c r="N45" t="n">
        <v>14742.434</v>
      </c>
      <c r="O45" t="n">
        <v>14805.478</v>
      </c>
      <c r="P45" t="n">
        <v>14820.589</v>
      </c>
      <c r="Q45" t="n">
        <v>15000.698</v>
      </c>
      <c r="R45" t="n">
        <v>15298.462</v>
      </c>
      <c r="S45" t="n">
        <v>15581.801</v>
      </c>
      <c r="T45" t="n">
        <v>15724.276</v>
      </c>
      <c r="U45" t="n">
        <v>15882.469</v>
      </c>
      <c r="V45" t="n">
        <v>16054.318</v>
      </c>
      <c r="W45" t="n">
        <v>16284.433</v>
      </c>
      <c r="X45" t="n">
        <v>16114.145</v>
      </c>
      <c r="Y45" t="n">
        <v>15905.638</v>
      </c>
      <c r="Z45" t="n">
        <v>15321.8</v>
      </c>
      <c r="AA45" t="n">
        <v>14735.882</v>
      </c>
      <c r="AB45" t="n">
        <v>14166.713</v>
      </c>
      <c r="AC45" t="n">
        <v>13621.597</v>
      </c>
      <c r="AD45" t="n">
        <v>12950.684</v>
      </c>
      <c r="AE45" t="n">
        <v>12441.7</v>
      </c>
      <c r="AF45" t="n">
        <v>11969.5</v>
      </c>
    </row>
    <row r="46">
      <c r="A46" t="s">
        <v>150</v>
      </c>
      <c r="B46" t="s">
        <v>362</v>
      </c>
      <c r="C46" t="s">
        <v>246</v>
      </c>
      <c r="D46" t="s">
        <v>363</v>
      </c>
      <c r="E46" t="s">
        <v>247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</row>
    <row r="47">
      <c r="A47" t="s">
        <v>150</v>
      </c>
      <c r="B47" t="s">
        <v>364</v>
      </c>
      <c r="C47" t="s">
        <v>246</v>
      </c>
      <c r="D47" t="s">
        <v>365</v>
      </c>
      <c r="E47" t="s">
        <v>247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</row>
    <row r="48">
      <c r="A48" t="s">
        <v>150</v>
      </c>
      <c r="B48" t="s">
        <v>366</v>
      </c>
      <c r="C48" t="s">
        <v>246</v>
      </c>
      <c r="D48" t="s">
        <v>367</v>
      </c>
      <c r="E48" t="s">
        <v>247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</row>
    <row r="49">
      <c r="A49" t="s">
        <v>150</v>
      </c>
      <c r="B49" t="s">
        <v>368</v>
      </c>
      <c r="C49" t="s">
        <v>246</v>
      </c>
      <c r="D49" t="s">
        <v>369</v>
      </c>
      <c r="E49" t="s">
        <v>247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</row>
    <row r="50">
      <c r="A50" t="s">
        <v>150</v>
      </c>
      <c r="B50" t="s">
        <v>370</v>
      </c>
      <c r="C50" t="s">
        <v>246</v>
      </c>
      <c r="D50" t="s">
        <v>371</v>
      </c>
      <c r="E50" t="s">
        <v>247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</row>
    <row r="51">
      <c r="A51" t="s">
        <v>150</v>
      </c>
      <c r="B51" t="s">
        <v>372</v>
      </c>
      <c r="C51" t="s">
        <v>246</v>
      </c>
      <c r="D51" t="s">
        <v>373</v>
      </c>
      <c r="E51" t="s">
        <v>247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</row>
    <row r="52">
      <c r="A52" t="s">
        <v>150</v>
      </c>
      <c r="B52" t="s">
        <v>374</v>
      </c>
      <c r="C52" t="s">
        <v>246</v>
      </c>
      <c r="D52" t="s">
        <v>375</v>
      </c>
      <c r="E52" t="s">
        <v>247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</row>
    <row r="53">
      <c r="A53" t="s">
        <v>150</v>
      </c>
      <c r="B53" t="s">
        <v>376</v>
      </c>
      <c r="C53" t="s">
        <v>246</v>
      </c>
      <c r="D53" t="s">
        <v>377</v>
      </c>
      <c r="E53" t="s">
        <v>247</v>
      </c>
      <c r="F53" t="n">
        <v>3579.06</v>
      </c>
      <c r="G53" t="n">
        <v>3560.297</v>
      </c>
      <c r="H53" t="n">
        <v>3636.009</v>
      </c>
      <c r="I53" t="n">
        <v>3774.607</v>
      </c>
      <c r="J53" t="n">
        <v>3912.633</v>
      </c>
      <c r="K53" t="n">
        <v>3999.477</v>
      </c>
      <c r="L53" t="n">
        <v>4089.121</v>
      </c>
      <c r="M53" t="n">
        <v>4175.229</v>
      </c>
      <c r="N53" t="n">
        <v>4257.645</v>
      </c>
      <c r="O53" t="n">
        <v>4247.339</v>
      </c>
      <c r="P53" t="n">
        <v>4325.032</v>
      </c>
      <c r="Q53" t="n">
        <v>4472.257</v>
      </c>
      <c r="R53" t="n">
        <v>4570.481</v>
      </c>
      <c r="S53" t="n">
        <v>4638.491</v>
      </c>
      <c r="T53" t="n">
        <v>4829.853</v>
      </c>
      <c r="U53" t="n">
        <v>4709.989</v>
      </c>
      <c r="V53" t="n">
        <v>4746.054</v>
      </c>
      <c r="W53" t="n">
        <v>4771.453</v>
      </c>
      <c r="X53" t="n">
        <v>4759.651</v>
      </c>
      <c r="Y53" t="n">
        <v>4724.309</v>
      </c>
      <c r="Z53" t="n">
        <v>4438.47</v>
      </c>
      <c r="AA53" t="n">
        <v>4190.152</v>
      </c>
      <c r="AB53" t="n">
        <v>4089.778</v>
      </c>
      <c r="AC53" t="n">
        <v>3898.463</v>
      </c>
      <c r="AD53" t="n">
        <v>3662.982</v>
      </c>
      <c r="AE53" t="n">
        <v>3565.8</v>
      </c>
      <c r="AF53" t="n">
        <v>3412.8</v>
      </c>
    </row>
    <row r="54">
      <c r="A54" t="s">
        <v>150</v>
      </c>
      <c r="B54" t="s">
        <v>378</v>
      </c>
      <c r="C54" t="s">
        <v>246</v>
      </c>
      <c r="D54" t="s">
        <v>379</v>
      </c>
      <c r="E54" t="s">
        <v>247</v>
      </c>
      <c r="F54" t="n">
        <v>3578.505</v>
      </c>
      <c r="G54" t="n">
        <v>3559.745</v>
      </c>
      <c r="H54" t="n">
        <v>3635.653</v>
      </c>
      <c r="I54" t="n">
        <v>3774.238</v>
      </c>
      <c r="J54" t="n">
        <v>3912.251</v>
      </c>
      <c r="K54" t="n">
        <v>3999.28</v>
      </c>
      <c r="L54" t="n">
        <v>4088.724</v>
      </c>
      <c r="M54" t="n">
        <v>4174.824</v>
      </c>
      <c r="N54" t="n">
        <v>4257.05</v>
      </c>
      <c r="O54" t="n">
        <v>4247.094</v>
      </c>
      <c r="P54" t="n">
        <v>4324.782</v>
      </c>
      <c r="Q54" t="n">
        <v>4471.999</v>
      </c>
      <c r="R54" t="n">
        <v>4570.061</v>
      </c>
      <c r="S54" t="n">
        <v>4638.216</v>
      </c>
      <c r="T54" t="n">
        <v>4829.416</v>
      </c>
      <c r="U54" t="n">
        <v>4709.711</v>
      </c>
      <c r="V54" t="n">
        <v>4745.774</v>
      </c>
      <c r="W54" t="n">
        <v>4771.322</v>
      </c>
      <c r="X54" t="n">
        <v>4759.521</v>
      </c>
      <c r="Y54" t="n">
        <v>4724.179</v>
      </c>
      <c r="Z54" t="n">
        <v>4438.492</v>
      </c>
      <c r="AA54" t="n">
        <v>4190.27</v>
      </c>
      <c r="AB54" t="n">
        <v>4089.893</v>
      </c>
      <c r="AC54" t="n">
        <v>3898.573</v>
      </c>
      <c r="AD54" t="n">
        <v>3663.084</v>
      </c>
      <c r="AE54" t="n">
        <v>3565.9</v>
      </c>
      <c r="AF54" t="n">
        <v>3412.8</v>
      </c>
    </row>
    <row r="55">
      <c r="A55" t="s">
        <v>150</v>
      </c>
      <c r="B55" t="s">
        <v>380</v>
      </c>
      <c r="C55" t="s">
        <v>246</v>
      </c>
      <c r="D55" t="s">
        <v>381</v>
      </c>
      <c r="E55" t="s">
        <v>247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s">
        <v>150</v>
      </c>
      <c r="B56" t="s">
        <v>382</v>
      </c>
      <c r="C56" t="s">
        <v>246</v>
      </c>
      <c r="D56" t="s">
        <v>383</v>
      </c>
      <c r="E56" t="s">
        <v>247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</row>
    <row r="57">
      <c r="A57" t="s">
        <v>150</v>
      </c>
      <c r="B57" t="s">
        <v>384</v>
      </c>
      <c r="C57" t="s">
        <v>246</v>
      </c>
      <c r="D57" t="s">
        <v>385</v>
      </c>
      <c r="E57" t="s">
        <v>247</v>
      </c>
      <c r="F57" t="n">
        <v>12776.822</v>
      </c>
      <c r="G57" t="n">
        <v>12829.391</v>
      </c>
      <c r="H57" t="n">
        <v>13135.898</v>
      </c>
      <c r="I57" t="n">
        <v>13525.024</v>
      </c>
      <c r="J57" t="n">
        <v>13915.925</v>
      </c>
      <c r="K57" t="n">
        <v>14389.672</v>
      </c>
      <c r="L57" t="n">
        <v>14516.716</v>
      </c>
      <c r="M57" t="n">
        <v>14601.392</v>
      </c>
      <c r="N57" t="n">
        <v>14742.609</v>
      </c>
      <c r="O57" t="n">
        <v>14805.807</v>
      </c>
      <c r="P57" t="n">
        <v>14821.066</v>
      </c>
      <c r="Q57" t="n">
        <v>15001.037</v>
      </c>
      <c r="R57" t="n">
        <v>15298.667</v>
      </c>
      <c r="S57" t="n">
        <v>15582.009</v>
      </c>
      <c r="T57" t="n">
        <v>15724.893</v>
      </c>
      <c r="U57" t="n">
        <v>15882.817</v>
      </c>
      <c r="V57" t="n">
        <v>16055.097</v>
      </c>
      <c r="W57" t="n">
        <v>16285.221</v>
      </c>
      <c r="X57" t="n">
        <v>16115.066</v>
      </c>
      <c r="Y57" t="n">
        <v>15905.838</v>
      </c>
      <c r="Z57" t="n">
        <v>15321.998</v>
      </c>
      <c r="AA57" t="n">
        <v>14735.773</v>
      </c>
      <c r="AB57" t="n">
        <v>14166.609</v>
      </c>
      <c r="AC57" t="n">
        <v>13621.394</v>
      </c>
      <c r="AD57" t="n">
        <v>12950.688</v>
      </c>
      <c r="AE57" t="n">
        <v>12441.8</v>
      </c>
      <c r="AF57" t="n">
        <v>11969.5</v>
      </c>
    </row>
    <row r="58">
      <c r="A58" t="s">
        <v>150</v>
      </c>
      <c r="B58" t="s">
        <v>386</v>
      </c>
      <c r="C58" t="s">
        <v>246</v>
      </c>
      <c r="D58" t="s">
        <v>387</v>
      </c>
      <c r="E58" t="s">
        <v>247</v>
      </c>
      <c r="F58" t="n">
        <v>12776.822</v>
      </c>
      <c r="G58" t="n">
        <v>12829.391</v>
      </c>
      <c r="H58" t="n">
        <v>13135.898</v>
      </c>
      <c r="I58" t="n">
        <v>13525.024</v>
      </c>
      <c r="J58" t="n">
        <v>13915.925</v>
      </c>
      <c r="K58" t="n">
        <v>14389.672</v>
      </c>
      <c r="L58" t="n">
        <v>14516.716</v>
      </c>
      <c r="M58" t="n">
        <v>14601.392</v>
      </c>
      <c r="N58" t="n">
        <v>14742.609</v>
      </c>
      <c r="O58" t="n">
        <v>14805.807</v>
      </c>
      <c r="P58" t="n">
        <v>14821.066</v>
      </c>
      <c r="Q58" t="n">
        <v>15001.037</v>
      </c>
      <c r="R58" t="n">
        <v>15298.667</v>
      </c>
      <c r="S58" t="n">
        <v>15582.009</v>
      </c>
      <c r="T58" t="n">
        <v>15724.893</v>
      </c>
      <c r="U58" t="n">
        <v>15882.817</v>
      </c>
      <c r="V58" t="n">
        <v>16055.097</v>
      </c>
      <c r="W58" t="n">
        <v>16285.221</v>
      </c>
      <c r="X58" t="n">
        <v>16115.066</v>
      </c>
      <c r="Y58" t="n">
        <v>15905.838</v>
      </c>
      <c r="Z58" t="n">
        <v>15321.998</v>
      </c>
      <c r="AA58" t="n">
        <v>14735.773</v>
      </c>
      <c r="AB58" t="n">
        <v>14166.609</v>
      </c>
      <c r="AC58" t="n">
        <v>13621.394</v>
      </c>
      <c r="AD58" t="n">
        <v>12950.688</v>
      </c>
      <c r="AE58" t="n">
        <v>12441.8</v>
      </c>
      <c r="AF58" t="n">
        <v>11969.5</v>
      </c>
    </row>
    <row r="59">
      <c r="A59" t="s">
        <v>150</v>
      </c>
      <c r="B59" t="s">
        <v>388</v>
      </c>
      <c r="C59" t="s">
        <v>246</v>
      </c>
      <c r="D59" t="s">
        <v>389</v>
      </c>
      <c r="E59" t="s">
        <v>247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165</v>
      </c>
      <c r="B1" t="s">
        <v>166</v>
      </c>
      <c r="C1" t="s">
        <v>167</v>
      </c>
      <c r="D1" t="s">
        <v>168</v>
      </c>
      <c r="E1" t="s">
        <v>169</v>
      </c>
      <c r="F1" t="s">
        <v>170</v>
      </c>
      <c r="G1" t="s">
        <v>171</v>
      </c>
      <c r="H1" t="s">
        <v>172</v>
      </c>
      <c r="I1" t="s">
        <v>173</v>
      </c>
      <c r="J1" t="s">
        <v>174</v>
      </c>
      <c r="K1" t="s">
        <v>175</v>
      </c>
      <c r="L1" t="s">
        <v>176</v>
      </c>
      <c r="M1" t="s">
        <v>177</v>
      </c>
      <c r="N1" t="s">
        <v>178</v>
      </c>
      <c r="O1" t="s">
        <v>179</v>
      </c>
      <c r="P1" t="s">
        <v>180</v>
      </c>
      <c r="Q1" t="s">
        <v>181</v>
      </c>
      <c r="R1" t="s">
        <v>182</v>
      </c>
      <c r="S1" t="s">
        <v>183</v>
      </c>
      <c r="T1" t="s">
        <v>184</v>
      </c>
      <c r="U1" t="s">
        <v>185</v>
      </c>
      <c r="V1" t="s">
        <v>186</v>
      </c>
      <c r="W1" t="s">
        <v>187</v>
      </c>
      <c r="X1" t="s">
        <v>188</v>
      </c>
      <c r="Y1" t="s">
        <v>189</v>
      </c>
      <c r="Z1" t="s">
        <v>190</v>
      </c>
      <c r="AA1" t="s">
        <v>191</v>
      </c>
      <c r="AB1" t="s">
        <v>192</v>
      </c>
      <c r="AC1" t="s">
        <v>193</v>
      </c>
      <c r="AD1" t="s">
        <v>194</v>
      </c>
      <c r="AE1" t="s">
        <v>195</v>
      </c>
      <c r="AF1" t="s">
        <v>196</v>
      </c>
    </row>
    <row r="2">
      <c r="A2" t="s">
        <v>151</v>
      </c>
      <c r="B2" t="s">
        <v>197</v>
      </c>
      <c r="C2" t="s">
        <v>246</v>
      </c>
      <c r="D2" t="s">
        <v>199</v>
      </c>
      <c r="E2" t="s">
        <v>247</v>
      </c>
      <c r="F2" t="n">
        <v>218696.656465358</v>
      </c>
      <c r="G2" t="n">
        <v>215542.597357808</v>
      </c>
      <c r="H2" t="n">
        <v>212669.323674841</v>
      </c>
      <c r="I2" t="n">
        <v>210318.641477977</v>
      </c>
      <c r="J2" t="n">
        <v>208478.851262193</v>
      </c>
      <c r="K2" t="n">
        <v>207808.737036119</v>
      </c>
      <c r="L2" t="n">
        <v>205674.001121165</v>
      </c>
      <c r="M2" t="n">
        <v>203842.77742577</v>
      </c>
      <c r="N2" t="n">
        <v>202059.726276437</v>
      </c>
      <c r="O2" t="n">
        <v>200536.36533428</v>
      </c>
      <c r="P2" t="n">
        <v>199313.626071725</v>
      </c>
      <c r="Q2" t="n">
        <v>198491.847246464</v>
      </c>
      <c r="R2" t="n">
        <v>196931.514738454</v>
      </c>
      <c r="S2" t="n">
        <v>194125.56743864</v>
      </c>
      <c r="T2" t="n">
        <v>189838.686745893</v>
      </c>
      <c r="U2" t="n">
        <v>186137.763227727</v>
      </c>
      <c r="V2" t="n">
        <v>183164.405305146</v>
      </c>
      <c r="W2" t="n">
        <v>179526.678474047</v>
      </c>
      <c r="X2" t="n">
        <v>174504.211587401</v>
      </c>
      <c r="Y2" t="n">
        <v>169607.107454621</v>
      </c>
      <c r="Z2" t="n">
        <v>164804.491919079</v>
      </c>
      <c r="AA2" t="n">
        <v>160886.276318382</v>
      </c>
      <c r="AB2" t="n">
        <v>158151.554784031</v>
      </c>
      <c r="AC2" t="n">
        <v>156355.938819207</v>
      </c>
      <c r="AD2" t="n">
        <v>154895.790605676</v>
      </c>
      <c r="AE2" t="n">
        <v>152562.3</v>
      </c>
      <c r="AF2" t="n">
        <v>151158.3</v>
      </c>
    </row>
    <row r="3">
      <c r="A3" t="s">
        <v>151</v>
      </c>
      <c r="B3" t="s">
        <v>276</v>
      </c>
      <c r="C3" t="s">
        <v>246</v>
      </c>
      <c r="D3" t="s">
        <v>277</v>
      </c>
      <c r="E3" t="s">
        <v>247</v>
      </c>
      <c r="F3" t="n">
        <v>27728.6227492526</v>
      </c>
      <c r="G3" t="n">
        <v>28563.7723497712</v>
      </c>
      <c r="H3" t="n">
        <v>29583.7202728998</v>
      </c>
      <c r="I3" t="n">
        <v>30087.9076842636</v>
      </c>
      <c r="J3" t="n">
        <v>30482.0440798528</v>
      </c>
      <c r="K3" t="n">
        <v>31357.9648867452</v>
      </c>
      <c r="L3" t="n">
        <v>32178.1354361946</v>
      </c>
      <c r="M3" t="n">
        <v>32574.462311198</v>
      </c>
      <c r="N3" t="n">
        <v>32929.3945013155</v>
      </c>
      <c r="O3" t="n">
        <v>33649.7633590033</v>
      </c>
      <c r="P3" t="n">
        <v>34467.2622100103</v>
      </c>
      <c r="Q3" t="n">
        <v>34914.781689653</v>
      </c>
      <c r="R3" t="n">
        <v>35528.4321774847</v>
      </c>
      <c r="S3" t="n">
        <v>35688.744141824</v>
      </c>
      <c r="T3" t="n">
        <v>35543.4262248918</v>
      </c>
      <c r="U3" t="n">
        <v>35827.0226660263</v>
      </c>
      <c r="V3" t="n">
        <v>36072.1875238756</v>
      </c>
      <c r="W3" t="n">
        <v>36048.5795969589</v>
      </c>
      <c r="X3" t="n">
        <v>35915.5571113715</v>
      </c>
      <c r="Y3" t="n">
        <v>36702.6290345863</v>
      </c>
      <c r="Z3" t="n">
        <v>37092.7787039906</v>
      </c>
      <c r="AA3" t="n">
        <v>36587.0279540652</v>
      </c>
      <c r="AB3" t="n">
        <v>35561.721226616</v>
      </c>
      <c r="AC3" t="n">
        <v>36326.3817591755</v>
      </c>
      <c r="AD3" t="n">
        <v>36604.442212165</v>
      </c>
      <c r="AE3" t="n">
        <v>35843.9</v>
      </c>
      <c r="AF3" t="n">
        <v>35493.6</v>
      </c>
    </row>
    <row r="4">
      <c r="A4" t="s">
        <v>151</v>
      </c>
      <c r="B4" t="s">
        <v>278</v>
      </c>
      <c r="C4" t="s">
        <v>246</v>
      </c>
      <c r="D4" t="s">
        <v>279</v>
      </c>
      <c r="E4" t="s">
        <v>247</v>
      </c>
      <c r="F4" t="n">
        <v>415325.354167369</v>
      </c>
      <c r="G4" t="n">
        <v>415799.602242771</v>
      </c>
      <c r="H4" t="n">
        <v>416198.994693858</v>
      </c>
      <c r="I4" t="n">
        <v>420271.6467686</v>
      </c>
      <c r="J4" t="n">
        <v>427013.504261725</v>
      </c>
      <c r="K4" t="n">
        <v>436912.85832085</v>
      </c>
      <c r="L4" t="n">
        <v>446405.916672846</v>
      </c>
      <c r="M4" t="n">
        <v>456324.214814146</v>
      </c>
      <c r="N4" t="n">
        <v>462812.0298017</v>
      </c>
      <c r="O4" t="n">
        <v>468841.157594332</v>
      </c>
      <c r="P4" t="n">
        <v>473906.274012506</v>
      </c>
      <c r="Q4" t="n">
        <v>481846.193414627</v>
      </c>
      <c r="R4" t="n">
        <v>489864.472948894</v>
      </c>
      <c r="S4" t="n">
        <v>496556.236659071</v>
      </c>
      <c r="T4" t="n">
        <v>493052.239483164</v>
      </c>
      <c r="U4" t="n">
        <v>494690.801643045</v>
      </c>
      <c r="V4" t="n">
        <v>495838.658339214</v>
      </c>
      <c r="W4" t="n">
        <v>493313.116532878</v>
      </c>
      <c r="X4" t="n">
        <v>486501.226040958</v>
      </c>
      <c r="Y4" t="n">
        <v>481636.508363249</v>
      </c>
      <c r="Z4" t="n">
        <v>480035.585870587</v>
      </c>
      <c r="AA4" t="n">
        <v>483640.208182413</v>
      </c>
      <c r="AB4" t="n">
        <v>487698.36955988</v>
      </c>
      <c r="AC4" t="n">
        <v>495166.896013942</v>
      </c>
      <c r="AD4" t="n">
        <v>498469.911625993</v>
      </c>
      <c r="AE4" t="n">
        <v>494980.6</v>
      </c>
      <c r="AF4" t="n">
        <v>498148.5</v>
      </c>
    </row>
    <row r="5">
      <c r="A5" t="s">
        <v>151</v>
      </c>
      <c r="B5" t="s">
        <v>280</v>
      </c>
      <c r="C5" t="s">
        <v>246</v>
      </c>
      <c r="D5" t="s">
        <v>281</v>
      </c>
      <c r="E5" t="s">
        <v>247</v>
      </c>
      <c r="F5" t="n">
        <v>43527.2448383525</v>
      </c>
      <c r="G5" t="n">
        <v>44414.2936505615</v>
      </c>
      <c r="H5" t="n">
        <v>45295.6077428909</v>
      </c>
      <c r="I5" t="n">
        <v>45768.8174185764</v>
      </c>
      <c r="J5" t="n">
        <v>47949.7693060792</v>
      </c>
      <c r="K5" t="n">
        <v>49768.473986168</v>
      </c>
      <c r="L5" t="n">
        <v>51349.9959685479</v>
      </c>
      <c r="M5" t="n">
        <v>53030.7476274788</v>
      </c>
      <c r="N5" t="n">
        <v>53652.0148686714</v>
      </c>
      <c r="O5" t="n">
        <v>55332.4324596698</v>
      </c>
      <c r="P5" t="n">
        <v>55996.7771199288</v>
      </c>
      <c r="Q5" t="n">
        <v>57790.1181190897</v>
      </c>
      <c r="R5" t="n">
        <v>58882.7001277736</v>
      </c>
      <c r="S5" t="n">
        <v>59721.9350237187</v>
      </c>
      <c r="T5" t="n">
        <v>58686.6278995967</v>
      </c>
      <c r="U5" t="n">
        <v>58972.3940071294</v>
      </c>
      <c r="V5" t="n">
        <v>59111.6018933139</v>
      </c>
      <c r="W5" t="n">
        <v>59438.1480881252</v>
      </c>
      <c r="X5" t="n">
        <v>58855.7434513789</v>
      </c>
      <c r="Y5" t="n">
        <v>58595.7128362413</v>
      </c>
      <c r="Z5" t="n">
        <v>58153.7326650477</v>
      </c>
      <c r="AA5" t="n">
        <v>58584.0272573098</v>
      </c>
      <c r="AB5" t="n">
        <v>58940.9789958696</v>
      </c>
      <c r="AC5" t="n">
        <v>60664.1830431735</v>
      </c>
      <c r="AD5" t="n">
        <v>61332.8668734146</v>
      </c>
      <c r="AE5" t="n">
        <v>60433.7</v>
      </c>
      <c r="AF5"/>
    </row>
    <row r="6">
      <c r="A6" t="s">
        <v>151</v>
      </c>
      <c r="B6" t="s">
        <v>282</v>
      </c>
      <c r="C6" t="s">
        <v>246</v>
      </c>
      <c r="D6" t="s">
        <v>283</v>
      </c>
      <c r="E6" t="s">
        <v>247</v>
      </c>
      <c r="F6" t="n">
        <v>29021.473973448</v>
      </c>
      <c r="G6" t="n">
        <v>28883.3675025387</v>
      </c>
      <c r="H6" t="n">
        <v>28438.751732906</v>
      </c>
      <c r="I6" t="n">
        <v>28964.6044935085</v>
      </c>
      <c r="J6" t="n">
        <v>28836.4438516821</v>
      </c>
      <c r="K6" t="n">
        <v>29014.955737941</v>
      </c>
      <c r="L6" t="n">
        <v>29264.0204471941</v>
      </c>
      <c r="M6" t="n">
        <v>29706.2448584376</v>
      </c>
      <c r="N6" t="n">
        <v>30078.937943787</v>
      </c>
      <c r="O6" t="n">
        <v>30225.4624315583</v>
      </c>
      <c r="P6" t="n">
        <v>30349.4408514219</v>
      </c>
      <c r="Q6" t="n">
        <v>30321.8042126521</v>
      </c>
      <c r="R6" t="n">
        <v>30342.9812096952</v>
      </c>
      <c r="S6" t="n">
        <v>30481.7018018664</v>
      </c>
      <c r="T6" t="n">
        <v>30035.3552270971</v>
      </c>
      <c r="U6" t="n">
        <v>29869.0345498462</v>
      </c>
      <c r="V6" t="n">
        <v>29540.6513385533</v>
      </c>
      <c r="W6" t="n">
        <v>29173.4077127842</v>
      </c>
      <c r="X6" t="n">
        <v>28472.0822790009</v>
      </c>
      <c r="Y6" t="n">
        <v>27938.9866960179</v>
      </c>
      <c r="Z6" t="n">
        <v>27270.3345774992</v>
      </c>
      <c r="AA6" t="n">
        <v>26934.9426339191</v>
      </c>
      <c r="AB6" t="n">
        <v>26957.4248215275</v>
      </c>
      <c r="AC6" t="n">
        <v>27446.4734985513</v>
      </c>
      <c r="AD6" t="n">
        <v>27400.2267885174</v>
      </c>
      <c r="AE6" t="n">
        <v>26585.6</v>
      </c>
      <c r="AF6"/>
    </row>
    <row r="7">
      <c r="A7" t="s">
        <v>151</v>
      </c>
      <c r="B7" t="s">
        <v>284</v>
      </c>
      <c r="C7" t="s">
        <v>246</v>
      </c>
      <c r="D7" t="s">
        <v>285</v>
      </c>
      <c r="E7" t="s">
        <v>247</v>
      </c>
      <c r="F7" t="n">
        <v>39475.8217284303</v>
      </c>
      <c r="G7" t="n">
        <v>37920.7697557419</v>
      </c>
      <c r="H7" t="n">
        <v>36031.4172357867</v>
      </c>
      <c r="I7" t="n">
        <v>35081.3026812272</v>
      </c>
      <c r="J7" t="n">
        <v>34232.4164902068</v>
      </c>
      <c r="K7" t="n">
        <v>33701.5116377726</v>
      </c>
      <c r="L7" t="n">
        <v>33262.9362120195</v>
      </c>
      <c r="M7" t="n">
        <v>32718.8021866724</v>
      </c>
      <c r="N7" t="n">
        <v>32160.9854467323</v>
      </c>
      <c r="O7" t="n">
        <v>31613.4643225823</v>
      </c>
      <c r="P7" t="n">
        <v>31356.2830658624</v>
      </c>
      <c r="Q7" t="n">
        <v>31222.4243513395</v>
      </c>
      <c r="R7" t="n">
        <v>31177.7389086721</v>
      </c>
      <c r="S7" t="n">
        <v>30927.2391939534</v>
      </c>
      <c r="T7" t="n">
        <v>30025.0431800675</v>
      </c>
      <c r="U7" t="n">
        <v>29741.1104876356</v>
      </c>
      <c r="V7" t="n">
        <v>29488.6310463888</v>
      </c>
      <c r="W7" t="n">
        <v>28994.9933934058</v>
      </c>
      <c r="X7" t="n">
        <v>28280.048061115</v>
      </c>
      <c r="Y7" t="n">
        <v>27488.1845862082</v>
      </c>
      <c r="Z7" t="n">
        <v>27227.8824142554</v>
      </c>
      <c r="AA7" t="n">
        <v>27423.6829354601</v>
      </c>
      <c r="AB7" t="n">
        <v>27705.2061235621</v>
      </c>
      <c r="AC7" t="n">
        <v>28383.6536599844</v>
      </c>
      <c r="AD7" t="n">
        <v>28346.269754739</v>
      </c>
      <c r="AE7" t="n">
        <v>27832.5</v>
      </c>
      <c r="AF7"/>
    </row>
    <row r="8">
      <c r="A8" t="s">
        <v>151</v>
      </c>
      <c r="B8" t="s">
        <v>286</v>
      </c>
      <c r="C8" t="s">
        <v>246</v>
      </c>
      <c r="D8" t="s">
        <v>287</v>
      </c>
      <c r="E8" t="s">
        <v>247</v>
      </c>
      <c r="F8" t="n">
        <v>13946.7185830214</v>
      </c>
      <c r="G8" t="n">
        <v>14937.048432662</v>
      </c>
      <c r="H8" t="n">
        <v>15753.8789504667</v>
      </c>
      <c r="I8" t="n">
        <v>17519.6848694239</v>
      </c>
      <c r="J8" t="n">
        <v>18734.5884751496</v>
      </c>
      <c r="K8" t="n">
        <v>20630.7571643637</v>
      </c>
      <c r="L8" t="n">
        <v>22844.7493058467</v>
      </c>
      <c r="M8" t="n">
        <v>24182.6023572589</v>
      </c>
      <c r="N8" t="n">
        <v>25494.0667463136</v>
      </c>
      <c r="O8" t="n">
        <v>26763.5189200662</v>
      </c>
      <c r="P8" t="n">
        <v>28080.2419894795</v>
      </c>
      <c r="Q8" t="n">
        <v>29182.5294130011</v>
      </c>
      <c r="R8" t="n">
        <v>30497.6982172411</v>
      </c>
      <c r="S8" t="n">
        <v>31301.6397366687</v>
      </c>
      <c r="T8" t="n">
        <v>31880.1701445214</v>
      </c>
      <c r="U8" t="n">
        <v>32550.3575252643</v>
      </c>
      <c r="V8" t="n">
        <v>33190.505485672</v>
      </c>
      <c r="W8" t="n">
        <v>33582.3645634411</v>
      </c>
      <c r="X8" t="n">
        <v>33111.1040178859</v>
      </c>
      <c r="Y8" t="n">
        <v>32453.7295686974</v>
      </c>
      <c r="Z8" t="n">
        <v>31434.3881748678</v>
      </c>
      <c r="AA8" t="n">
        <v>30835.7777424579</v>
      </c>
      <c r="AB8" t="n">
        <v>30725.3756255419</v>
      </c>
      <c r="AC8" t="n">
        <v>30416.3072594638</v>
      </c>
      <c r="AD8" t="n">
        <v>30335.7025130281</v>
      </c>
      <c r="AE8" t="n">
        <v>29467.2</v>
      </c>
      <c r="AF8"/>
    </row>
    <row r="9">
      <c r="A9" t="s">
        <v>151</v>
      </c>
      <c r="B9" t="s">
        <v>288</v>
      </c>
      <c r="C9" t="s">
        <v>246</v>
      </c>
      <c r="D9" t="s">
        <v>289</v>
      </c>
      <c r="E9" t="s">
        <v>247</v>
      </c>
      <c r="F9" t="n">
        <v>21725.1428735087</v>
      </c>
      <c r="G9" t="n">
        <v>22213.8951712984</v>
      </c>
      <c r="H9" t="n">
        <v>23388.7250116706</v>
      </c>
      <c r="I9" t="n">
        <v>24706.2873866494</v>
      </c>
      <c r="J9" t="n">
        <v>26164.7082555903</v>
      </c>
      <c r="K9" t="n">
        <v>27600.0321039575</v>
      </c>
      <c r="L9" t="n">
        <v>28905.9171871063</v>
      </c>
      <c r="M9" t="n">
        <v>30037.1855884307</v>
      </c>
      <c r="N9" t="n">
        <v>31682.9247046737</v>
      </c>
      <c r="O9" t="n">
        <v>32294.817111446</v>
      </c>
      <c r="P9" t="n">
        <v>32751.2853192583</v>
      </c>
      <c r="Q9" t="n">
        <v>33771.6288528473</v>
      </c>
      <c r="R9" t="n">
        <v>34558.7836016859</v>
      </c>
      <c r="S9" t="n">
        <v>34822.3663929919</v>
      </c>
      <c r="T9" t="n">
        <v>34841.3460889837</v>
      </c>
      <c r="U9" t="n">
        <v>34958.9073277087</v>
      </c>
      <c r="V9" t="n">
        <v>34957.3971864445</v>
      </c>
      <c r="W9" t="n">
        <v>34339.9490366789</v>
      </c>
      <c r="X9" t="n">
        <v>33758.4021452334</v>
      </c>
      <c r="Y9" t="n">
        <v>33466.0082677847</v>
      </c>
      <c r="Z9" t="n">
        <v>33114.3692832205</v>
      </c>
      <c r="AA9" t="n">
        <v>33141.3455273392</v>
      </c>
      <c r="AB9" t="n">
        <v>32299.9059907457</v>
      </c>
      <c r="AC9" t="n">
        <v>31740.8254620601</v>
      </c>
      <c r="AD9" t="n">
        <v>30990.6363772853</v>
      </c>
      <c r="AE9" t="n">
        <v>30404.1</v>
      </c>
      <c r="AF9"/>
    </row>
    <row r="10">
      <c r="A10" t="s">
        <v>151</v>
      </c>
      <c r="B10" t="s">
        <v>290</v>
      </c>
      <c r="C10" t="s">
        <v>246</v>
      </c>
      <c r="D10" t="s">
        <v>291</v>
      </c>
      <c r="E10" t="s">
        <v>247</v>
      </c>
      <c r="F10" t="n">
        <v>32015.9450142403</v>
      </c>
      <c r="G10" t="n">
        <v>32708.5636271212</v>
      </c>
      <c r="H10" t="n">
        <v>34221.2373922121</v>
      </c>
      <c r="I10" t="n">
        <v>36372.7017522205</v>
      </c>
      <c r="J10" t="n">
        <v>38473.5049225409</v>
      </c>
      <c r="K10" t="n">
        <v>40344.6753489104</v>
      </c>
      <c r="L10" t="n">
        <v>41936.6924043681</v>
      </c>
      <c r="M10" t="n">
        <v>43557.7979722009</v>
      </c>
      <c r="N10" t="n">
        <v>45667.7509605562</v>
      </c>
      <c r="O10" t="n">
        <v>46455.9874742816</v>
      </c>
      <c r="P10" t="n">
        <v>47196.006547574</v>
      </c>
      <c r="Q10" t="n">
        <v>48495.2864387829</v>
      </c>
      <c r="R10" t="n">
        <v>49483.8653242847</v>
      </c>
      <c r="S10" t="n">
        <v>49754.3895194538</v>
      </c>
      <c r="T10" t="n">
        <v>49936.9086076209</v>
      </c>
      <c r="U10" t="n">
        <v>50277.9871533247</v>
      </c>
      <c r="V10" t="n">
        <v>50365.7867829405</v>
      </c>
      <c r="W10" t="n">
        <v>49778.0986336945</v>
      </c>
      <c r="X10" t="n">
        <v>49236.468313472</v>
      </c>
      <c r="Y10" t="n">
        <v>49101.0262152231</v>
      </c>
      <c r="Z10" t="n">
        <v>48997.3162722343</v>
      </c>
      <c r="AA10" t="n">
        <v>49559.4588892567</v>
      </c>
      <c r="AB10" t="n">
        <v>49401.2638250432</v>
      </c>
      <c r="AC10" t="n">
        <v>49112.3101312623</v>
      </c>
      <c r="AD10" t="n">
        <v>48350.9866738417</v>
      </c>
      <c r="AE10" t="n">
        <v>48159.5</v>
      </c>
      <c r="AF10"/>
    </row>
    <row r="11">
      <c r="A11" t="s">
        <v>151</v>
      </c>
      <c r="B11" t="s">
        <v>292</v>
      </c>
      <c r="C11" t="s">
        <v>246</v>
      </c>
      <c r="D11" t="s">
        <v>293</v>
      </c>
      <c r="E11" t="s">
        <v>247</v>
      </c>
      <c r="F11" t="n">
        <v>10238.4536396911</v>
      </c>
      <c r="G11" t="n">
        <v>10441.2665445682</v>
      </c>
      <c r="H11" t="n">
        <v>10775.5239952083</v>
      </c>
      <c r="I11" t="n">
        <v>11608.2931672694</v>
      </c>
      <c r="J11" t="n">
        <v>12246.6807857556</v>
      </c>
      <c r="K11" t="n">
        <v>12675.5517637646</v>
      </c>
      <c r="L11" t="n">
        <v>12953.0861292435</v>
      </c>
      <c r="M11" t="n">
        <v>13439.3911370528</v>
      </c>
      <c r="N11" t="n">
        <v>13892.3321977929</v>
      </c>
      <c r="O11" t="n">
        <v>14064.674618269</v>
      </c>
      <c r="P11" t="n">
        <v>14349.1761551132</v>
      </c>
      <c r="Q11" t="n">
        <v>14619.1676686606</v>
      </c>
      <c r="R11" t="n">
        <v>14812.8988528299</v>
      </c>
      <c r="S11" t="n">
        <v>14814.5825877908</v>
      </c>
      <c r="T11" t="n">
        <v>14985.1359621518</v>
      </c>
      <c r="U11" t="n">
        <v>15212.5503690656</v>
      </c>
      <c r="V11" t="n">
        <v>15304.3868189998</v>
      </c>
      <c r="W11" t="n">
        <v>15346.3552774459</v>
      </c>
      <c r="X11" t="n">
        <v>15397.7758135219</v>
      </c>
      <c r="Y11" t="n">
        <v>15568.7664079444</v>
      </c>
      <c r="Z11" t="n">
        <v>15835.9203236121</v>
      </c>
      <c r="AA11" t="n">
        <v>16391.6221633221</v>
      </c>
      <c r="AB11" t="n">
        <v>17087.5619941353</v>
      </c>
      <c r="AC11" t="n">
        <v>17363.090457904</v>
      </c>
      <c r="AD11" t="n">
        <v>17355.6699373814</v>
      </c>
      <c r="AE11" t="n">
        <v>17755.4</v>
      </c>
      <c r="AF11"/>
    </row>
    <row r="12">
      <c r="A12" t="s">
        <v>151</v>
      </c>
      <c r="B12" t="s">
        <v>294</v>
      </c>
      <c r="C12" t="s">
        <v>246</v>
      </c>
      <c r="D12" t="s">
        <v>295</v>
      </c>
      <c r="E12" t="s">
        <v>247</v>
      </c>
      <c r="F12" t="n">
        <v>62492.120101715</v>
      </c>
      <c r="G12" t="n">
        <v>59399.9670658341</v>
      </c>
      <c r="H12" t="n">
        <v>56583.2532895425</v>
      </c>
      <c r="I12" t="n">
        <v>53916.8572426526</v>
      </c>
      <c r="J12" t="n">
        <v>52434.047929242</v>
      </c>
      <c r="K12" t="n">
        <v>51523.5565768341</v>
      </c>
      <c r="L12" t="n">
        <v>50484.4606663281</v>
      </c>
      <c r="M12" t="n">
        <v>49685.4169515067</v>
      </c>
      <c r="N12" t="n">
        <v>49599.6491931518</v>
      </c>
      <c r="O12" t="n">
        <v>49642.4842138532</v>
      </c>
      <c r="P12" t="n">
        <v>49261.5452113587</v>
      </c>
      <c r="Q12" t="n">
        <v>49958.2260253157</v>
      </c>
      <c r="R12" t="n">
        <v>50365.4350708032</v>
      </c>
      <c r="S12" t="n">
        <v>51350.6084314834</v>
      </c>
      <c r="T12" t="n">
        <v>50127.9589565215</v>
      </c>
      <c r="U12" t="n">
        <v>50120.1420269996</v>
      </c>
      <c r="V12" t="n">
        <v>49993.2019376025</v>
      </c>
      <c r="W12" t="n">
        <v>49428.8382151713</v>
      </c>
      <c r="X12" t="n">
        <v>48572.4013329829</v>
      </c>
      <c r="Y12" t="n">
        <v>47705.3586773546</v>
      </c>
      <c r="Z12" t="n">
        <v>47334.5801666632</v>
      </c>
      <c r="AA12" t="n">
        <v>47542.5484395771</v>
      </c>
      <c r="AB12" t="n">
        <v>48325.0927887099</v>
      </c>
      <c r="AC12" t="n">
        <v>49288.4360071067</v>
      </c>
      <c r="AD12" t="n">
        <v>49722.8569606322</v>
      </c>
      <c r="AE12" t="n">
        <v>49265.3</v>
      </c>
      <c r="AF12"/>
    </row>
    <row r="13">
      <c r="A13" t="s">
        <v>151</v>
      </c>
      <c r="B13" t="s">
        <v>296</v>
      </c>
      <c r="C13" t="s">
        <v>246</v>
      </c>
      <c r="D13" t="s">
        <v>297</v>
      </c>
      <c r="E13" t="s">
        <v>247</v>
      </c>
      <c r="F13" t="n">
        <v>62455.8601230114</v>
      </c>
      <c r="G13" t="n">
        <v>63138.2467886643</v>
      </c>
      <c r="H13" t="n">
        <v>63160.5132942946</v>
      </c>
      <c r="I13" t="n">
        <v>64271.7701938299</v>
      </c>
      <c r="J13" t="n">
        <v>64842.267526084</v>
      </c>
      <c r="K13" t="n">
        <v>66058.3031397557</v>
      </c>
      <c r="L13" t="n">
        <v>67462.9125824395</v>
      </c>
      <c r="M13" t="n">
        <v>69577.3734888537</v>
      </c>
      <c r="N13" t="n">
        <v>70657.8166579011</v>
      </c>
      <c r="O13" t="n">
        <v>71687.680272857</v>
      </c>
      <c r="P13" t="n">
        <v>71764.9110259853</v>
      </c>
      <c r="Q13" t="n">
        <v>71902.5162772955</v>
      </c>
      <c r="R13" t="n">
        <v>73336.8520439642</v>
      </c>
      <c r="S13" t="n">
        <v>74130.4660093338</v>
      </c>
      <c r="T13" t="n">
        <v>73359.2163270876</v>
      </c>
      <c r="U13" t="n">
        <v>73268.4305036453</v>
      </c>
      <c r="V13" t="n">
        <v>73043.7460249483</v>
      </c>
      <c r="W13" t="n">
        <v>72375.8535203226</v>
      </c>
      <c r="X13" t="n">
        <v>70500.8431998429</v>
      </c>
      <c r="Y13" t="n">
        <v>69262.6272404798</v>
      </c>
      <c r="Z13" t="n">
        <v>68723.6918358343</v>
      </c>
      <c r="AA13" t="n">
        <v>67961.7924674735</v>
      </c>
      <c r="AB13" t="n">
        <v>67736.0119243133</v>
      </c>
      <c r="AC13" t="n">
        <v>68470.9153351624</v>
      </c>
      <c r="AD13" t="n">
        <v>69513.3517803876</v>
      </c>
      <c r="AE13" t="n">
        <v>68790.7</v>
      </c>
      <c r="AF13"/>
    </row>
    <row r="14">
      <c r="A14" t="s">
        <v>151</v>
      </c>
      <c r="B14" t="s">
        <v>298</v>
      </c>
      <c r="C14" t="s">
        <v>246</v>
      </c>
      <c r="D14" t="s">
        <v>299</v>
      </c>
      <c r="E14" t="s">
        <v>247</v>
      </c>
      <c r="F14" t="n">
        <v>11660.6129312435</v>
      </c>
      <c r="G14" t="n">
        <v>12336.5265433094</v>
      </c>
      <c r="H14" t="n">
        <v>12596.1418848643</v>
      </c>
      <c r="I14" t="n">
        <v>13687.0486767273</v>
      </c>
      <c r="J14" t="n">
        <v>14453.7481450636</v>
      </c>
      <c r="K14" t="n">
        <v>14993.7911408598</v>
      </c>
      <c r="L14" t="n">
        <v>16017.3033674242</v>
      </c>
      <c r="M14" t="n">
        <v>16261.4450180399</v>
      </c>
      <c r="N14" t="n">
        <v>16551.7846512041</v>
      </c>
      <c r="O14" t="n">
        <v>16865.2617857106</v>
      </c>
      <c r="P14" t="n">
        <v>17267.1369143575</v>
      </c>
      <c r="Q14" t="n">
        <v>17680.2645083996</v>
      </c>
      <c r="R14" t="n">
        <v>18196.7877950936</v>
      </c>
      <c r="S14" t="n">
        <v>18324.0180656383</v>
      </c>
      <c r="T14" t="n">
        <v>18677.2376526738</v>
      </c>
      <c r="U14" t="n">
        <v>19063.8632007101</v>
      </c>
      <c r="V14" t="n">
        <v>19358.7048991335</v>
      </c>
      <c r="W14" t="n">
        <v>19575.6675127413</v>
      </c>
      <c r="X14" t="n">
        <v>19126.5409895459</v>
      </c>
      <c r="Y14" t="n">
        <v>19111.7805943824</v>
      </c>
      <c r="Z14" t="n">
        <v>19096.3411273006</v>
      </c>
      <c r="AA14" t="n">
        <v>19044.587312245</v>
      </c>
      <c r="AB14" t="n">
        <v>19696.7568660757</v>
      </c>
      <c r="AC14" t="n">
        <v>19898.4586685541</v>
      </c>
      <c r="AD14" t="n">
        <v>19995.6599331272</v>
      </c>
      <c r="AE14" t="n">
        <v>20586.8</v>
      </c>
      <c r="AF14"/>
    </row>
    <row r="15">
      <c r="A15" t="s">
        <v>151</v>
      </c>
      <c r="B15" t="s">
        <v>300</v>
      </c>
      <c r="C15" t="s">
        <v>246</v>
      </c>
      <c r="D15" t="s">
        <v>301</v>
      </c>
      <c r="E15" t="s">
        <v>247</v>
      </c>
      <c r="F15" t="n">
        <v>23174.3850305075</v>
      </c>
      <c r="G15" t="n">
        <v>24900.1414976288</v>
      </c>
      <c r="H15" t="n">
        <v>25859.4605698078</v>
      </c>
      <c r="I15" t="n">
        <v>27611.3922459198</v>
      </c>
      <c r="J15" t="n">
        <v>29175.8490134048</v>
      </c>
      <c r="K15" t="n">
        <v>30683.6218475416</v>
      </c>
      <c r="L15" t="n">
        <v>32793.7069305611</v>
      </c>
      <c r="M15" t="n">
        <v>33838.1102173111</v>
      </c>
      <c r="N15" t="n">
        <v>34718.9525986098</v>
      </c>
      <c r="O15" t="n">
        <v>35765.0780092625</v>
      </c>
      <c r="P15" t="n">
        <v>36799.6020952441</v>
      </c>
      <c r="Q15" t="n">
        <v>37866.7506218688</v>
      </c>
      <c r="R15" t="n">
        <v>39194.6446238834</v>
      </c>
      <c r="S15" t="n">
        <v>39864.5047803751</v>
      </c>
      <c r="T15" t="n">
        <v>40271.6822550355</v>
      </c>
      <c r="U15" t="n">
        <v>40968.8010886981</v>
      </c>
      <c r="V15" t="n">
        <v>41577.7495492591</v>
      </c>
      <c r="W15" t="n">
        <v>41405.1154023071</v>
      </c>
      <c r="X15" t="n">
        <v>40285.7951446829</v>
      </c>
      <c r="Y15" t="n">
        <v>39649.8496003763</v>
      </c>
      <c r="Z15" t="n">
        <v>39199.8560361178</v>
      </c>
      <c r="AA15" t="n">
        <v>39017.9345974377</v>
      </c>
      <c r="AB15" t="n">
        <v>39780.6840585405</v>
      </c>
      <c r="AC15" t="n">
        <v>40037.2881411944</v>
      </c>
      <c r="AD15" t="n">
        <v>40235.509543029</v>
      </c>
      <c r="AE15" t="n">
        <v>40571.3</v>
      </c>
      <c r="AF15"/>
    </row>
    <row r="16">
      <c r="A16" t="s">
        <v>151</v>
      </c>
      <c r="B16" t="s">
        <v>302</v>
      </c>
      <c r="C16" t="s">
        <v>246</v>
      </c>
      <c r="D16" t="s">
        <v>303</v>
      </c>
      <c r="E16" t="s">
        <v>247</v>
      </c>
      <c r="F16" t="n">
        <v>11480.9529660278</v>
      </c>
      <c r="G16" t="n">
        <v>12539.2680977819</v>
      </c>
      <c r="H16" t="n">
        <v>13247.9360058838</v>
      </c>
      <c r="I16" t="n">
        <v>13897.7693613065</v>
      </c>
      <c r="J16" t="n">
        <v>14694.4006094356</v>
      </c>
      <c r="K16" t="n">
        <v>15669.5135319675</v>
      </c>
      <c r="L16" t="n">
        <v>16755.0037937623</v>
      </c>
      <c r="M16" t="n">
        <v>17564.9075085639</v>
      </c>
      <c r="N16" t="n">
        <v>18160.3644290559</v>
      </c>
      <c r="O16" t="n">
        <v>18900.0367665511</v>
      </c>
      <c r="P16" t="n">
        <v>19535.8051779858</v>
      </c>
      <c r="Q16" t="n">
        <v>20192.9982048086</v>
      </c>
      <c r="R16" t="n">
        <v>21008.3192731103</v>
      </c>
      <c r="S16" t="n">
        <v>21557.0038034843</v>
      </c>
      <c r="T16" t="n">
        <v>21606.6501696224</v>
      </c>
      <c r="U16" t="n">
        <v>21916.0047567394</v>
      </c>
      <c r="V16" t="n">
        <v>22230.0817395873</v>
      </c>
      <c r="W16" t="n">
        <v>21837.3083316415</v>
      </c>
      <c r="X16" t="n">
        <v>21166.6236607179</v>
      </c>
      <c r="Y16" t="n">
        <v>20543.3256243343</v>
      </c>
      <c r="Z16" t="n">
        <v>20106.6056228099</v>
      </c>
      <c r="AA16" t="n">
        <v>19975.920291465</v>
      </c>
      <c r="AB16" t="n">
        <v>20084.333824061</v>
      </c>
      <c r="AC16" t="n">
        <v>20138.8431603722</v>
      </c>
      <c r="AD16" t="n">
        <v>20239.8712654481</v>
      </c>
      <c r="AE16" t="n">
        <v>19984.5</v>
      </c>
      <c r="AF16"/>
    </row>
    <row r="17">
      <c r="A17" t="s">
        <v>151</v>
      </c>
      <c r="B17" t="s">
        <v>304</v>
      </c>
      <c r="C17" t="s">
        <v>246</v>
      </c>
      <c r="D17" t="s">
        <v>305</v>
      </c>
      <c r="E17" t="s">
        <v>247</v>
      </c>
      <c r="F17" t="n">
        <v>35955.5959779846</v>
      </c>
      <c r="G17" t="n">
        <v>36519.5174128927</v>
      </c>
      <c r="H17" t="n">
        <v>37530.6079144998</v>
      </c>
      <c r="I17" t="n">
        <v>37632.8780225194</v>
      </c>
      <c r="J17" t="n">
        <v>38825.0449356002</v>
      </c>
      <c r="K17" t="n">
        <v>40255.3190959096</v>
      </c>
      <c r="L17" t="n">
        <v>41135.0855888145</v>
      </c>
      <c r="M17" t="n">
        <v>42413.0832712752</v>
      </c>
      <c r="N17" t="n">
        <v>42766.5171379046</v>
      </c>
      <c r="O17" t="n">
        <v>43290.9894269941</v>
      </c>
      <c r="P17" t="n">
        <v>44099.7326474136</v>
      </c>
      <c r="Q17" t="n">
        <v>44676.5064096326</v>
      </c>
      <c r="R17" t="n">
        <v>45417.7076930787</v>
      </c>
      <c r="S17" t="n">
        <v>46541.7906322771</v>
      </c>
      <c r="T17" t="n">
        <v>46059.9498206184</v>
      </c>
      <c r="U17" t="n">
        <v>46281.7048358941</v>
      </c>
      <c r="V17" t="n">
        <v>46557.8831149527</v>
      </c>
      <c r="W17" t="n">
        <v>46401.4071804416</v>
      </c>
      <c r="X17" t="n">
        <v>46216.4040324936</v>
      </c>
      <c r="Y17" t="n">
        <v>46331.2871515073</v>
      </c>
      <c r="Z17" t="n">
        <v>46809.118546726</v>
      </c>
      <c r="AA17" t="n">
        <v>47781.8680091248</v>
      </c>
      <c r="AB17" t="n">
        <v>48807.7238026145</v>
      </c>
      <c r="AC17" t="n">
        <v>50861.6352008105</v>
      </c>
      <c r="AD17" t="n">
        <v>51296.9823891802</v>
      </c>
      <c r="AE17" t="n">
        <v>51352.8</v>
      </c>
      <c r="AF17"/>
    </row>
    <row r="18">
      <c r="A18" t="s">
        <v>151</v>
      </c>
      <c r="B18" t="s">
        <v>306</v>
      </c>
      <c r="C18" t="s">
        <v>246</v>
      </c>
      <c r="D18" t="s">
        <v>307</v>
      </c>
      <c r="E18" t="s">
        <v>247</v>
      </c>
      <c r="F18" t="n">
        <v>40556.8335130227</v>
      </c>
      <c r="G18" t="n">
        <v>40524.2248356012</v>
      </c>
      <c r="H18" t="n">
        <v>40938.5158170485</v>
      </c>
      <c r="I18" t="n">
        <v>40687.834029079</v>
      </c>
      <c r="J18" t="n">
        <v>41157.806666136</v>
      </c>
      <c r="K18" t="n">
        <v>42065.8060941327</v>
      </c>
      <c r="L18" t="n">
        <v>42729.836019811</v>
      </c>
      <c r="M18" t="n">
        <v>43777.2131519015</v>
      </c>
      <c r="N18" t="n">
        <v>43988.2157687327</v>
      </c>
      <c r="O18" t="n">
        <v>43993.5307884672</v>
      </c>
      <c r="P18" t="n">
        <v>44984.0919149477</v>
      </c>
      <c r="Q18" t="n">
        <v>46183.2251944032</v>
      </c>
      <c r="R18" t="n">
        <v>46591.7997020519</v>
      </c>
      <c r="S18" t="n">
        <v>48057.6214153076</v>
      </c>
      <c r="T18" t="n">
        <v>48417.7784107677</v>
      </c>
      <c r="U18" t="n">
        <v>48728.0914720278</v>
      </c>
      <c r="V18" t="n">
        <v>49387.050550967</v>
      </c>
      <c r="W18" t="n">
        <v>50284.0459508731</v>
      </c>
      <c r="X18" t="n">
        <v>51690.962286887</v>
      </c>
      <c r="Y18" t="n">
        <v>52879.2686965852</v>
      </c>
      <c r="Z18" t="n">
        <v>55441.2383281775</v>
      </c>
      <c r="AA18" t="n">
        <v>58722.1157560103</v>
      </c>
      <c r="AB18" t="n">
        <v>60369.8922649331</v>
      </c>
      <c r="AC18" t="n">
        <v>61718.4099031576</v>
      </c>
      <c r="AD18" t="n">
        <v>63086.1111207348</v>
      </c>
      <c r="AE18" t="n">
        <v>63914.8</v>
      </c>
      <c r="AF18"/>
    </row>
    <row r="19">
      <c r="A19" t="s">
        <v>151</v>
      </c>
      <c r="B19" t="s">
        <v>308</v>
      </c>
      <c r="C19" t="s">
        <v>246</v>
      </c>
      <c r="D19" t="s">
        <v>309</v>
      </c>
      <c r="E19" t="s">
        <v>247</v>
      </c>
      <c r="F19" t="n">
        <v>32820.5371632731</v>
      </c>
      <c r="G19" t="n">
        <v>32492.9438296294</v>
      </c>
      <c r="H19" t="n">
        <v>32396.6365374679</v>
      </c>
      <c r="I19" t="n">
        <v>32550.0544936501</v>
      </c>
      <c r="J19" t="n">
        <v>32429.9097326642</v>
      </c>
      <c r="K19" t="n">
        <v>32977.7834513447</v>
      </c>
      <c r="L19" t="n">
        <v>33289.9108010433</v>
      </c>
      <c r="M19" t="n">
        <v>34018.0758930995</v>
      </c>
      <c r="N19" t="n">
        <v>34286.7999003085</v>
      </c>
      <c r="O19" t="n">
        <v>34359.2277419109</v>
      </c>
      <c r="P19" t="n">
        <v>34303.157038792</v>
      </c>
      <c r="Q19" t="n">
        <v>34518.8894330114</v>
      </c>
      <c r="R19" t="n">
        <v>34817.8741766911</v>
      </c>
      <c r="S19" t="n">
        <v>34619.023458403</v>
      </c>
      <c r="T19" t="n">
        <v>34400.6696541895</v>
      </c>
      <c r="U19" t="n">
        <v>34036.5395719033</v>
      </c>
      <c r="V19" t="n">
        <v>33662.8636695197</v>
      </c>
      <c r="W19" t="n">
        <v>32514.2181410066</v>
      </c>
      <c r="X19" t="n">
        <v>31342.7751169392</v>
      </c>
      <c r="Y19" t="n">
        <v>30291.0567891317</v>
      </c>
      <c r="Z19" t="n">
        <v>29488.4057712332</v>
      </c>
      <c r="AA19" t="n">
        <v>29316.4608110198</v>
      </c>
      <c r="AB19" t="n">
        <v>28986.5041120145</v>
      </c>
      <c r="AC19" t="n">
        <v>28790.0570371414</v>
      </c>
      <c r="AD19" t="n">
        <v>28856.0182894074</v>
      </c>
      <c r="AE19" t="n">
        <v>28607.2</v>
      </c>
      <c r="AF19"/>
    </row>
    <row r="20">
      <c r="A20" t="s">
        <v>151</v>
      </c>
      <c r="B20" t="s">
        <v>310</v>
      </c>
      <c r="C20" t="s">
        <v>246</v>
      </c>
      <c r="D20" t="s">
        <v>311</v>
      </c>
      <c r="E20" t="s">
        <v>247</v>
      </c>
      <c r="F20" t="n">
        <v>132544.408034936</v>
      </c>
      <c r="G20" t="n">
        <v>141883.801815612</v>
      </c>
      <c r="H20" t="n">
        <v>149793.09752539</v>
      </c>
      <c r="I20" t="n">
        <v>158692.922832426</v>
      </c>
      <c r="J20" t="n">
        <v>166703.316422847</v>
      </c>
      <c r="K20" t="n">
        <v>175406.314249751</v>
      </c>
      <c r="L20" t="n">
        <v>183760.261033017</v>
      </c>
      <c r="M20" t="n">
        <v>193373.393770093</v>
      </c>
      <c r="N20" t="n">
        <v>205354.188343381</v>
      </c>
      <c r="O20" t="n">
        <v>214244.4005351</v>
      </c>
      <c r="P20" t="n">
        <v>221165.40117294</v>
      </c>
      <c r="Q20" t="n">
        <v>227404.796291517</v>
      </c>
      <c r="R20" t="n">
        <v>235028.355736066</v>
      </c>
      <c r="S20" t="n">
        <v>243738.405533207</v>
      </c>
      <c r="T20" t="n">
        <v>247040.641761775</v>
      </c>
      <c r="U20" t="n">
        <v>244241.886821005</v>
      </c>
      <c r="V20" t="n">
        <v>245544.232821866</v>
      </c>
      <c r="W20" t="n">
        <v>242182.279861527</v>
      </c>
      <c r="X20" t="n">
        <v>239775.823479771</v>
      </c>
      <c r="Y20" t="n">
        <v>235309.415141449</v>
      </c>
      <c r="Z20" t="n">
        <v>228726.977375481</v>
      </c>
      <c r="AA20" t="n">
        <v>223610.4140886</v>
      </c>
      <c r="AB20" t="n">
        <v>217742.4750316</v>
      </c>
      <c r="AC20" t="n">
        <v>212659.678047913</v>
      </c>
      <c r="AD20" t="n">
        <v>209094.625023506</v>
      </c>
      <c r="AE20" t="n">
        <v>204766.2</v>
      </c>
      <c r="AF20" t="n">
        <v>200438</v>
      </c>
    </row>
    <row r="21">
      <c r="A21" t="s">
        <v>151</v>
      </c>
      <c r="B21" t="s">
        <v>312</v>
      </c>
      <c r="C21" t="s">
        <v>246</v>
      </c>
      <c r="D21" t="s">
        <v>313</v>
      </c>
      <c r="E21" t="s">
        <v>247</v>
      </c>
      <c r="F21" t="n">
        <v>173222.44033776</v>
      </c>
      <c r="G21" t="n">
        <v>182917.530505079</v>
      </c>
      <c r="H21" t="n">
        <v>191452.409348213</v>
      </c>
      <c r="I21" t="n">
        <v>201213.840623275</v>
      </c>
      <c r="J21" t="n">
        <v>210121.516261789</v>
      </c>
      <c r="K21" t="n">
        <v>219504.968524515</v>
      </c>
      <c r="L21" t="n">
        <v>228766.393081082</v>
      </c>
      <c r="M21" t="n">
        <v>239194.110785665</v>
      </c>
      <c r="N21" t="n">
        <v>252087.253276741</v>
      </c>
      <c r="O21" t="n">
        <v>261822.730105177</v>
      </c>
      <c r="P21" t="n">
        <v>268921.796839936</v>
      </c>
      <c r="Q21" t="n">
        <v>275914.227709009</v>
      </c>
      <c r="R21" t="n">
        <v>283925.222354829</v>
      </c>
      <c r="S21" t="n">
        <v>292334.234773445</v>
      </c>
      <c r="T21" t="n">
        <v>295118.752331001</v>
      </c>
      <c r="U21" t="n">
        <v>292147.440696679</v>
      </c>
      <c r="V21" t="n">
        <v>293225.883348367</v>
      </c>
      <c r="W21" t="n">
        <v>289956.795053805</v>
      </c>
      <c r="X21" t="n">
        <v>286667.643909247</v>
      </c>
      <c r="Y21" t="n">
        <v>281307.918267312</v>
      </c>
      <c r="Z21" t="n">
        <v>274428.657470436</v>
      </c>
      <c r="AA21" t="n">
        <v>269719.343027605</v>
      </c>
      <c r="AB21" t="n">
        <v>264814.498550077</v>
      </c>
      <c r="AC21" t="n">
        <v>260615.955677321</v>
      </c>
      <c r="AD21" t="n">
        <v>258040.599558112</v>
      </c>
      <c r="AE21" t="n">
        <v>253935.1</v>
      </c>
      <c r="AF21" t="n">
        <v>251109.9</v>
      </c>
    </row>
    <row r="22">
      <c r="A22" t="s">
        <v>151</v>
      </c>
      <c r="B22" t="s">
        <v>314</v>
      </c>
      <c r="C22" t="s">
        <v>246</v>
      </c>
      <c r="D22" t="s">
        <v>315</v>
      </c>
      <c r="E22" t="s">
        <v>247</v>
      </c>
      <c r="F22" t="n">
        <v>40369.2914543025</v>
      </c>
      <c r="G22" t="n">
        <v>40764.3070551047</v>
      </c>
      <c r="H22" t="n">
        <v>41418.2326733574</v>
      </c>
      <c r="I22" t="n">
        <v>42305.8762156306</v>
      </c>
      <c r="J22" t="n">
        <v>43222.9258364392</v>
      </c>
      <c r="K22" t="n">
        <v>43932.8208483105</v>
      </c>
      <c r="L22" t="n">
        <v>44861.1696465289</v>
      </c>
      <c r="M22" t="n">
        <v>45706.1205809961</v>
      </c>
      <c r="N22" t="n">
        <v>46653.6090820101</v>
      </c>
      <c r="O22" t="n">
        <v>47515.6519850493</v>
      </c>
      <c r="P22" t="n">
        <v>47709.9728429825</v>
      </c>
      <c r="Q22" t="n">
        <v>48466.1075610333</v>
      </c>
      <c r="R22" t="n">
        <v>48860.1809186574</v>
      </c>
      <c r="S22" t="n">
        <v>48569.3112731065</v>
      </c>
      <c r="T22" t="n">
        <v>48055.924447896</v>
      </c>
      <c r="U22" t="n">
        <v>47884.0024734486</v>
      </c>
      <c r="V22" t="n">
        <v>47657.646599587</v>
      </c>
      <c r="W22" t="n">
        <v>47758.2489904004</v>
      </c>
      <c r="X22" t="n">
        <v>46874.1689376644</v>
      </c>
      <c r="Y22" t="n">
        <v>45981.0755905792</v>
      </c>
      <c r="Z22" t="n">
        <v>45688.1799809177</v>
      </c>
      <c r="AA22" t="n">
        <v>46095.006418168</v>
      </c>
      <c r="AB22" t="n">
        <v>47065.9929435545</v>
      </c>
      <c r="AC22" t="n">
        <v>47952.318532147</v>
      </c>
      <c r="AD22" t="n">
        <v>48948.8805014512</v>
      </c>
      <c r="AE22" t="n">
        <v>49168.9</v>
      </c>
      <c r="AF22" t="n">
        <v>50671.9</v>
      </c>
    </row>
    <row r="23">
      <c r="A23" t="s">
        <v>151</v>
      </c>
      <c r="B23" t="s">
        <v>316</v>
      </c>
      <c r="C23" t="s">
        <v>246</v>
      </c>
      <c r="D23" t="s">
        <v>317</v>
      </c>
      <c r="E23" t="s">
        <v>247</v>
      </c>
      <c r="F23" t="n">
        <v>58065.666032025</v>
      </c>
      <c r="G23" t="n">
        <v>57339.685030106</v>
      </c>
      <c r="H23" t="n">
        <v>57151.3958055806</v>
      </c>
      <c r="I23" t="n">
        <v>58943.9512873108</v>
      </c>
      <c r="J23" t="n">
        <v>58950.0019586151</v>
      </c>
      <c r="K23" t="n">
        <v>60210.2098261783</v>
      </c>
      <c r="L23" t="n">
        <v>62136.7556746185</v>
      </c>
      <c r="M23" t="n">
        <v>64276.2774457864</v>
      </c>
      <c r="N23" t="n">
        <v>66743.1626251644</v>
      </c>
      <c r="O23" t="n">
        <v>67492.3365234324</v>
      </c>
      <c r="P23" t="n">
        <v>68639.6494733683</v>
      </c>
      <c r="Q23" t="n">
        <v>70108.2276148161</v>
      </c>
      <c r="R23" t="n">
        <v>71843.2330851044</v>
      </c>
      <c r="S23" t="n">
        <v>72659.2231456367</v>
      </c>
      <c r="T23" t="n">
        <v>71035.9432702547</v>
      </c>
      <c r="U23" t="n">
        <v>70824.878495137</v>
      </c>
      <c r="V23" t="n">
        <v>70480.220262557</v>
      </c>
      <c r="W23" t="n">
        <v>68147.8261773026</v>
      </c>
      <c r="X23" t="n">
        <v>65221.9656980462</v>
      </c>
      <c r="Y23" t="n">
        <v>62740.6991805657</v>
      </c>
      <c r="Z23" t="n">
        <v>60626.9467821395</v>
      </c>
      <c r="AA23" t="n">
        <v>59407.3777028289</v>
      </c>
      <c r="AB23" t="n">
        <v>59932.0449175948</v>
      </c>
      <c r="AC23" t="n">
        <v>59261.1425835166</v>
      </c>
      <c r="AD23" t="n">
        <v>59180.3082486678</v>
      </c>
      <c r="AE23" t="n">
        <v>59171.7</v>
      </c>
      <c r="AF23" t="n">
        <v>62802.8</v>
      </c>
    </row>
    <row r="24">
      <c r="A24" t="s">
        <v>151</v>
      </c>
      <c r="B24" t="s">
        <v>318</v>
      </c>
      <c r="C24" t="s">
        <v>246</v>
      </c>
      <c r="D24" t="s">
        <v>319</v>
      </c>
      <c r="E24" t="s">
        <v>247</v>
      </c>
      <c r="F24" t="n">
        <v>126299.285909872</v>
      </c>
      <c r="G24" t="n">
        <v>129984.314310854</v>
      </c>
      <c r="H24" t="n">
        <v>134746.073045158</v>
      </c>
      <c r="I24" t="n">
        <v>138734.885311539</v>
      </c>
      <c r="J24" t="n">
        <v>144733.404284561</v>
      </c>
      <c r="K24" t="n">
        <v>150997.689968542</v>
      </c>
      <c r="L24" t="n">
        <v>156537.933344172</v>
      </c>
      <c r="M24" t="n">
        <v>163586.464152112</v>
      </c>
      <c r="N24" t="n">
        <v>168040.690907438</v>
      </c>
      <c r="O24" t="n">
        <v>173258.997269774</v>
      </c>
      <c r="P24" t="n">
        <v>178055.022194143</v>
      </c>
      <c r="Q24" t="n">
        <v>183245.257166011</v>
      </c>
      <c r="R24" t="n">
        <v>188333.126768787</v>
      </c>
      <c r="S24" t="n">
        <v>189983.146957386</v>
      </c>
      <c r="T24" t="n">
        <v>189414.026975045</v>
      </c>
      <c r="U24" t="n">
        <v>189956.643462124</v>
      </c>
      <c r="V24" t="n">
        <v>191061.778219203</v>
      </c>
      <c r="W24" t="n">
        <v>188408.962214613</v>
      </c>
      <c r="X24" t="n">
        <v>186117.750181701</v>
      </c>
      <c r="Y24" t="n">
        <v>183011.348032649</v>
      </c>
      <c r="Z24" t="n">
        <v>181262.857419464</v>
      </c>
      <c r="AA24" t="n">
        <v>183327.029400396</v>
      </c>
      <c r="AB24" t="n">
        <v>185775.074552466</v>
      </c>
      <c r="AC24" t="n">
        <v>189946.445538974</v>
      </c>
      <c r="AD24" t="n">
        <v>193253.750266198</v>
      </c>
      <c r="AE24" t="n">
        <v>192941.4</v>
      </c>
      <c r="AF24" t="n">
        <v>192584.7</v>
      </c>
    </row>
    <row r="25">
      <c r="A25" t="s">
        <v>151</v>
      </c>
      <c r="B25" t="s">
        <v>320</v>
      </c>
      <c r="C25" t="s">
        <v>246</v>
      </c>
      <c r="D25" t="s">
        <v>321</v>
      </c>
      <c r="E25" t="s">
        <v>247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</row>
    <row r="26">
      <c r="A26" t="s">
        <v>151</v>
      </c>
      <c r="B26" t="s">
        <v>322</v>
      </c>
      <c r="C26" t="s">
        <v>246</v>
      </c>
      <c r="D26" t="s">
        <v>323</v>
      </c>
      <c r="E26" t="s">
        <v>247</v>
      </c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</row>
    <row r="27">
      <c r="A27" t="s">
        <v>151</v>
      </c>
      <c r="B27" t="s">
        <v>324</v>
      </c>
      <c r="C27" t="s">
        <v>246</v>
      </c>
      <c r="D27" t="s">
        <v>325</v>
      </c>
      <c r="E27" t="s">
        <v>247</v>
      </c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</row>
    <row r="28">
      <c r="A28" t="s">
        <v>151</v>
      </c>
      <c r="B28" t="s">
        <v>326</v>
      </c>
      <c r="C28" t="s">
        <v>246</v>
      </c>
      <c r="D28" t="s">
        <v>327</v>
      </c>
      <c r="E28" t="s">
        <v>247</v>
      </c>
      <c r="F28" t="n">
        <v>264783.02760805</v>
      </c>
      <c r="G28" t="n">
        <v>266385.920678268</v>
      </c>
      <c r="H28" t="n">
        <v>269480.723113324</v>
      </c>
      <c r="I28" t="n">
        <v>272328.584939675</v>
      </c>
      <c r="J28" t="n">
        <v>276829.942374526</v>
      </c>
      <c r="K28" t="n">
        <v>280731.390432883</v>
      </c>
      <c r="L28" t="n">
        <v>286417.857160655</v>
      </c>
      <c r="M28" t="n">
        <v>293435.291145313</v>
      </c>
      <c r="N28" t="n">
        <v>298681.653813955</v>
      </c>
      <c r="O28" t="n">
        <v>305515.264538035</v>
      </c>
      <c r="P28" t="n">
        <v>312541.17337713</v>
      </c>
      <c r="Q28" t="n">
        <v>320751.17581597</v>
      </c>
      <c r="R28" t="n">
        <v>327230.477516148</v>
      </c>
      <c r="S28" t="n">
        <v>331386.715392555</v>
      </c>
      <c r="T28" t="n">
        <v>335267.602669909</v>
      </c>
      <c r="U28" t="n">
        <v>337536.131276896</v>
      </c>
      <c r="V28" t="n">
        <v>339659.417702809</v>
      </c>
      <c r="W28" t="n">
        <v>338556.400944697</v>
      </c>
      <c r="X28" t="n">
        <v>335517.002247215</v>
      </c>
      <c r="Y28" t="n">
        <v>331963.271486574</v>
      </c>
      <c r="Z28" t="n">
        <v>330825.909540206</v>
      </c>
      <c r="AA28" t="n">
        <v>330396.470293521</v>
      </c>
      <c r="AB28" t="n">
        <v>328045.372617456</v>
      </c>
      <c r="AC28" t="n">
        <v>328428.72389004</v>
      </c>
      <c r="AD28" t="n">
        <v>329045.610983752</v>
      </c>
      <c r="AE28" t="n">
        <v>327932.8</v>
      </c>
      <c r="AF28" t="n">
        <v>332254.6</v>
      </c>
    </row>
    <row r="29">
      <c r="A29" t="s">
        <v>151</v>
      </c>
      <c r="B29" t="s">
        <v>328</v>
      </c>
      <c r="C29" t="s">
        <v>246</v>
      </c>
      <c r="D29" t="s">
        <v>329</v>
      </c>
      <c r="E29" t="s">
        <v>247</v>
      </c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</row>
    <row r="30">
      <c r="A30" t="s">
        <v>151</v>
      </c>
      <c r="B30" t="s">
        <v>330</v>
      </c>
      <c r="C30" t="s">
        <v>246</v>
      </c>
      <c r="D30" t="s">
        <v>331</v>
      </c>
      <c r="E30" t="s">
        <v>247</v>
      </c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</row>
    <row r="31">
      <c r="A31" t="s">
        <v>151</v>
      </c>
      <c r="B31" t="s">
        <v>332</v>
      </c>
      <c r="C31" t="s">
        <v>246</v>
      </c>
      <c r="D31" t="s">
        <v>333</v>
      </c>
      <c r="E31" t="s">
        <v>247</v>
      </c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</row>
    <row r="32">
      <c r="A32" t="s">
        <v>151</v>
      </c>
      <c r="B32" t="s">
        <v>334</v>
      </c>
      <c r="C32" t="s">
        <v>246</v>
      </c>
      <c r="D32" t="s">
        <v>335</v>
      </c>
      <c r="E32" t="s">
        <v>247</v>
      </c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</row>
    <row r="33">
      <c r="A33" t="s">
        <v>151</v>
      </c>
      <c r="B33" t="s">
        <v>336</v>
      </c>
      <c r="C33" t="s">
        <v>246</v>
      </c>
      <c r="D33" t="s">
        <v>337</v>
      </c>
      <c r="E33" t="s">
        <v>247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</row>
    <row r="34">
      <c r="A34" t="s">
        <v>151</v>
      </c>
      <c r="B34" t="s">
        <v>338</v>
      </c>
      <c r="C34" t="s">
        <v>246</v>
      </c>
      <c r="D34" t="s">
        <v>339</v>
      </c>
      <c r="E34" t="s">
        <v>247</v>
      </c>
      <c r="F34" t="n">
        <v>85800.5499308443</v>
      </c>
      <c r="G34" t="n">
        <v>88204.6382314643</v>
      </c>
      <c r="H34" t="n">
        <v>88764.682309607</v>
      </c>
      <c r="I34" t="n">
        <v>90513.3536326263</v>
      </c>
      <c r="J34" t="n">
        <v>91835.6205263099</v>
      </c>
      <c r="K34" t="n">
        <v>94810.2042331042</v>
      </c>
      <c r="L34" t="n">
        <v>98227.2872685002</v>
      </c>
      <c r="M34" t="n">
        <v>99889.3810111302</v>
      </c>
      <c r="N34" t="n">
        <v>101853.579494049</v>
      </c>
      <c r="O34" t="n">
        <v>103989.651958796</v>
      </c>
      <c r="P34" t="n">
        <v>105837.095702328</v>
      </c>
      <c r="Q34" t="n">
        <v>107943.411378277</v>
      </c>
      <c r="R34" t="n">
        <v>109946.716784201</v>
      </c>
      <c r="S34" t="n">
        <v>112168.352856781</v>
      </c>
      <c r="T34" t="n">
        <v>112126.456316419</v>
      </c>
      <c r="U34" t="n">
        <v>112515.272568633</v>
      </c>
      <c r="V34" t="n">
        <v>112967.018316447</v>
      </c>
      <c r="W34" t="n">
        <v>111263.391259031</v>
      </c>
      <c r="X34" t="n">
        <v>108469.083360233</v>
      </c>
      <c r="Y34" t="n">
        <v>106026.675371422</v>
      </c>
      <c r="Z34" t="n">
        <v>104323.407882209</v>
      </c>
      <c r="AA34" t="n">
        <v>102049.030052481</v>
      </c>
      <c r="AB34" t="n">
        <v>101036.566916187</v>
      </c>
      <c r="AC34" t="n">
        <v>99512.2039078544</v>
      </c>
      <c r="AD34" t="n">
        <v>97912.7632205275</v>
      </c>
      <c r="AE34" t="n">
        <v>95685.9</v>
      </c>
      <c r="AF34" t="n">
        <v>94430.6</v>
      </c>
    </row>
    <row r="35">
      <c r="A35" t="s">
        <v>151</v>
      </c>
      <c r="B35" t="s">
        <v>340</v>
      </c>
      <c r="C35" t="s">
        <v>246</v>
      </c>
      <c r="D35" t="s">
        <v>341</v>
      </c>
      <c r="E35" t="s">
        <v>247</v>
      </c>
      <c r="F35" t="n">
        <v>52944.7785688683</v>
      </c>
      <c r="G35" t="n">
        <v>56430.7003221805</v>
      </c>
      <c r="H35" t="n">
        <v>60525.0698910056</v>
      </c>
      <c r="I35" t="n">
        <v>63855.2182398202</v>
      </c>
      <c r="J35" t="n">
        <v>67633.8038602531</v>
      </c>
      <c r="K35" t="n">
        <v>71718.5691681031</v>
      </c>
      <c r="L35" t="n">
        <v>74656.0135757977</v>
      </c>
      <c r="M35" t="n">
        <v>77739.0375287717</v>
      </c>
      <c r="N35" t="n">
        <v>80263.2944762823</v>
      </c>
      <c r="O35" t="n">
        <v>81866.8880313904</v>
      </c>
      <c r="P35" t="n">
        <v>84671.0281178248</v>
      </c>
      <c r="Q35" t="n">
        <v>85871.428904793</v>
      </c>
      <c r="R35" t="n">
        <v>88322.9994952471</v>
      </c>
      <c r="S35" t="n">
        <v>89588.1173269251</v>
      </c>
      <c r="T35" t="n">
        <v>89503.5450469198</v>
      </c>
      <c r="U35" t="n">
        <v>91141.2490607636</v>
      </c>
      <c r="V35" t="n">
        <v>92079.1252462839</v>
      </c>
      <c r="W35" t="n">
        <v>94034.9195171112</v>
      </c>
      <c r="X35" t="n">
        <v>96294.5775282322</v>
      </c>
      <c r="Y35" t="n">
        <v>99230.8113772779</v>
      </c>
      <c r="Z35" t="n">
        <v>104203.448191536</v>
      </c>
      <c r="AA35" t="n">
        <v>105421.855637141</v>
      </c>
      <c r="AB35" t="n">
        <v>107238.943791076</v>
      </c>
      <c r="AC35" t="n">
        <v>108153.664982029</v>
      </c>
      <c r="AD35" t="n">
        <v>108759.878655806</v>
      </c>
      <c r="AE35" t="n">
        <v>110414.9</v>
      </c>
      <c r="AF35" t="n">
        <v>110782.9</v>
      </c>
    </row>
    <row r="36">
      <c r="A36" t="s">
        <v>151</v>
      </c>
      <c r="B36" t="s">
        <v>342</v>
      </c>
      <c r="C36" t="s">
        <v>246</v>
      </c>
      <c r="D36" t="s">
        <v>343</v>
      </c>
      <c r="E36" t="s">
        <v>247</v>
      </c>
      <c r="F36" t="n">
        <v>13364.6161545715</v>
      </c>
      <c r="G36" t="n">
        <v>13891.9603632886</v>
      </c>
      <c r="H36" t="n">
        <v>14736.4630101214</v>
      </c>
      <c r="I36" t="n">
        <v>15546.4709659931</v>
      </c>
      <c r="J36" t="n">
        <v>16433.1899341784</v>
      </c>
      <c r="K36" t="n">
        <v>17379.8571699939</v>
      </c>
      <c r="L36" t="n">
        <v>17935.6092005799</v>
      </c>
      <c r="M36" t="n">
        <v>19048.0666990947</v>
      </c>
      <c r="N36" t="n">
        <v>19508.8272351119</v>
      </c>
      <c r="O36" t="n">
        <v>20009.4542089462</v>
      </c>
      <c r="P36" t="n">
        <v>20671.3505826591</v>
      </c>
      <c r="Q36" t="n">
        <v>20951.5670139152</v>
      </c>
      <c r="R36" t="n">
        <v>21577.1290532433</v>
      </c>
      <c r="S36" t="n">
        <v>22422.7288497797</v>
      </c>
      <c r="T36" t="n">
        <v>22340.9637026431</v>
      </c>
      <c r="U36" t="n">
        <v>23137.903252911</v>
      </c>
      <c r="V36" t="n">
        <v>23671.0701442725</v>
      </c>
      <c r="W36" t="n">
        <v>24411.7811859593</v>
      </c>
      <c r="X36" t="n">
        <v>24226.1920070126</v>
      </c>
      <c r="Y36" t="n">
        <v>23627.196317383</v>
      </c>
      <c r="Z36" t="n">
        <v>22787.8954218895</v>
      </c>
      <c r="AA36" t="n">
        <v>22223.1776513513</v>
      </c>
      <c r="AB36" t="n">
        <v>21604.3547348667</v>
      </c>
      <c r="AC36" t="n">
        <v>21088.1510964133</v>
      </c>
      <c r="AD36" t="n">
        <v>20571.2628776742</v>
      </c>
      <c r="AE36" t="n">
        <v>20145.6</v>
      </c>
      <c r="AF36"/>
    </row>
    <row r="37">
      <c r="A37" t="s">
        <v>151</v>
      </c>
      <c r="B37" t="s">
        <v>344</v>
      </c>
      <c r="C37" t="s">
        <v>246</v>
      </c>
      <c r="D37" t="s">
        <v>345</v>
      </c>
      <c r="E37" t="s">
        <v>247</v>
      </c>
      <c r="F37" t="n">
        <v>25927.9942184645</v>
      </c>
      <c r="G37" t="n">
        <v>27620.5727798393</v>
      </c>
      <c r="H37" t="n">
        <v>29699.3952410116</v>
      </c>
      <c r="I37" t="n">
        <v>31270.8504342287</v>
      </c>
      <c r="J37" t="n">
        <v>32811.5963430152</v>
      </c>
      <c r="K37" t="n">
        <v>35408.4857662677</v>
      </c>
      <c r="L37" t="n">
        <v>36769.1519774156</v>
      </c>
      <c r="M37" t="n">
        <v>38125.0261022449</v>
      </c>
      <c r="N37" t="n">
        <v>38205.8246289383</v>
      </c>
      <c r="O37" t="n">
        <v>38969.3420933039</v>
      </c>
      <c r="P37" t="n">
        <v>40645.2318776063</v>
      </c>
      <c r="Q37" t="n">
        <v>41451.8742398248</v>
      </c>
      <c r="R37" t="n">
        <v>42436.5150936589</v>
      </c>
      <c r="S37" t="n">
        <v>43354.4302187057</v>
      </c>
      <c r="T37" t="n">
        <v>43431.7669196249</v>
      </c>
      <c r="U37" t="n">
        <v>44225.0505714043</v>
      </c>
      <c r="V37" t="n">
        <v>44772.2207788632</v>
      </c>
      <c r="W37" t="n">
        <v>46244.0509548663</v>
      </c>
      <c r="X37" t="n">
        <v>47640.7418447849</v>
      </c>
      <c r="Y37" t="n">
        <v>50636.943513273</v>
      </c>
      <c r="Z37" t="n">
        <v>54474.5438460726</v>
      </c>
      <c r="AA37" t="n">
        <v>54930.4347664107</v>
      </c>
      <c r="AB37" t="n">
        <v>55852.6799945398</v>
      </c>
      <c r="AC37" t="n">
        <v>56379.1457905048</v>
      </c>
      <c r="AD37" t="n">
        <v>56813.7520868845</v>
      </c>
      <c r="AE37" t="n">
        <v>57342.5</v>
      </c>
      <c r="AF37"/>
    </row>
    <row r="38">
      <c r="A38" t="s">
        <v>151</v>
      </c>
      <c r="B38" t="s">
        <v>346</v>
      </c>
      <c r="C38" t="s">
        <v>246</v>
      </c>
      <c r="D38" t="s">
        <v>347</v>
      </c>
      <c r="E38" t="s">
        <v>247</v>
      </c>
      <c r="F38" t="n">
        <v>13919.15800997</v>
      </c>
      <c r="G38" t="n">
        <v>15163.0503580633</v>
      </c>
      <c r="H38" t="n">
        <v>16340.361242637</v>
      </c>
      <c r="I38" t="n">
        <v>17298.1959675803</v>
      </c>
      <c r="J38" t="n">
        <v>18639.1103103254</v>
      </c>
      <c r="K38" t="n">
        <v>19240.2482931768</v>
      </c>
      <c r="L38" t="n">
        <v>20250.3023596073</v>
      </c>
      <c r="M38" t="n">
        <v>20904.4418258219</v>
      </c>
      <c r="N38" t="n">
        <v>22793.3553803479</v>
      </c>
      <c r="O38" t="n">
        <v>23149.9342137432</v>
      </c>
      <c r="P38" t="n">
        <v>23645.6216550537</v>
      </c>
      <c r="Q38" t="n">
        <v>23775.4844424061</v>
      </c>
      <c r="R38" t="n">
        <v>24617.6736810622</v>
      </c>
      <c r="S38" t="n">
        <v>24202.918127274</v>
      </c>
      <c r="T38" t="n">
        <v>24120.383841471</v>
      </c>
      <c r="U38" t="n">
        <v>24227.2274483913</v>
      </c>
      <c r="V38" t="n">
        <v>24139.0201666202</v>
      </c>
      <c r="W38" t="n">
        <v>23942.0289788114</v>
      </c>
      <c r="X38" t="n">
        <v>24896.9475308069</v>
      </c>
      <c r="Y38" t="n">
        <v>25291.4638232528</v>
      </c>
      <c r="Z38" t="n">
        <v>27027.2407055706</v>
      </c>
      <c r="AA38" t="n">
        <v>28318.9169171371</v>
      </c>
      <c r="AB38" t="n">
        <v>29805.6690841461</v>
      </c>
      <c r="AC38" t="n">
        <v>30696.8352034148</v>
      </c>
      <c r="AD38" t="n">
        <v>31380.0844718989</v>
      </c>
      <c r="AE38" t="n">
        <v>32926.8</v>
      </c>
      <c r="AF38"/>
    </row>
    <row r="39">
      <c r="A39" t="s">
        <v>151</v>
      </c>
      <c r="B39" t="s">
        <v>348</v>
      </c>
      <c r="C39" t="s">
        <v>246</v>
      </c>
      <c r="D39" t="s">
        <v>349</v>
      </c>
      <c r="E39" t="s">
        <v>247</v>
      </c>
      <c r="F39" t="n">
        <v>88249.8983406108</v>
      </c>
      <c r="G39" t="n">
        <v>91442.2742016938</v>
      </c>
      <c r="H39" t="n">
        <v>94371.8631277878</v>
      </c>
      <c r="I39" t="n">
        <v>97706.9605070429</v>
      </c>
      <c r="J39" t="n">
        <v>98478.0786431262</v>
      </c>
      <c r="K39" t="n">
        <v>100335.284327453</v>
      </c>
      <c r="L39" t="n">
        <v>102366.421926578</v>
      </c>
      <c r="M39" t="n">
        <v>104897.333476014</v>
      </c>
      <c r="N39" t="n">
        <v>105424.264158167</v>
      </c>
      <c r="O39" t="n">
        <v>106598.396302433</v>
      </c>
      <c r="P39" t="n">
        <v>106429.987918614</v>
      </c>
      <c r="Q39" t="n">
        <v>106390.4685937</v>
      </c>
      <c r="R39" t="n">
        <v>107095.080092802</v>
      </c>
      <c r="S39" t="n">
        <v>108099.559843024</v>
      </c>
      <c r="T39" t="n">
        <v>107645.56197145</v>
      </c>
      <c r="U39" t="n">
        <v>107920.83901745</v>
      </c>
      <c r="V39" t="n">
        <v>107141.501229121</v>
      </c>
      <c r="W39" t="n">
        <v>105739.401272056</v>
      </c>
      <c r="X39" t="n">
        <v>104550.406031409</v>
      </c>
      <c r="Y39" t="n">
        <v>103869.674845234</v>
      </c>
      <c r="Z39" t="n">
        <v>103651.31489631</v>
      </c>
      <c r="AA39" t="n">
        <v>103658.210020521</v>
      </c>
      <c r="AB39" t="n">
        <v>104709.216836817</v>
      </c>
      <c r="AC39" t="n">
        <v>105670.406980089</v>
      </c>
      <c r="AD39" t="n">
        <v>107362.583036309</v>
      </c>
      <c r="AE39" t="n">
        <v>108606.2</v>
      </c>
      <c r="AF39" t="n">
        <v>110153.8</v>
      </c>
    </row>
    <row r="40">
      <c r="A40" t="s">
        <v>151</v>
      </c>
      <c r="B40" t="s">
        <v>350</v>
      </c>
      <c r="C40" t="s">
        <v>246</v>
      </c>
      <c r="D40" t="s">
        <v>351</v>
      </c>
      <c r="E40" t="s">
        <v>247</v>
      </c>
      <c r="F40" t="n">
        <v>2383907.51357225</v>
      </c>
      <c r="G40" t="n">
        <v>2425806.32708338</v>
      </c>
      <c r="H40" t="n">
        <v>2465263.01356946</v>
      </c>
      <c r="I40" t="n">
        <v>2502870.11593595</v>
      </c>
      <c r="J40" t="n">
        <v>2542423.94356998</v>
      </c>
      <c r="K40" t="n">
        <v>2585532.34100591</v>
      </c>
      <c r="L40" t="n">
        <v>2629188.21141739</v>
      </c>
      <c r="M40" t="n">
        <v>2675505.99913013</v>
      </c>
      <c r="N40" t="n">
        <v>2723126.65554616</v>
      </c>
      <c r="O40" t="n">
        <v>2771889.74242709</v>
      </c>
      <c r="P40" t="n">
        <v>2826299.85406102</v>
      </c>
      <c r="Q40" t="n">
        <v>2883981.04276956</v>
      </c>
      <c r="R40" t="n">
        <v>2941204.22776541</v>
      </c>
      <c r="S40" t="n">
        <v>2994214.21902861</v>
      </c>
      <c r="T40" t="n">
        <v>3033830.27532594</v>
      </c>
      <c r="U40" t="n">
        <v>3072410.64215849</v>
      </c>
      <c r="V40" t="n">
        <v>3103117.54964088</v>
      </c>
      <c r="W40" t="n">
        <v>3125363.29551882</v>
      </c>
      <c r="X40" t="n">
        <v>3141122.88354693</v>
      </c>
      <c r="Y40" t="n">
        <v>3149880.73526763</v>
      </c>
      <c r="Z40" t="n">
        <v>3154350.74676128</v>
      </c>
      <c r="AA40" t="n">
        <v>3159227.5890107</v>
      </c>
      <c r="AB40" t="n">
        <v>3165413.66916836</v>
      </c>
      <c r="AC40" t="n">
        <v>3172303.07919388</v>
      </c>
      <c r="AD40" t="n">
        <v>3179253.60816231</v>
      </c>
      <c r="AE40" t="n">
        <v>3178504</v>
      </c>
      <c r="AF40" t="n">
        <v>3211584.8</v>
      </c>
    </row>
    <row r="41">
      <c r="A41" t="s">
        <v>151</v>
      </c>
      <c r="B41" t="s">
        <v>352</v>
      </c>
      <c r="C41" t="s">
        <v>246</v>
      </c>
      <c r="D41" t="s">
        <v>353</v>
      </c>
      <c r="E41" t="s">
        <v>247</v>
      </c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</row>
    <row r="42">
      <c r="A42" t="s">
        <v>151</v>
      </c>
      <c r="B42" t="s">
        <v>354</v>
      </c>
      <c r="C42" t="s">
        <v>246</v>
      </c>
      <c r="D42" t="s">
        <v>355</v>
      </c>
      <c r="E42" t="s">
        <v>247</v>
      </c>
      <c r="F42" t="n">
        <v>62133.4877792145</v>
      </c>
      <c r="G42" t="n">
        <v>64459.8299982152</v>
      </c>
      <c r="H42" t="n">
        <v>67131.4164266828</v>
      </c>
      <c r="I42" t="n">
        <v>69745.7229324564</v>
      </c>
      <c r="J42" t="n">
        <v>73090.9643669498</v>
      </c>
      <c r="K42" t="n">
        <v>77532.3973169126</v>
      </c>
      <c r="L42" t="n">
        <v>81673.9905875245</v>
      </c>
      <c r="M42" t="n">
        <v>85462.2375748568</v>
      </c>
      <c r="N42" t="n">
        <v>88260.1626556818</v>
      </c>
      <c r="O42" t="n">
        <v>90213.8067361447</v>
      </c>
      <c r="P42" t="n">
        <v>92485.0030884671</v>
      </c>
      <c r="Q42" t="n">
        <v>94747.5918856269</v>
      </c>
      <c r="R42" t="n">
        <v>96906.0267288438</v>
      </c>
      <c r="S42" t="n">
        <v>98708.2422672109</v>
      </c>
      <c r="T42" t="n">
        <v>99389.3725051568</v>
      </c>
      <c r="U42" t="n">
        <v>100322.902429779</v>
      </c>
      <c r="V42" t="n">
        <v>100724.114008903</v>
      </c>
      <c r="W42" t="n">
        <v>101335.602631649</v>
      </c>
      <c r="X42" t="n">
        <v>101947.234303276</v>
      </c>
      <c r="Y42" t="n">
        <v>102174.513250199</v>
      </c>
      <c r="Z42" t="n">
        <v>101751.586604294</v>
      </c>
      <c r="AA42" t="n">
        <v>101573.667098923</v>
      </c>
      <c r="AB42" t="n">
        <v>101913.534482466</v>
      </c>
      <c r="AC42" t="n">
        <v>102353.459547629</v>
      </c>
      <c r="AD42" t="n">
        <v>102415.443726276</v>
      </c>
      <c r="AE42" t="n">
        <v>102256.9</v>
      </c>
      <c r="AF42" t="n">
        <v>103995.2</v>
      </c>
    </row>
    <row r="43">
      <c r="A43" t="s">
        <v>151</v>
      </c>
      <c r="B43" t="s">
        <v>356</v>
      </c>
      <c r="C43" t="s">
        <v>246</v>
      </c>
      <c r="D43" t="s">
        <v>357</v>
      </c>
      <c r="E43" t="s">
        <v>247</v>
      </c>
      <c r="F43" t="n">
        <v>102692.839011028</v>
      </c>
      <c r="G43" t="n">
        <v>106868.660342541</v>
      </c>
      <c r="H43" t="n">
        <v>111477.506059861</v>
      </c>
      <c r="I43" t="n">
        <v>115373.799842191</v>
      </c>
      <c r="J43" t="n">
        <v>121073.100164555</v>
      </c>
      <c r="K43" t="n">
        <v>129040.271284908</v>
      </c>
      <c r="L43" t="n">
        <v>136583.321328051</v>
      </c>
      <c r="M43" t="n">
        <v>142966.934618152</v>
      </c>
      <c r="N43" t="n">
        <v>147179.357292017</v>
      </c>
      <c r="O43" t="n">
        <v>150603.219031696</v>
      </c>
      <c r="P43" t="n">
        <v>154786.057187513</v>
      </c>
      <c r="Q43" t="n">
        <v>158318.149668822</v>
      </c>
      <c r="R43" t="n">
        <v>163235.433969313</v>
      </c>
      <c r="S43" t="n">
        <v>167376.229520952</v>
      </c>
      <c r="T43" t="n">
        <v>167371.893798501</v>
      </c>
      <c r="U43" t="n">
        <v>167684.619126014</v>
      </c>
      <c r="V43" t="n">
        <v>167986.042703757</v>
      </c>
      <c r="W43" t="n">
        <v>168559.100703278</v>
      </c>
      <c r="X43" t="n">
        <v>167050.119966666</v>
      </c>
      <c r="Y43" t="n">
        <v>166455.03703238</v>
      </c>
      <c r="Z43" t="n">
        <v>165753.657431854</v>
      </c>
      <c r="AA43" t="n">
        <v>166421.732757596</v>
      </c>
      <c r="AB43" t="n">
        <v>169338.408125187</v>
      </c>
      <c r="AC43" t="n">
        <v>171832.629672074</v>
      </c>
      <c r="AD43" t="n">
        <v>174039.44328302</v>
      </c>
      <c r="AE43" t="n">
        <v>173423.5</v>
      </c>
      <c r="AF43" t="n">
        <v>175398.8</v>
      </c>
    </row>
    <row r="44">
      <c r="A44" t="s">
        <v>151</v>
      </c>
      <c r="B44" t="s">
        <v>358</v>
      </c>
      <c r="C44" t="s">
        <v>246</v>
      </c>
      <c r="D44" t="s">
        <v>359</v>
      </c>
      <c r="E44" t="s">
        <v>247</v>
      </c>
      <c r="F44" t="n">
        <v>1644114.53125981</v>
      </c>
      <c r="G44" t="n">
        <v>1671619.46493875</v>
      </c>
      <c r="H44" t="n">
        <v>1700654.12068205</v>
      </c>
      <c r="I44" t="n">
        <v>1735995.12285755</v>
      </c>
      <c r="J44" t="n">
        <v>1774700.87541493</v>
      </c>
      <c r="K44" t="n">
        <v>1825189.15584218</v>
      </c>
      <c r="L44" t="n">
        <v>1874468.04668467</v>
      </c>
      <c r="M44" t="n">
        <v>1926065.30717075</v>
      </c>
      <c r="N44" t="n">
        <v>1967334.83018659</v>
      </c>
      <c r="O44" t="n">
        <v>2004776.57469054</v>
      </c>
      <c r="P44" t="n">
        <v>2040466.30263406</v>
      </c>
      <c r="Q44" t="n">
        <v>2078370.42000026</v>
      </c>
      <c r="R44" t="n">
        <v>2118635.58465279</v>
      </c>
      <c r="S44" t="n">
        <v>2147223.11224034</v>
      </c>
      <c r="T44" t="n">
        <v>2143469.80688169</v>
      </c>
      <c r="U44" t="n">
        <v>2144444.37219053</v>
      </c>
      <c r="V44" t="n">
        <v>2148309.13888321</v>
      </c>
      <c r="W44" t="n">
        <v>2131270.0987842</v>
      </c>
      <c r="X44" t="n">
        <v>2103634.21359</v>
      </c>
      <c r="Y44" t="n">
        <v>2078892.25857152</v>
      </c>
      <c r="Z44" t="n">
        <v>2062600.80789325</v>
      </c>
      <c r="AA44" t="n">
        <v>2056996.45140142</v>
      </c>
      <c r="AB44" t="n">
        <v>2058273.32192338</v>
      </c>
      <c r="AC44" t="n">
        <v>2067007.7545781</v>
      </c>
      <c r="AD44" t="n">
        <v>2073091.97440964</v>
      </c>
      <c r="AE44" t="n">
        <v>2060055.7</v>
      </c>
      <c r="AF44" t="n">
        <v>2068692.3</v>
      </c>
    </row>
    <row r="45">
      <c r="A45" t="s">
        <v>151</v>
      </c>
      <c r="B45" t="s">
        <v>360</v>
      </c>
      <c r="C45" t="s">
        <v>246</v>
      </c>
      <c r="D45" t="s">
        <v>361</v>
      </c>
      <c r="E45" t="s">
        <v>247</v>
      </c>
      <c r="F45" t="n">
        <v>1428915.03540688</v>
      </c>
      <c r="G45" t="n">
        <v>1459168.88079414</v>
      </c>
      <c r="H45" t="n">
        <v>1490702.46514864</v>
      </c>
      <c r="I45" t="n">
        <v>1528048.8416802</v>
      </c>
      <c r="J45" t="n">
        <v>1568272.22605477</v>
      </c>
      <c r="K45" t="n">
        <v>1619115.3812846</v>
      </c>
      <c r="L45" t="n">
        <v>1670150.47265108</v>
      </c>
      <c r="M45" t="n">
        <v>1723243.38310924</v>
      </c>
      <c r="N45" t="n">
        <v>1766040.05264598</v>
      </c>
      <c r="O45" t="n">
        <v>1804812.2951503</v>
      </c>
      <c r="P45" t="n">
        <v>1841580.39277508</v>
      </c>
      <c r="Q45" t="n">
        <v>1880204.88109086</v>
      </c>
      <c r="R45" t="n">
        <v>1921918.49856789</v>
      </c>
      <c r="S45" t="n">
        <v>1953219.95371822</v>
      </c>
      <c r="T45" t="n">
        <v>1953686.5886441</v>
      </c>
      <c r="U45" t="n">
        <v>1958342.62699362</v>
      </c>
      <c r="V45" t="n">
        <v>1965176.29828955</v>
      </c>
      <c r="W45" t="n">
        <v>1951787.95100495</v>
      </c>
      <c r="X45" t="n">
        <v>1929185.02874608</v>
      </c>
      <c r="Y45" t="n">
        <v>1909343.71268445</v>
      </c>
      <c r="Z45" t="n">
        <v>1897849.63308868</v>
      </c>
      <c r="AA45" t="n">
        <v>1896131.55249734</v>
      </c>
      <c r="AB45" t="n">
        <v>1900128.64949344</v>
      </c>
      <c r="AC45" t="n">
        <v>1910648.1366994</v>
      </c>
      <c r="AD45" t="n">
        <v>1918194.81489463</v>
      </c>
      <c r="AE45" t="n">
        <v>1907493.4</v>
      </c>
      <c r="AF45" t="n">
        <v>1917534</v>
      </c>
    </row>
    <row r="46">
      <c r="A46" t="s">
        <v>151</v>
      </c>
      <c r="B46" t="s">
        <v>362</v>
      </c>
      <c r="C46" t="s">
        <v>246</v>
      </c>
      <c r="D46" t="s">
        <v>363</v>
      </c>
      <c r="E46" t="s">
        <v>247</v>
      </c>
      <c r="F46" t="n">
        <v>40488.7275336971</v>
      </c>
      <c r="G46" t="n">
        <v>42351.6323044603</v>
      </c>
      <c r="H46" t="n">
        <v>44290.2045250787</v>
      </c>
      <c r="I46" t="n">
        <v>45564.7191502634</v>
      </c>
      <c r="J46" t="n">
        <v>47915.4676733025</v>
      </c>
      <c r="K46" t="n">
        <v>51431.7028000123</v>
      </c>
      <c r="L46" t="n">
        <v>54821.7890553149</v>
      </c>
      <c r="M46" t="n">
        <v>57412.2561528947</v>
      </c>
      <c r="N46" t="n">
        <v>58829.4217133049</v>
      </c>
      <c r="O46" t="n">
        <v>60296.6028344705</v>
      </c>
      <c r="P46" t="n">
        <v>62205.0623294715</v>
      </c>
      <c r="Q46" t="n">
        <v>63471.079645225</v>
      </c>
      <c r="R46" t="n">
        <v>66236.1946595353</v>
      </c>
      <c r="S46" t="n">
        <v>68580.6352456361</v>
      </c>
      <c r="T46" t="n">
        <v>67893.8896612212</v>
      </c>
      <c r="U46" t="n">
        <v>67271.9870089039</v>
      </c>
      <c r="V46" t="n">
        <v>67175.6812962006</v>
      </c>
      <c r="W46" t="n">
        <v>67137.494495299</v>
      </c>
      <c r="X46" t="n">
        <v>65054.1982393107</v>
      </c>
      <c r="Y46" t="n">
        <v>64245.8339036444</v>
      </c>
      <c r="Z46" t="n">
        <v>63967.5351421514</v>
      </c>
      <c r="AA46" t="n">
        <v>64815.9531204376</v>
      </c>
      <c r="AB46" t="n">
        <v>67404.2516078454</v>
      </c>
      <c r="AC46" t="n">
        <v>69464.6842063136</v>
      </c>
      <c r="AD46" t="n">
        <v>71624.4746365105</v>
      </c>
      <c r="AE46" t="n">
        <v>71166.6</v>
      </c>
      <c r="AF46" t="n">
        <v>71403.6</v>
      </c>
    </row>
    <row r="47">
      <c r="A47" t="s">
        <v>151</v>
      </c>
      <c r="B47" t="s">
        <v>364</v>
      </c>
      <c r="C47" t="s">
        <v>246</v>
      </c>
      <c r="D47" t="s">
        <v>365</v>
      </c>
      <c r="E47" t="s">
        <v>247</v>
      </c>
      <c r="F47" t="n">
        <v>607068.408451123</v>
      </c>
      <c r="G47" t="n">
        <v>614505.627456356</v>
      </c>
      <c r="H47" t="n">
        <v>622145.958931957</v>
      </c>
      <c r="I47" t="n">
        <v>631103.993879111</v>
      </c>
      <c r="J47" t="n">
        <v>641600.187119952</v>
      </c>
      <c r="K47" t="n">
        <v>650767.240451134</v>
      </c>
      <c r="L47" t="n">
        <v>661950.696588805</v>
      </c>
      <c r="M47" t="n">
        <v>674664.794367887</v>
      </c>
      <c r="N47" t="n">
        <v>687424.477645852</v>
      </c>
      <c r="O47" t="n">
        <v>702349.775581961</v>
      </c>
      <c r="P47" t="n">
        <v>712575.089958784</v>
      </c>
      <c r="Q47" t="n">
        <v>720389.828620385</v>
      </c>
      <c r="R47" t="n">
        <v>727384.597745306</v>
      </c>
      <c r="S47" t="n">
        <v>733731.712590648</v>
      </c>
      <c r="T47" t="n">
        <v>745584.857270256</v>
      </c>
      <c r="U47" t="n">
        <v>747851.828065177</v>
      </c>
      <c r="V47" t="n">
        <v>748048.039296748</v>
      </c>
      <c r="W47" t="n">
        <v>744654.704346022</v>
      </c>
      <c r="X47" t="n">
        <v>739195.05048822</v>
      </c>
      <c r="Y47" t="n">
        <v>732054.987651341</v>
      </c>
      <c r="Z47" t="n">
        <v>726377.073080349</v>
      </c>
      <c r="AA47" t="n">
        <v>720238.641227815</v>
      </c>
      <c r="AB47" t="n">
        <v>712309.786647785</v>
      </c>
      <c r="AC47" t="n">
        <v>702524.737336233</v>
      </c>
      <c r="AD47" t="n">
        <v>696739.559893284</v>
      </c>
      <c r="AE47" t="n">
        <v>691137.7</v>
      </c>
      <c r="AF47" t="n">
        <v>683590.9</v>
      </c>
    </row>
    <row r="48">
      <c r="A48" t="s">
        <v>151</v>
      </c>
      <c r="B48" t="s">
        <v>366</v>
      </c>
      <c r="C48" t="s">
        <v>246</v>
      </c>
      <c r="D48" t="s">
        <v>367</v>
      </c>
      <c r="E48" t="s">
        <v>247</v>
      </c>
      <c r="F48" t="n">
        <v>693140.820064465</v>
      </c>
      <c r="G48" t="n">
        <v>702985.482726294</v>
      </c>
      <c r="H48" t="n">
        <v>713286.612349833</v>
      </c>
      <c r="I48" t="n">
        <v>725680.869971241</v>
      </c>
      <c r="J48" t="n">
        <v>739789.92750056</v>
      </c>
      <c r="K48" t="n">
        <v>753402.33056075</v>
      </c>
      <c r="L48" t="n">
        <v>769365.471378215</v>
      </c>
      <c r="M48" t="n">
        <v>786898.503261695</v>
      </c>
      <c r="N48" t="n">
        <v>803994.449621307</v>
      </c>
      <c r="O48" t="n">
        <v>822609.155753844</v>
      </c>
      <c r="P48" t="n">
        <v>836872.105454974</v>
      </c>
      <c r="Q48" t="n">
        <v>849411.018091793</v>
      </c>
      <c r="R48" t="n">
        <v>860297.211916803</v>
      </c>
      <c r="S48" t="n">
        <v>868560.822474912</v>
      </c>
      <c r="T48" t="n">
        <v>882932.379769763</v>
      </c>
      <c r="U48" t="n">
        <v>887485.940579874</v>
      </c>
      <c r="V48" t="n">
        <v>888386.615365946</v>
      </c>
      <c r="W48" t="n">
        <v>884085.138926928</v>
      </c>
      <c r="X48" t="n">
        <v>877027.131820492</v>
      </c>
      <c r="Y48" t="n">
        <v>867704.851496511</v>
      </c>
      <c r="Z48" t="n">
        <v>859276.713822313</v>
      </c>
      <c r="AA48" t="n">
        <v>850470.764892318</v>
      </c>
      <c r="AB48" t="n">
        <v>840636.237568757</v>
      </c>
      <c r="AC48" t="n">
        <v>828752.215383768</v>
      </c>
      <c r="AD48" t="n">
        <v>822003.409157522</v>
      </c>
      <c r="AE48" t="n">
        <v>816149.3</v>
      </c>
      <c r="AF48" t="n">
        <v>809003.2</v>
      </c>
    </row>
    <row r="49">
      <c r="A49" t="s">
        <v>151</v>
      </c>
      <c r="B49" t="s">
        <v>368</v>
      </c>
      <c r="C49" t="s">
        <v>246</v>
      </c>
      <c r="D49" t="s">
        <v>369</v>
      </c>
      <c r="E49" t="s">
        <v>247</v>
      </c>
      <c r="F49" t="n">
        <v>28838.3875398355</v>
      </c>
      <c r="G49" t="n">
        <v>29713.1950603608</v>
      </c>
      <c r="H49" t="n">
        <v>30555.2419112678</v>
      </c>
      <c r="I49" t="n">
        <v>31636.2972604699</v>
      </c>
      <c r="J49" t="n">
        <v>32675.5627699219</v>
      </c>
      <c r="K49" t="n">
        <v>33627.7326185809</v>
      </c>
      <c r="L49" t="n">
        <v>34683.005787892</v>
      </c>
      <c r="M49" t="n">
        <v>36105.3544248106</v>
      </c>
      <c r="N49" t="n">
        <v>37054.8096726529</v>
      </c>
      <c r="O49" t="n">
        <v>38093.2320100945</v>
      </c>
      <c r="P49" t="n">
        <v>38857.5062724724</v>
      </c>
      <c r="Q49" t="n">
        <v>39902.9166791453</v>
      </c>
      <c r="R49" t="n">
        <v>40515.6825917917</v>
      </c>
      <c r="S49" t="n">
        <v>40764.2853278676</v>
      </c>
      <c r="T49" t="n">
        <v>40972.6491299138</v>
      </c>
      <c r="U49" t="n">
        <v>40834.6538561825</v>
      </c>
      <c r="V49" t="n">
        <v>40694.3190646951</v>
      </c>
      <c r="W49" t="n">
        <v>40134.7879005153</v>
      </c>
      <c r="X49" t="n">
        <v>39527.3770347214</v>
      </c>
      <c r="Y49" t="n">
        <v>39250.1896130982</v>
      </c>
      <c r="Z49" t="n">
        <v>38387.6912962801</v>
      </c>
      <c r="AA49" t="n">
        <v>37854.8310503041</v>
      </c>
      <c r="AB49" t="n">
        <v>37235.6751989362</v>
      </c>
      <c r="AC49" t="n">
        <v>36664.7505764535</v>
      </c>
      <c r="AD49" t="n">
        <v>36100.5022630823</v>
      </c>
      <c r="AE49" t="n">
        <v>35925.9</v>
      </c>
      <c r="AF49" t="n">
        <v>35977.7</v>
      </c>
    </row>
    <row r="50">
      <c r="A50" t="s">
        <v>151</v>
      </c>
      <c r="B50" t="s">
        <v>370</v>
      </c>
      <c r="C50" t="s">
        <v>246</v>
      </c>
      <c r="D50" t="s">
        <v>371</v>
      </c>
      <c r="E50" t="s">
        <v>247</v>
      </c>
      <c r="F50" t="n">
        <v>57528.4021986974</v>
      </c>
      <c r="G50" t="n">
        <v>59022.537327724</v>
      </c>
      <c r="H50" t="n">
        <v>60798.3741615014</v>
      </c>
      <c r="I50" t="n">
        <v>63103.0073487636</v>
      </c>
      <c r="J50" t="n">
        <v>65633.8835127713</v>
      </c>
      <c r="K50" t="n">
        <v>69068.2548199961</v>
      </c>
      <c r="L50" t="n">
        <v>72748.0427891871</v>
      </c>
      <c r="M50" t="n">
        <v>76108.0495202512</v>
      </c>
      <c r="N50" t="n">
        <v>79475.9639296534</v>
      </c>
      <c r="O50" t="n">
        <v>82117.4481646862</v>
      </c>
      <c r="P50" t="n">
        <v>85388.3194159556</v>
      </c>
      <c r="Q50" t="n">
        <v>89081.1349857197</v>
      </c>
      <c r="R50" t="n">
        <v>92384.861730094</v>
      </c>
      <c r="S50" t="n">
        <v>94067.0627744263</v>
      </c>
      <c r="T50" t="n">
        <v>96398.877166882</v>
      </c>
      <c r="U50" t="n">
        <v>98845.4420559474</v>
      </c>
      <c r="V50" t="n">
        <v>99702.3754494973</v>
      </c>
      <c r="W50" t="n">
        <v>99357.4291852201</v>
      </c>
      <c r="X50" t="n">
        <v>98363.6916424657</v>
      </c>
      <c r="Y50" t="n">
        <v>96435.8655911528</v>
      </c>
      <c r="Z50" t="n">
        <v>94529.252501243</v>
      </c>
      <c r="AA50" t="n">
        <v>92376.6608346508</v>
      </c>
      <c r="AB50" t="n">
        <v>91088.189310448</v>
      </c>
      <c r="AC50" t="n">
        <v>89558.6351880756</v>
      </c>
      <c r="AD50" t="n">
        <v>89161.9018740473</v>
      </c>
      <c r="AE50" t="n">
        <v>89085.8</v>
      </c>
      <c r="AF50" t="n">
        <v>89434.6</v>
      </c>
    </row>
    <row r="51">
      <c r="A51" t="s">
        <v>151</v>
      </c>
      <c r="B51" t="s">
        <v>372</v>
      </c>
      <c r="C51" t="s">
        <v>246</v>
      </c>
      <c r="D51" t="s">
        <v>373</v>
      </c>
      <c r="E51" t="s">
        <v>247</v>
      </c>
      <c r="F51" t="n">
        <v>50148.5502258106</v>
      </c>
      <c r="G51" t="n">
        <v>51579.7526599955</v>
      </c>
      <c r="H51" t="n">
        <v>53228.8222498154</v>
      </c>
      <c r="I51" t="n">
        <v>55419.2308568462</v>
      </c>
      <c r="J51" t="n">
        <v>57824.4870627515</v>
      </c>
      <c r="K51" t="n">
        <v>61057.5067454786</v>
      </c>
      <c r="L51" t="n">
        <v>64501.4530110435</v>
      </c>
      <c r="M51" t="n">
        <v>67745.243407687</v>
      </c>
      <c r="N51" t="n">
        <v>70978.6801406898</v>
      </c>
      <c r="O51" t="n">
        <v>73360.9284946411</v>
      </c>
      <c r="P51" t="n">
        <v>76445.7800661919</v>
      </c>
      <c r="Q51" t="n">
        <v>79985.7281312533</v>
      </c>
      <c r="R51" t="n">
        <v>83054.7010402386</v>
      </c>
      <c r="S51" t="n">
        <v>84728.1487664127</v>
      </c>
      <c r="T51" t="n">
        <v>87062.6095195629</v>
      </c>
      <c r="U51" t="n">
        <v>89484.2899730678</v>
      </c>
      <c r="V51" t="n">
        <v>90277.5844027054</v>
      </c>
      <c r="W51" t="n">
        <v>89935.2611707831</v>
      </c>
      <c r="X51" t="n">
        <v>88744.7391109024</v>
      </c>
      <c r="Y51" t="n">
        <v>86844.8188908211</v>
      </c>
      <c r="Z51" t="n">
        <v>85104.3964293588</v>
      </c>
      <c r="AA51" t="n">
        <v>82910.6723776712</v>
      </c>
      <c r="AB51" t="n">
        <v>81485.2229551005</v>
      </c>
      <c r="AC51" t="n">
        <v>80012.0612559786</v>
      </c>
      <c r="AD51" t="n">
        <v>79255.1319325885</v>
      </c>
      <c r="AE51" t="n">
        <v>78778.1</v>
      </c>
      <c r="AF51"/>
    </row>
    <row r="52">
      <c r="A52" t="s">
        <v>151</v>
      </c>
      <c r="B52" t="s">
        <v>374</v>
      </c>
      <c r="C52" t="s">
        <v>246</v>
      </c>
      <c r="D52" t="s">
        <v>375</v>
      </c>
      <c r="E52" t="s">
        <v>247</v>
      </c>
      <c r="F52" t="n">
        <v>7337.1770036693</v>
      </c>
      <c r="G52" t="n">
        <v>7401.34871109662</v>
      </c>
      <c r="H52" t="n">
        <v>7529.27057997079</v>
      </c>
      <c r="I52" t="n">
        <v>7646.78108388355</v>
      </c>
      <c r="J52" t="n">
        <v>7776.72176662067</v>
      </c>
      <c r="K52" t="n">
        <v>7983.45028267228</v>
      </c>
      <c r="L52" t="n">
        <v>8224.48508766341</v>
      </c>
      <c r="M52" t="n">
        <v>8349.86838456824</v>
      </c>
      <c r="N52" t="n">
        <v>8492.05749441077</v>
      </c>
      <c r="O52" t="n">
        <v>8751.82690134235</v>
      </c>
      <c r="P52" t="n">
        <v>8941.36536549515</v>
      </c>
      <c r="Q52" t="n">
        <v>9099.0148082455</v>
      </c>
      <c r="R52" t="n">
        <v>9335.88929046868</v>
      </c>
      <c r="S52" t="n">
        <v>9347.35714810979</v>
      </c>
      <c r="T52" t="n">
        <v>9348.37870479196</v>
      </c>
      <c r="U52" t="n">
        <v>9375.83960198032</v>
      </c>
      <c r="V52" t="n">
        <v>9439.79603274211</v>
      </c>
      <c r="W52" t="n">
        <v>9436.7613005711</v>
      </c>
      <c r="X52" t="n">
        <v>9628.42088082315</v>
      </c>
      <c r="Y52" t="n">
        <v>9597.19244824809</v>
      </c>
      <c r="Z52" t="n">
        <v>9430.43805355597</v>
      </c>
      <c r="AA52" t="n">
        <v>9466.79119270211</v>
      </c>
      <c r="AB52" t="n">
        <v>9602.5421887173</v>
      </c>
      <c r="AC52" t="n">
        <v>9545.886079303</v>
      </c>
      <c r="AD52" t="n">
        <v>9905.91662671585</v>
      </c>
      <c r="AE52" t="n">
        <v>10307.7</v>
      </c>
      <c r="AF52"/>
    </row>
    <row r="53">
      <c r="A53" t="s">
        <v>151</v>
      </c>
      <c r="B53" t="s">
        <v>376</v>
      </c>
      <c r="C53" t="s">
        <v>246</v>
      </c>
      <c r="D53" t="s">
        <v>377</v>
      </c>
      <c r="E53" t="s">
        <v>247</v>
      </c>
      <c r="F53" t="n">
        <v>22816.0332982219</v>
      </c>
      <c r="G53" t="n">
        <v>23877.0885921558</v>
      </c>
      <c r="H53" t="n">
        <v>25081.3699294691</v>
      </c>
      <c r="I53" t="n">
        <v>26466.9422368894</v>
      </c>
      <c r="J53" t="n">
        <v>27665.3878694379</v>
      </c>
      <c r="K53" t="n">
        <v>28827.3252639159</v>
      </c>
      <c r="L53" t="n">
        <v>30142.0614527406</v>
      </c>
      <c r="M53" t="n">
        <v>31611.7112796723</v>
      </c>
      <c r="N53" t="n">
        <v>32444.8684326973</v>
      </c>
      <c r="O53" t="n">
        <v>33084.5634449091</v>
      </c>
      <c r="P53" t="n">
        <v>34385.6311872939</v>
      </c>
      <c r="Q53" t="n">
        <v>35212.871811432</v>
      </c>
      <c r="R53" t="n">
        <v>36150.7980808346</v>
      </c>
      <c r="S53" t="n">
        <v>36131.5033352357</v>
      </c>
      <c r="T53" t="n">
        <v>36477.4853801727</v>
      </c>
      <c r="U53" t="n">
        <v>36615.1552647542</v>
      </c>
      <c r="V53" t="n">
        <v>36881.4775172413</v>
      </c>
      <c r="W53" t="n">
        <v>36143.7002158834</v>
      </c>
      <c r="X53" t="n">
        <v>35756.2146881254</v>
      </c>
      <c r="Y53" t="n">
        <v>35297.8429279768</v>
      </c>
      <c r="Z53" t="n">
        <v>34936.8406805865</v>
      </c>
      <c r="AA53" t="n">
        <v>34594.9729239041</v>
      </c>
      <c r="AB53" t="n">
        <v>34414.1311334988</v>
      </c>
      <c r="AC53" t="n">
        <v>34365.9178842447</v>
      </c>
      <c r="AD53" t="n">
        <v>34275.5835958744</v>
      </c>
      <c r="AE53" t="n">
        <v>33890.3</v>
      </c>
      <c r="AF53" t="n">
        <v>33789.4</v>
      </c>
    </row>
    <row r="54">
      <c r="A54" t="s">
        <v>151</v>
      </c>
      <c r="B54" t="s">
        <v>378</v>
      </c>
      <c r="C54" t="s">
        <v>246</v>
      </c>
      <c r="D54" t="s">
        <v>379</v>
      </c>
      <c r="E54" t="s">
        <v>247</v>
      </c>
      <c r="F54" t="n">
        <v>33398.2418070967</v>
      </c>
      <c r="G54" t="n">
        <v>35111.6410701558</v>
      </c>
      <c r="H54" t="n">
        <v>37016.2613193442</v>
      </c>
      <c r="I54" t="n">
        <v>39220.0452150622</v>
      </c>
      <c r="J54" t="n">
        <v>41135.2334798744</v>
      </c>
      <c r="K54" t="n">
        <v>43118.8450954093</v>
      </c>
      <c r="L54" t="n">
        <v>45325.2059533008</v>
      </c>
      <c r="M54" t="n">
        <v>47743.8614892975</v>
      </c>
      <c r="N54" t="n">
        <v>49518.1547227313</v>
      </c>
      <c r="O54" t="n">
        <v>50876.1964265206</v>
      </c>
      <c r="P54" t="n">
        <v>52998.5896029528</v>
      </c>
      <c r="Q54" t="n">
        <v>54641.5374175313</v>
      </c>
      <c r="R54" t="n">
        <v>56277.4515643511</v>
      </c>
      <c r="S54" t="n">
        <v>57058.059661329</v>
      </c>
      <c r="T54" t="n">
        <v>57378.1886151659</v>
      </c>
      <c r="U54" t="n">
        <v>57846.327371913</v>
      </c>
      <c r="V54" t="n">
        <v>58438.9716202283</v>
      </c>
      <c r="W54" t="n">
        <v>57604.2929931001</v>
      </c>
      <c r="X54" t="n">
        <v>56791.6260951296</v>
      </c>
      <c r="Y54" t="n">
        <v>56383.6729654947</v>
      </c>
      <c r="Z54" t="n">
        <v>55742.2839832264</v>
      </c>
      <c r="AA54" t="n">
        <v>55576.7295377583</v>
      </c>
      <c r="AB54" t="n">
        <v>56001.2418316845</v>
      </c>
      <c r="AC54" t="n">
        <v>55731.5193639178</v>
      </c>
      <c r="AD54" t="n">
        <v>55524.4403052293</v>
      </c>
      <c r="AE54" t="n">
        <v>54557.4</v>
      </c>
      <c r="AF54" t="n">
        <v>54373.8</v>
      </c>
    </row>
    <row r="55">
      <c r="A55" t="s">
        <v>151</v>
      </c>
      <c r="B55" t="s">
        <v>380</v>
      </c>
      <c r="C55" t="s">
        <v>246</v>
      </c>
      <c r="D55" t="s">
        <v>381</v>
      </c>
      <c r="E55" t="s">
        <v>247</v>
      </c>
      <c r="F55" t="n">
        <v>10596.2557994193</v>
      </c>
      <c r="G55" t="n">
        <v>11248.8597476542</v>
      </c>
      <c r="H55" t="n">
        <v>11949.2924956074</v>
      </c>
      <c r="I55" t="n">
        <v>12767.6487424361</v>
      </c>
      <c r="J55" t="n">
        <v>13484.331703148</v>
      </c>
      <c r="K55" t="n">
        <v>14305.2148257758</v>
      </c>
      <c r="L55" t="n">
        <v>15195.3917526587</v>
      </c>
      <c r="M55" t="n">
        <v>16143.2791951279</v>
      </c>
      <c r="N55" t="n">
        <v>17081.2089241705</v>
      </c>
      <c r="O55" t="n">
        <v>17798.2534276939</v>
      </c>
      <c r="P55" t="n">
        <v>18619.9164761841</v>
      </c>
      <c r="Q55" t="n">
        <v>19435.7758076044</v>
      </c>
      <c r="R55" t="n">
        <v>20134.0078232463</v>
      </c>
      <c r="S55" t="n">
        <v>20933.7407303049</v>
      </c>
      <c r="T55" t="n">
        <v>20907.4450384301</v>
      </c>
      <c r="U55" t="n">
        <v>21240.3919652152</v>
      </c>
      <c r="V55" t="n">
        <v>21565.8155998349</v>
      </c>
      <c r="W55" t="n">
        <v>21461.3321916514</v>
      </c>
      <c r="X55" t="n">
        <v>21039.8108870305</v>
      </c>
      <c r="Y55" t="n">
        <v>21083.182976364</v>
      </c>
      <c r="Z55" t="n">
        <v>20804.3327015073</v>
      </c>
      <c r="AA55" t="n">
        <v>20980.5834573914</v>
      </c>
      <c r="AB55" t="n">
        <v>21589.3968779702</v>
      </c>
      <c r="AC55" t="n">
        <v>21366.4834419571</v>
      </c>
      <c r="AD55" t="n">
        <v>21249.6962331038</v>
      </c>
      <c r="AE55" t="n">
        <v>20667.1</v>
      </c>
      <c r="AF55" t="n">
        <v>20584.4</v>
      </c>
    </row>
    <row r="56">
      <c r="A56" t="s">
        <v>151</v>
      </c>
      <c r="B56" t="s">
        <v>382</v>
      </c>
      <c r="C56" t="s">
        <v>246</v>
      </c>
      <c r="D56" t="s">
        <v>383</v>
      </c>
      <c r="E56" t="s">
        <v>247</v>
      </c>
      <c r="F56" t="e">
        <v>#NUM!</v>
      </c>
      <c r="G56" t="e">
        <v>#NUM!</v>
      </c>
      <c r="H56" t="e">
        <v>#NUM!</v>
      </c>
      <c r="I56" t="e">
        <v>#NUM!</v>
      </c>
      <c r="J56" t="e">
        <v>#NUM!</v>
      </c>
      <c r="K56" t="e">
        <v>#NUM!</v>
      </c>
      <c r="L56" t="e">
        <v>#NUM!</v>
      </c>
      <c r="M56" t="e">
        <v>#NUM!</v>
      </c>
      <c r="N56" t="e">
        <v>#NUM!</v>
      </c>
      <c r="O56" t="e">
        <v>#NUM!</v>
      </c>
      <c r="P56" t="e">
        <v>#NUM!</v>
      </c>
      <c r="Q56" t="e">
        <v>#NUM!</v>
      </c>
      <c r="R56" t="e">
        <v>#NUM!</v>
      </c>
      <c r="S56" t="e">
        <v>#NUM!</v>
      </c>
      <c r="T56" t="e">
        <v>#NUM!</v>
      </c>
      <c r="U56" t="e">
        <v>#NUM!</v>
      </c>
      <c r="V56" t="e">
        <v>#NUM!</v>
      </c>
      <c r="W56" t="e">
        <v>#NUM!</v>
      </c>
      <c r="X56" t="e">
        <v>#NUM!</v>
      </c>
      <c r="Y56" t="e">
        <v>#NUM!</v>
      </c>
      <c r="Z56" t="e">
        <v>#NUM!</v>
      </c>
      <c r="AA56" t="e">
        <v>#NUM!</v>
      </c>
      <c r="AB56" t="e">
        <v>#NUM!</v>
      </c>
      <c r="AC56" t="e">
        <v>#NUM!</v>
      </c>
      <c r="AD56" t="e">
        <v>#NUM!</v>
      </c>
      <c r="AE56" t="n">
        <v>0</v>
      </c>
      <c r="AF56" t="e">
        <v>#NUM!</v>
      </c>
    </row>
    <row r="57">
      <c r="A57" t="s">
        <v>151</v>
      </c>
      <c r="B57" t="s">
        <v>384</v>
      </c>
      <c r="C57" t="s">
        <v>246</v>
      </c>
      <c r="D57" t="s">
        <v>385</v>
      </c>
      <c r="E57" t="s">
        <v>247</v>
      </c>
      <c r="F57" t="n">
        <v>4719879.52097271</v>
      </c>
      <c r="G57" t="n">
        <v>4799040.60293274</v>
      </c>
      <c r="H57" t="n">
        <v>4877938.03699274</v>
      </c>
      <c r="I57" t="n">
        <v>4963793.59757762</v>
      </c>
      <c r="J57" t="n">
        <v>5056783.67156744</v>
      </c>
      <c r="K57" t="n">
        <v>5165081.40186868</v>
      </c>
      <c r="L57" t="n">
        <v>5274939.83973364</v>
      </c>
      <c r="M57" t="n">
        <v>5391397.06978988</v>
      </c>
      <c r="N57" t="n">
        <v>5497748.74975661</v>
      </c>
      <c r="O57" t="n">
        <v>5602724.88797438</v>
      </c>
      <c r="P57" t="n">
        <v>5707004.59068258</v>
      </c>
      <c r="Q57" t="n">
        <v>5815065.2880136</v>
      </c>
      <c r="R57" t="n">
        <v>5923440.67585591</v>
      </c>
      <c r="S57" t="n">
        <v>6013114.97296793</v>
      </c>
      <c r="T57" t="n">
        <v>6062764.17848608</v>
      </c>
      <c r="U57" t="n">
        <v>6106507.02144293</v>
      </c>
      <c r="V57" t="n">
        <v>6141642.74128667</v>
      </c>
      <c r="W57" t="n">
        <v>6142016.18845235</v>
      </c>
      <c r="X57" t="n">
        <v>6122584.30153355</v>
      </c>
      <c r="Y57" t="n">
        <v>6096966.87108963</v>
      </c>
      <c r="Z57" t="n">
        <v>6076492.63453547</v>
      </c>
      <c r="AA57" t="n">
        <v>6066825.10293308</v>
      </c>
      <c r="AB57" t="n">
        <v>6064409.21024591</v>
      </c>
      <c r="AC57" t="n">
        <v>6068136.29829606</v>
      </c>
      <c r="AD57" t="n">
        <v>6074400.22558666</v>
      </c>
      <c r="AE57" t="n">
        <v>6054709.1</v>
      </c>
      <c r="AF57" t="n">
        <v>6089280.3</v>
      </c>
    </row>
    <row r="58">
      <c r="A58" t="s">
        <v>151</v>
      </c>
      <c r="B58" t="s">
        <v>386</v>
      </c>
      <c r="C58" t="s">
        <v>246</v>
      </c>
      <c r="D58" t="s">
        <v>387</v>
      </c>
      <c r="E58" t="s">
        <v>247</v>
      </c>
      <c r="F58" t="n">
        <v>4719879.52097271</v>
      </c>
      <c r="G58" t="n">
        <v>4799040.60293274</v>
      </c>
      <c r="H58" t="n">
        <v>4877938.03699274</v>
      </c>
      <c r="I58" t="n">
        <v>4963793.59757762</v>
      </c>
      <c r="J58" t="n">
        <v>5056783.67156744</v>
      </c>
      <c r="K58" t="n">
        <v>5165081.40186868</v>
      </c>
      <c r="L58" t="n">
        <v>5274939.83973364</v>
      </c>
      <c r="M58" t="n">
        <v>5391397.06978988</v>
      </c>
      <c r="N58" t="n">
        <v>5497748.74975661</v>
      </c>
      <c r="O58" t="n">
        <v>5602724.88797438</v>
      </c>
      <c r="P58" t="n">
        <v>5707004.59068258</v>
      </c>
      <c r="Q58" t="n">
        <v>5815065.2880136</v>
      </c>
      <c r="R58" t="n">
        <v>5923440.67585591</v>
      </c>
      <c r="S58" t="n">
        <v>6013114.97296793</v>
      </c>
      <c r="T58" t="n">
        <v>6062764.17848608</v>
      </c>
      <c r="U58" t="n">
        <v>6106507.02144293</v>
      </c>
      <c r="V58" t="n">
        <v>6141642.74128667</v>
      </c>
      <c r="W58" t="n">
        <v>6142016.18845235</v>
      </c>
      <c r="X58" t="n">
        <v>6122584.30153355</v>
      </c>
      <c r="Y58" t="n">
        <v>6096966.87108963</v>
      </c>
      <c r="Z58" t="n">
        <v>6076492.63453547</v>
      </c>
      <c r="AA58" t="n">
        <v>6066825.10293308</v>
      </c>
      <c r="AB58" t="n">
        <v>6064409.21024591</v>
      </c>
      <c r="AC58" t="n">
        <v>6068136.29829606</v>
      </c>
      <c r="AD58" t="n">
        <v>6074400.22558666</v>
      </c>
      <c r="AE58" t="n">
        <v>6054709.1</v>
      </c>
      <c r="AF58" t="n">
        <v>6089280.3</v>
      </c>
    </row>
    <row r="59">
      <c r="A59" t="s">
        <v>151</v>
      </c>
      <c r="B59" t="s">
        <v>388</v>
      </c>
      <c r="C59" t="s">
        <v>246</v>
      </c>
      <c r="D59" t="s">
        <v>389</v>
      </c>
      <c r="E59" t="s">
        <v>247</v>
      </c>
      <c r="F59" t="e">
        <v>#NUM!</v>
      </c>
      <c r="G59" t="e">
        <v>#NUM!</v>
      </c>
      <c r="H59" t="e">
        <v>#NUM!</v>
      </c>
      <c r="I59" t="e">
        <v>#NUM!</v>
      </c>
      <c r="J59" t="e">
        <v>#NUM!</v>
      </c>
      <c r="K59" t="e">
        <v>#NUM!</v>
      </c>
      <c r="L59" t="e">
        <v>#NUM!</v>
      </c>
      <c r="M59" t="e">
        <v>#NUM!</v>
      </c>
      <c r="N59" t="e">
        <v>#NUM!</v>
      </c>
      <c r="O59" t="e">
        <v>#NUM!</v>
      </c>
      <c r="P59" t="e">
        <v>#NUM!</v>
      </c>
      <c r="Q59" t="e">
        <v>#NUM!</v>
      </c>
      <c r="R59" t="e">
        <v>#NUM!</v>
      </c>
      <c r="S59" t="e">
        <v>#NUM!</v>
      </c>
      <c r="T59" t="e">
        <v>#NUM!</v>
      </c>
      <c r="U59" t="e">
        <v>#NUM!</v>
      </c>
      <c r="V59" t="e">
        <v>#NUM!</v>
      </c>
      <c r="W59" t="e">
        <v>#NUM!</v>
      </c>
      <c r="X59" t="e">
        <v>#NUM!</v>
      </c>
      <c r="Y59" t="e">
        <v>#NUM!</v>
      </c>
      <c r="Z59" t="e">
        <v>#NUM!</v>
      </c>
      <c r="AA59" t="e">
        <v>#NUM!</v>
      </c>
      <c r="AB59" t="e">
        <v>#NUM!</v>
      </c>
      <c r="AC59" t="e">
        <v>#NUM!</v>
      </c>
      <c r="AD59" t="e">
        <v>#NUM!</v>
      </c>
      <c r="AE59" t="n">
        <v>0</v>
      </c>
      <c r="AF59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legend</dc:creator>
  <cp:lastModifiedBy>legend</cp:lastModifiedBy>
  <dcterms:created xsi:type="dcterms:W3CDTF">2025-01-07T18:47:01Z</dcterms:created>
</coreProperties>
</file>